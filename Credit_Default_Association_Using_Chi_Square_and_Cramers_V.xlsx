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72011027c601991/Desktop/Output/"/>
    </mc:Choice>
  </mc:AlternateContent>
  <xr:revisionPtr revIDLastSave="3" documentId="8_{C91875BC-178F-4E56-8756-6AE35EA23BBC}" xr6:coauthVersionLast="47" xr6:coauthVersionMax="47" xr10:uidLastSave="{A058CE34-CAD1-4460-B95F-36A43E2D1A94}"/>
  <bookViews>
    <workbookView xWindow="-108" yWindow="-108" windowWidth="23256" windowHeight="13896" activeTab="2" xr2:uid="{00000000-000D-0000-FFFF-FFFF00000000}"/>
  </bookViews>
  <sheets>
    <sheet name="README" sheetId="1" r:id="rId1"/>
    <sheet name="Data" sheetId="2" r:id="rId2"/>
    <sheet name="Assumptions" sheetId="3" r:id="rId3"/>
    <sheet name="Data_RawCodes" sheetId="4" r:id="rId4"/>
    <sheet name="Codebook" sheetId="5" r:id="rId5"/>
  </sheets>
  <definedNames>
    <definedName name="_xlnm._FilterDatabase" localSheetId="1" hidden="1">Data!$B$4:$X$1004</definedName>
    <definedName name="_xlnm._FilterDatabase" localSheetId="3" hidden="1">Data_RawCodes!$B$4:$W$1004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" l="1"/>
  <c r="C44" i="3"/>
  <c r="C43" i="3"/>
  <c r="C42" i="3"/>
  <c r="D21" i="3"/>
  <c r="C18" i="3"/>
  <c r="F13" i="3"/>
  <c r="F9" i="3"/>
  <c r="D38" i="3"/>
  <c r="B19" i="3"/>
  <c r="B21" i="3"/>
  <c r="B20" i="3"/>
  <c r="B18" i="3"/>
  <c r="D12" i="3"/>
  <c r="C12" i="3"/>
  <c r="D11" i="3"/>
  <c r="C11" i="3"/>
  <c r="D10" i="3"/>
  <c r="C10" i="3"/>
  <c r="D9" i="3"/>
  <c r="C9" i="3"/>
  <c r="E12" i="3" l="1"/>
  <c r="F12" i="3" s="1"/>
  <c r="E10" i="3"/>
  <c r="E11" i="3"/>
  <c r="F11" i="3" s="1"/>
  <c r="E9" i="3"/>
  <c r="C13" i="3"/>
  <c r="D13" i="3"/>
  <c r="E13" i="3" l="1"/>
  <c r="C19" i="3" s="1"/>
  <c r="C36" i="3" s="1"/>
  <c r="F10" i="3"/>
  <c r="C21" i="3" l="1"/>
  <c r="C38" i="3" s="1"/>
  <c r="D19" i="3"/>
  <c r="E19" i="3" s="1"/>
  <c r="D20" i="3"/>
  <c r="D37" i="3" s="1"/>
  <c r="C20" i="3"/>
  <c r="C37" i="3" s="1"/>
  <c r="D18" i="3"/>
  <c r="D35" i="3" s="1"/>
  <c r="D28" i="3" l="1"/>
  <c r="E28" i="3" s="1"/>
  <c r="E21" i="3"/>
  <c r="C35" i="3"/>
  <c r="C22" i="3"/>
  <c r="D27" i="3"/>
  <c r="E27" i="3" s="1"/>
  <c r="E20" i="3"/>
  <c r="D36" i="3"/>
  <c r="E18" i="3"/>
  <c r="D22" i="3"/>
  <c r="E22" i="3" l="1"/>
  <c r="D29" i="3" s="1"/>
  <c r="E29" i="3" s="1"/>
  <c r="C41" i="3"/>
  <c r="C46" i="3" l="1"/>
</calcChain>
</file>

<file path=xl/sharedStrings.xml><?xml version="1.0" encoding="utf-8"?>
<sst xmlns="http://schemas.openxmlformats.org/spreadsheetml/2006/main" count="26394" uniqueCount="224">
  <si>
    <t>Assumptions: checking status vs. default</t>
  </si>
  <si>
    <t>Purpose: observed counts and bad rates by checking-account status (Step 2: describe the data).</t>
  </si>
  <si>
    <t>checking_status</t>
  </si>
  <si>
    <t>good (bad=0)</t>
  </si>
  <si>
    <t>bad (bad=1)</t>
  </si>
  <si>
    <t>total</t>
  </si>
  <si>
    <t>bad_rate</t>
  </si>
  <si>
    <t>Notes</t>
  </si>
  <si>
    <t>&lt; 0 DM</t>
  </si>
  <si>
    <t>COUNTIFS uses "="&amp; so labels starting with &lt; or &gt;= are matched as text, not read as comparisons.</t>
  </si>
  <si>
    <t>0 to &lt; 200 DM</t>
  </si>
  <si>
    <t>&gt;= 200 DM or salary assignment</t>
  </si>
  <si>
    <t>no checking account</t>
  </si>
  <si>
    <t>Bad rate = bad / total for the row. Overall bad rate is the benchmark for each group.</t>
  </si>
  <si>
    <t>Total</t>
  </si>
  <si>
    <t>Ho: Checking account status is not associated with default.</t>
  </si>
  <si>
    <t>Ha: Checking account status is associated with default.</t>
  </si>
  <si>
    <t>Expected counts under H0 (independence)</t>
  </si>
  <si>
    <t>Expected = row total x column total / grand total, i.e. what we'd see if every group had the overall bad rate.</t>
  </si>
  <si>
    <t>expected good</t>
  </si>
  <si>
    <t>expected bad</t>
  </si>
  <si>
    <t>Expected totals must equal observed totals (700 / 300 / 1,000).</t>
  </si>
  <si>
    <t>Assumption</t>
  </si>
  <si>
    <t>How checked</t>
  </si>
  <si>
    <t>Value</t>
  </si>
  <si>
    <t>Decision</t>
  </si>
  <si>
    <t>Expected count &gt;= 5 in every cell</t>
  </si>
  <si>
    <t>MIN of expected table</t>
  </si>
  <si>
    <t>Chi-square relies on a large-sample approximation; small expected counts make the p-value unreliable.</t>
  </si>
  <si>
    <t>Share of cells with expected &lt; 5</t>
  </si>
  <si>
    <t>COUNTIF / 8 cells</t>
  </si>
  <si>
    <t>Cochran's rule: no more than 20% of cells below 5, none below 1.</t>
  </si>
  <si>
    <t>Observed totals = expected totals</t>
  </si>
  <si>
    <t>Compare rows 10 and 28</t>
  </si>
  <si>
    <t>Sanity check on the expected-count formula.</t>
  </si>
  <si>
    <t>Independence of observations</t>
  </si>
  <si>
    <t>Judgment (cannot be tested from the data)</t>
  </si>
  <si>
    <t>One row per applicant</t>
  </si>
  <si>
    <t>Assumed met</t>
  </si>
  <si>
    <t>Each applicant is counted once and in one cell. It would fail if the same customer appeared on several loans.</t>
  </si>
  <si>
    <t>Categories mutually exclusive</t>
  </si>
  <si>
    <t>Judgment / data structure</t>
  </si>
  <si>
    <t>Each applicant has one status</t>
  </si>
  <si>
    <t>Met</t>
  </si>
  <si>
    <t>Every applicant falls in exactly one checking-status group and one outcome.</t>
  </si>
  <si>
    <t>German Credit Data (Statlog)</t>
  </si>
  <si>
    <t>Purpose: documentation for the dataset used in the statistics practice projects.</t>
  </si>
  <si>
    <t>Source</t>
  </si>
  <si>
    <t>UCI Machine Learning Repository, Statlog (German Credit Data), dataset 144. Donor: Prof. Hans Hofmann, Universität Hamburg (1994). License CC BY 4.0.</t>
  </si>
  <si>
    <t>https://archive.ics.uci.edu/dataset/144/statlog+german+credit+data</t>
  </si>
  <si>
    <t>Retrieved 2026-10-19 from a GitHub mirror of the original german.data file (jbrownlee/Datasets/german.csv); checked: 1,000 rows, 21 columns, 700 good / 300 bad, all codes valid per the UCI codebook.</t>
  </si>
  <si>
    <t>Sheets</t>
  </si>
  <si>
    <t>Data: 1,000 applicants, codes replaced with labels, plus a derived 0/1 'bad' column. Raw values untouched otherwise.</t>
  </si>
  <si>
    <t>Assumptions: observed counts and bad rates by checking status (question 1, step 2), with PASS/FAIL checks.</t>
  </si>
  <si>
    <t>Data_RawCodes: same rows with the original A11-style codes.</t>
  </si>
  <si>
    <t>Codebook: every variable, its type and the meaning of each code.</t>
  </si>
  <si>
    <t>No missing values. Amounts are in Deutsche Mark (pre-euro, 1970s-era loans).</t>
  </si>
  <si>
    <t>installment_rate_pct and residence_since are 1-4 ordinal bands, not raw percentages or years.</t>
  </si>
  <si>
    <t>personal_status_sex mixes sex and marital status; there is no 'female: single' (A95) record in the data.</t>
  </si>
  <si>
    <t>The dataset's documented cost matrix rates classifying a bad applicant as good as 5x worse than the reverse.</t>
  </si>
  <si>
    <t>Data: decoded labels (1,000 applicants)</t>
  </si>
  <si>
    <t>Purpose: analysis-ready data. One row per applicant; 'bad' = 1 for bad credit risk.</t>
  </si>
  <si>
    <t>applicant_id</t>
  </si>
  <si>
    <t>duration_months</t>
  </si>
  <si>
    <t>credit_history</t>
  </si>
  <si>
    <t>purpose</t>
  </si>
  <si>
    <t>credit_amount</t>
  </si>
  <si>
    <t>savings</t>
  </si>
  <si>
    <t>employment_since</t>
  </si>
  <si>
    <t>installment_rate_pct</t>
  </si>
  <si>
    <t>personal_status_sex</t>
  </si>
  <si>
    <t>other_debtors</t>
  </si>
  <si>
    <t>residence_since</t>
  </si>
  <si>
    <t>property</t>
  </si>
  <si>
    <t>age</t>
  </si>
  <si>
    <t>other_installment_plans</t>
  </si>
  <si>
    <t>housing</t>
  </si>
  <si>
    <t>existing_credits</t>
  </si>
  <si>
    <t>job</t>
  </si>
  <si>
    <t>people_liable</t>
  </si>
  <si>
    <t>telephone</t>
  </si>
  <si>
    <t>foreign_worker</t>
  </si>
  <si>
    <t>class</t>
  </si>
  <si>
    <t>bad</t>
  </si>
  <si>
    <t>critical account / other credits elsewhere</t>
  </si>
  <si>
    <t>radio/television</t>
  </si>
  <si>
    <t>unknown / no savings account</t>
  </si>
  <si>
    <t>&gt;= 7 years</t>
  </si>
  <si>
    <t>male: single</t>
  </si>
  <si>
    <t>none</t>
  </si>
  <si>
    <t>real estate</t>
  </si>
  <si>
    <t>own</t>
  </si>
  <si>
    <t>skilled employee / official</t>
  </si>
  <si>
    <t>yes, registered in customer's name</t>
  </si>
  <si>
    <t>yes</t>
  </si>
  <si>
    <t>existing credits paid back duly till now</t>
  </si>
  <si>
    <t>&lt; 100 DM</t>
  </si>
  <si>
    <t>1 to &lt; 4 years</t>
  </si>
  <si>
    <t>female: divorced/separated/married</t>
  </si>
  <si>
    <t>education</t>
  </si>
  <si>
    <t>4 to &lt; 7 years</t>
  </si>
  <si>
    <t>unskilled resident</t>
  </si>
  <si>
    <t>furniture/equipment</t>
  </si>
  <si>
    <t>guarantor</t>
  </si>
  <si>
    <t>building society savings / life insurance</t>
  </si>
  <si>
    <t>for free</t>
  </si>
  <si>
    <t>delay in paying off in the past</t>
  </si>
  <si>
    <t>car (new)</t>
  </si>
  <si>
    <t>unknown / no property</t>
  </si>
  <si>
    <t>500 to &lt; 1000 DM</t>
  </si>
  <si>
    <t>car (used)</t>
  </si>
  <si>
    <t>car or other</t>
  </si>
  <si>
    <t>rent</t>
  </si>
  <si>
    <t>management / self-employed / highly qualified</t>
  </si>
  <si>
    <t>&gt;= 1000 DM</t>
  </si>
  <si>
    <t>male: divorced/separated</t>
  </si>
  <si>
    <t>unemployed</t>
  </si>
  <si>
    <t>male: married/widowed</t>
  </si>
  <si>
    <t>&lt; 1 year</t>
  </si>
  <si>
    <t>business</t>
  </si>
  <si>
    <t>100 to &lt; 500 DM</t>
  </si>
  <si>
    <t>no credits taken / all paid back duly</t>
  </si>
  <si>
    <t>bank</t>
  </si>
  <si>
    <t>no</t>
  </si>
  <si>
    <t>all credits at this bank paid back duly</t>
  </si>
  <si>
    <t>stores</t>
  </si>
  <si>
    <t>co-applicant</t>
  </si>
  <si>
    <t>domestic appliances</t>
  </si>
  <si>
    <t>repairs</t>
  </si>
  <si>
    <t>unemployed / unskilled non-resident</t>
  </si>
  <si>
    <t>others</t>
  </si>
  <si>
    <t>retraining</t>
  </si>
  <si>
    <t>Data_RawCodes: original UCI codes</t>
  </si>
  <si>
    <t>Purpose: original coded values, for checking against the UCI source.</t>
  </si>
  <si>
    <t>A11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</si>
  <si>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</si>
  <si>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</si>
  <si>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</si>
  <si>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</si>
  <si>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</si>
  <si>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</si>
  <si>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</si>
  <si>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</si>
  <si>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</si>
  <si>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</si>
  <si>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</si>
  <si>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</si>
  <si>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A12</t>
  </si>
  <si>
    <t>A32</t>
  </si>
  <si>
    <t>A61</t>
  </si>
  <si>
    <t>A73</t>
  </si>
  <si>
    <t>A92</t>
  </si>
  <si>
    <t>A191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</si>
  <si>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</si>
  <si>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</si>
  <si>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</si>
  <si>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</si>
  <si>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</si>
  <si>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</si>
  <si>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</si>
  <si>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</si>
  <si>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</si>
  <si>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</si>
  <si>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</si>
  <si>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</si>
  <si>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</si>
  <si>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</si>
  <si>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</si>
  <si>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</si>
  <si>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</si>
  <si>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</si>
  <si>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</si>
  <si>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</si>
  <si>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</si>
  <si>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</si>
  <si>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</si>
  <si>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</si>
  <si>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</si>
  <si>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</si>
  <si>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</si>
  <si>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</si>
  <si>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</si>
  <si>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</si>
  <si>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</si>
  <si>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</si>
  <si>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</si>
  <si>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</si>
  <si>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</si>
  <si>
    <t>Codebook</t>
  </si>
  <si>
    <t>Purpose: meaning of every variable and code.</t>
  </si>
  <si>
    <t>Variable</t>
  </si>
  <si>
    <t>Type</t>
  </si>
  <si>
    <t>Code</t>
  </si>
  <si>
    <t>Meaning</t>
  </si>
  <si>
    <t>identifier</t>
  </si>
  <si>
    <t>Row number added for reference</t>
  </si>
  <si>
    <t>categorical</t>
  </si>
  <si>
    <t>numeric</t>
  </si>
  <si>
    <t>Loan duration in months</t>
  </si>
  <si>
    <t>A47</t>
  </si>
  <si>
    <t>vacation</t>
  </si>
  <si>
    <t>Loan amount (Deutsche Mark)</t>
  </si>
  <si>
    <t>Installment rate as % of disposable income (1-4, ordinal band)</t>
  </si>
  <si>
    <t>A95</t>
  </si>
  <si>
    <t>female: single</t>
  </si>
  <si>
    <t>Years at present residence (1-4, ordinal band)</t>
  </si>
  <si>
    <t>Age in years</t>
  </si>
  <si>
    <t>Number of existing credits at this bank</t>
  </si>
  <si>
    <t>Number of people the applicant provides maintenance for</t>
  </si>
  <si>
    <t>Original outcome code: 1 = good, 2 = bad</t>
  </si>
  <si>
    <t>Derived: 1 = bad credit risk, 0 = good (from class)</t>
  </si>
  <si>
    <t>Chi-Square</t>
  </si>
  <si>
    <t>df</t>
  </si>
  <si>
    <t>p-value</t>
  </si>
  <si>
    <t>Cross-Check</t>
  </si>
  <si>
    <t>Critical Value at 0.05</t>
  </si>
  <si>
    <t xml:space="preserve">Decision </t>
  </si>
  <si>
    <t>p &lt; 0.05, so reject H0. Checking-account status is associated with default.</t>
  </si>
  <si>
    <t>Cramer's V</t>
  </si>
  <si>
    <t>Interpretation of Effect Size</t>
  </si>
  <si>
    <t>Work</t>
  </si>
  <si>
    <t>Assumption Testing</t>
  </si>
  <si>
    <t>Chi-Square Calculation</t>
  </si>
  <si>
    <t>0.35 is a medium association. Checking status clearly matters, but on its own it’s far from a perfect predictor of default. That fits what you’d expect from one variable in a credit model. Far fewer bad loans for no checkinga ccount than for the other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</si>
</sst>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4" fillId="3" borderId="0" xfId="0" applyFont="1" applyFill="1"/>
    <xf numFmtId="165" fontId="0" fillId="0" borderId="0" xfId="0" applyNumberFormat="1"/>
    <xf numFmtId="0" fontId="4" fillId="0" borderId="0" xfId="0" applyFont="1"/>
    <xf numFmtId="0" fontId="0" fillId="4" borderId="0" xfId="0" applyFill="1"/>
    <xf numFmtId="9" fontId="0" fillId="0" borderId="0" xfId="0" applyNumberFormat="1"/>
    <xf numFmtId="0" fontId="4" fillId="0" borderId="0" xfId="0" applyFont="1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workbookViewId="0">
      <selection activeCell="B12" sqref="B12"/>
    </sheetView>
  </sheetViews>
  <sheetFormatPr defaultRowHeight="14.4" x14ac:dyDescent="0.3"/>
  <cols>
    <col min="1" max="1" width="3" customWidth="1"/>
    <col min="2" max="2" width="120" customWidth="1"/>
  </cols>
  <sheetData>
    <row r="2" spans="2:2" ht="18" customHeight="1" x14ac:dyDescent="0.35">
      <c r="B2" s="1" t="s">
        <v>45</v>
      </c>
    </row>
    <row r="3" spans="2:2" x14ac:dyDescent="0.3">
      <c r="B3" t="s">
        <v>46</v>
      </c>
    </row>
    <row r="5" spans="2:2" x14ac:dyDescent="0.3">
      <c r="B5" s="2" t="s">
        <v>47</v>
      </c>
    </row>
    <row r="6" spans="2:2" x14ac:dyDescent="0.3">
      <c r="B6" t="s">
        <v>48</v>
      </c>
    </row>
    <row r="7" spans="2:2" x14ac:dyDescent="0.3">
      <c r="B7" t="s">
        <v>49</v>
      </c>
    </row>
    <row r="8" spans="2:2" x14ac:dyDescent="0.3">
      <c r="B8" t="s">
        <v>50</v>
      </c>
    </row>
    <row r="10" spans="2:2" x14ac:dyDescent="0.3">
      <c r="B10" s="2" t="s">
        <v>51</v>
      </c>
    </row>
    <row r="11" spans="2:2" x14ac:dyDescent="0.3">
      <c r="B11" t="s">
        <v>52</v>
      </c>
    </row>
    <row r="12" spans="2:2" x14ac:dyDescent="0.3">
      <c r="B12" t="s">
        <v>53</v>
      </c>
    </row>
    <row r="13" spans="2:2" x14ac:dyDescent="0.3">
      <c r="B13" t="s">
        <v>54</v>
      </c>
    </row>
    <row r="14" spans="2:2" x14ac:dyDescent="0.3">
      <c r="B14" t="s">
        <v>55</v>
      </c>
    </row>
    <row r="16" spans="2:2" x14ac:dyDescent="0.3">
      <c r="B16" s="2" t="s">
        <v>7</v>
      </c>
    </row>
    <row r="17" spans="2:2" x14ac:dyDescent="0.3">
      <c r="B17" t="s">
        <v>56</v>
      </c>
    </row>
    <row r="18" spans="2:2" x14ac:dyDescent="0.3">
      <c r="B18" t="s">
        <v>57</v>
      </c>
    </row>
    <row r="19" spans="2:2" x14ac:dyDescent="0.3">
      <c r="B19" t="s">
        <v>58</v>
      </c>
    </row>
    <row r="20" spans="2:2" x14ac:dyDescent="0.3">
      <c r="B20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4" width="19" customWidth="1"/>
    <col min="5" max="5" width="18" customWidth="1"/>
    <col min="6" max="6" width="12" customWidth="1"/>
    <col min="7" max="7" width="17" customWidth="1"/>
    <col min="8" max="8" width="12" customWidth="1"/>
    <col min="9" max="9" width="20" customWidth="1"/>
    <col min="10" max="10" width="24" customWidth="1"/>
    <col min="11" max="11" width="23" customWidth="1"/>
    <col min="12" max="12" width="17" customWidth="1"/>
    <col min="13" max="13" width="19" customWidth="1"/>
    <col min="14" max="15" width="12" customWidth="1"/>
    <col min="16" max="16" width="27" customWidth="1"/>
    <col min="17" max="17" width="12" customWidth="1"/>
    <col min="18" max="18" width="20" customWidth="1"/>
    <col min="19" max="19" width="12" customWidth="1"/>
    <col min="20" max="20" width="17" customWidth="1"/>
    <col min="21" max="21" width="13" customWidth="1"/>
    <col min="22" max="22" width="18" customWidth="1"/>
    <col min="23" max="24" width="12" customWidth="1"/>
  </cols>
  <sheetData>
    <row r="2" spans="2:24" ht="18" customHeight="1" x14ac:dyDescent="0.35">
      <c r="B2" s="1" t="s">
        <v>60</v>
      </c>
    </row>
    <row r="3" spans="2:24" x14ac:dyDescent="0.3">
      <c r="B3" t="s">
        <v>61</v>
      </c>
    </row>
    <row r="4" spans="2:24" x14ac:dyDescent="0.3">
      <c r="B4" s="3" t="s">
        <v>62</v>
      </c>
      <c r="C4" s="3" t="s">
        <v>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73</v>
      </c>
      <c r="O4" s="3" t="s">
        <v>74</v>
      </c>
      <c r="P4" s="3" t="s">
        <v>75</v>
      </c>
      <c r="Q4" s="3" t="s">
        <v>76</v>
      </c>
      <c r="R4" s="3" t="s">
        <v>77</v>
      </c>
      <c r="S4" s="3" t="s">
        <v>78</v>
      </c>
      <c r="T4" s="3" t="s">
        <v>79</v>
      </c>
      <c r="U4" s="3" t="s">
        <v>80</v>
      </c>
      <c r="V4" s="3" t="s">
        <v>81</v>
      </c>
      <c r="W4" s="3" t="s">
        <v>82</v>
      </c>
      <c r="X4" s="3" t="s">
        <v>83</v>
      </c>
    </row>
    <row r="5" spans="2:24" x14ac:dyDescent="0.3">
      <c r="B5">
        <v>1</v>
      </c>
      <c r="C5" t="s">
        <v>8</v>
      </c>
      <c r="D5">
        <v>6</v>
      </c>
      <c r="E5" t="s">
        <v>84</v>
      </c>
      <c r="F5" t="s">
        <v>85</v>
      </c>
      <c r="G5">
        <v>1169</v>
      </c>
      <c r="H5" t="s">
        <v>86</v>
      </c>
      <c r="I5" t="s">
        <v>87</v>
      </c>
      <c r="J5">
        <v>4</v>
      </c>
      <c r="K5" t="s">
        <v>88</v>
      </c>
      <c r="L5" t="s">
        <v>89</v>
      </c>
      <c r="M5">
        <v>4</v>
      </c>
      <c r="N5" t="s">
        <v>90</v>
      </c>
      <c r="O5">
        <v>67</v>
      </c>
      <c r="P5" t="s">
        <v>89</v>
      </c>
      <c r="Q5" t="s">
        <v>91</v>
      </c>
      <c r="R5">
        <v>2</v>
      </c>
      <c r="S5" t="s">
        <v>92</v>
      </c>
      <c r="T5">
        <v>1</v>
      </c>
      <c r="U5" t="s">
        <v>93</v>
      </c>
      <c r="V5" t="s">
        <v>94</v>
      </c>
      <c r="W5">
        <v>1</v>
      </c>
      <c r="X5">
        <v>0</v>
      </c>
    </row>
    <row r="6" spans="2:24" x14ac:dyDescent="0.3">
      <c r="B6">
        <v>2</v>
      </c>
      <c r="C6" t="s">
        <v>10</v>
      </c>
      <c r="D6">
        <v>48</v>
      </c>
      <c r="E6" t="s">
        <v>95</v>
      </c>
      <c r="F6" t="s">
        <v>85</v>
      </c>
      <c r="G6">
        <v>5951</v>
      </c>
      <c r="H6" t="s">
        <v>96</v>
      </c>
      <c r="I6" t="s">
        <v>97</v>
      </c>
      <c r="J6">
        <v>2</v>
      </c>
      <c r="K6" t="s">
        <v>98</v>
      </c>
      <c r="L6" t="s">
        <v>89</v>
      </c>
      <c r="M6">
        <v>2</v>
      </c>
      <c r="N6" t="s">
        <v>90</v>
      </c>
      <c r="O6">
        <v>22</v>
      </c>
      <c r="P6" t="s">
        <v>89</v>
      </c>
      <c r="Q6" t="s">
        <v>91</v>
      </c>
      <c r="R6">
        <v>1</v>
      </c>
      <c r="S6" t="s">
        <v>92</v>
      </c>
      <c r="T6">
        <v>1</v>
      </c>
      <c r="U6" t="s">
        <v>89</v>
      </c>
      <c r="V6" t="s">
        <v>94</v>
      </c>
      <c r="W6">
        <v>2</v>
      </c>
      <c r="X6">
        <v>1</v>
      </c>
    </row>
    <row r="7" spans="2:24" x14ac:dyDescent="0.3">
      <c r="B7">
        <v>3</v>
      </c>
      <c r="C7" t="s">
        <v>12</v>
      </c>
      <c r="D7">
        <v>12</v>
      </c>
      <c r="E7" t="s">
        <v>84</v>
      </c>
      <c r="F7" t="s">
        <v>99</v>
      </c>
      <c r="G7">
        <v>2096</v>
      </c>
      <c r="H7" t="s">
        <v>96</v>
      </c>
      <c r="I7" t="s">
        <v>100</v>
      </c>
      <c r="J7">
        <v>2</v>
      </c>
      <c r="K7" t="s">
        <v>88</v>
      </c>
      <c r="L7" t="s">
        <v>89</v>
      </c>
      <c r="M7">
        <v>3</v>
      </c>
      <c r="N7" t="s">
        <v>90</v>
      </c>
      <c r="O7">
        <v>49</v>
      </c>
      <c r="P7" t="s">
        <v>89</v>
      </c>
      <c r="Q7" t="s">
        <v>91</v>
      </c>
      <c r="R7">
        <v>1</v>
      </c>
      <c r="S7" t="s">
        <v>101</v>
      </c>
      <c r="T7">
        <v>2</v>
      </c>
      <c r="U7" t="s">
        <v>89</v>
      </c>
      <c r="V7" t="s">
        <v>94</v>
      </c>
      <c r="W7">
        <v>1</v>
      </c>
      <c r="X7">
        <v>0</v>
      </c>
    </row>
    <row r="8" spans="2:24" x14ac:dyDescent="0.3">
      <c r="B8">
        <v>4</v>
      </c>
      <c r="C8" t="s">
        <v>8</v>
      </c>
      <c r="D8">
        <v>42</v>
      </c>
      <c r="E8" t="s">
        <v>95</v>
      </c>
      <c r="F8" t="s">
        <v>102</v>
      </c>
      <c r="G8">
        <v>7882</v>
      </c>
      <c r="H8" t="s">
        <v>96</v>
      </c>
      <c r="I8" t="s">
        <v>100</v>
      </c>
      <c r="J8">
        <v>2</v>
      </c>
      <c r="K8" t="s">
        <v>88</v>
      </c>
      <c r="L8" t="s">
        <v>103</v>
      </c>
      <c r="M8">
        <v>4</v>
      </c>
      <c r="N8" t="s">
        <v>104</v>
      </c>
      <c r="O8">
        <v>45</v>
      </c>
      <c r="P8" t="s">
        <v>89</v>
      </c>
      <c r="Q8" t="s">
        <v>105</v>
      </c>
      <c r="R8">
        <v>1</v>
      </c>
      <c r="S8" t="s">
        <v>92</v>
      </c>
      <c r="T8">
        <v>2</v>
      </c>
      <c r="U8" t="s">
        <v>89</v>
      </c>
      <c r="V8" t="s">
        <v>94</v>
      </c>
      <c r="W8">
        <v>1</v>
      </c>
      <c r="X8">
        <v>0</v>
      </c>
    </row>
    <row r="9" spans="2:24" x14ac:dyDescent="0.3">
      <c r="B9">
        <v>5</v>
      </c>
      <c r="C9" t="s">
        <v>8</v>
      </c>
      <c r="D9">
        <v>24</v>
      </c>
      <c r="E9" t="s">
        <v>106</v>
      </c>
      <c r="F9" t="s">
        <v>107</v>
      </c>
      <c r="G9">
        <v>4870</v>
      </c>
      <c r="H9" t="s">
        <v>96</v>
      </c>
      <c r="I9" t="s">
        <v>97</v>
      </c>
      <c r="J9">
        <v>3</v>
      </c>
      <c r="K9" t="s">
        <v>88</v>
      </c>
      <c r="L9" t="s">
        <v>89</v>
      </c>
      <c r="M9">
        <v>4</v>
      </c>
      <c r="N9" t="s">
        <v>108</v>
      </c>
      <c r="O9">
        <v>53</v>
      </c>
      <c r="P9" t="s">
        <v>89</v>
      </c>
      <c r="Q9" t="s">
        <v>105</v>
      </c>
      <c r="R9">
        <v>2</v>
      </c>
      <c r="S9" t="s">
        <v>92</v>
      </c>
      <c r="T9">
        <v>2</v>
      </c>
      <c r="U9" t="s">
        <v>89</v>
      </c>
      <c r="V9" t="s">
        <v>94</v>
      </c>
      <c r="W9">
        <v>2</v>
      </c>
      <c r="X9">
        <v>1</v>
      </c>
    </row>
    <row r="10" spans="2:24" x14ac:dyDescent="0.3">
      <c r="B10">
        <v>6</v>
      </c>
      <c r="C10" t="s">
        <v>12</v>
      </c>
      <c r="D10">
        <v>36</v>
      </c>
      <c r="E10" t="s">
        <v>95</v>
      </c>
      <c r="F10" t="s">
        <v>99</v>
      </c>
      <c r="G10">
        <v>9055</v>
      </c>
      <c r="H10" t="s">
        <v>86</v>
      </c>
      <c r="I10" t="s">
        <v>97</v>
      </c>
      <c r="J10">
        <v>2</v>
      </c>
      <c r="K10" t="s">
        <v>88</v>
      </c>
      <c r="L10" t="s">
        <v>89</v>
      </c>
      <c r="M10">
        <v>4</v>
      </c>
      <c r="N10" t="s">
        <v>108</v>
      </c>
      <c r="O10">
        <v>35</v>
      </c>
      <c r="P10" t="s">
        <v>89</v>
      </c>
      <c r="Q10" t="s">
        <v>105</v>
      </c>
      <c r="R10">
        <v>1</v>
      </c>
      <c r="S10" t="s">
        <v>101</v>
      </c>
      <c r="T10">
        <v>2</v>
      </c>
      <c r="U10" t="s">
        <v>93</v>
      </c>
      <c r="V10" t="s">
        <v>94</v>
      </c>
      <c r="W10">
        <v>1</v>
      </c>
      <c r="X10">
        <v>0</v>
      </c>
    </row>
    <row r="11" spans="2:24" x14ac:dyDescent="0.3">
      <c r="B11">
        <v>7</v>
      </c>
      <c r="C11" t="s">
        <v>12</v>
      </c>
      <c r="D11">
        <v>24</v>
      </c>
      <c r="E11" t="s">
        <v>95</v>
      </c>
      <c r="F11" t="s">
        <v>102</v>
      </c>
      <c r="G11">
        <v>2835</v>
      </c>
      <c r="H11" t="s">
        <v>109</v>
      </c>
      <c r="I11" t="s">
        <v>87</v>
      </c>
      <c r="J11">
        <v>3</v>
      </c>
      <c r="K11" t="s">
        <v>88</v>
      </c>
      <c r="L11" t="s">
        <v>89</v>
      </c>
      <c r="M11">
        <v>4</v>
      </c>
      <c r="N11" t="s">
        <v>104</v>
      </c>
      <c r="O11">
        <v>53</v>
      </c>
      <c r="P11" t="s">
        <v>89</v>
      </c>
      <c r="Q11" t="s">
        <v>91</v>
      </c>
      <c r="R11">
        <v>1</v>
      </c>
      <c r="S11" t="s">
        <v>92</v>
      </c>
      <c r="T11">
        <v>1</v>
      </c>
      <c r="U11" t="s">
        <v>89</v>
      </c>
      <c r="V11" t="s">
        <v>94</v>
      </c>
      <c r="W11">
        <v>1</v>
      </c>
      <c r="X11">
        <v>0</v>
      </c>
    </row>
    <row r="12" spans="2:24" x14ac:dyDescent="0.3">
      <c r="B12">
        <v>8</v>
      </c>
      <c r="C12" t="s">
        <v>10</v>
      </c>
      <c r="D12">
        <v>36</v>
      </c>
      <c r="E12" t="s">
        <v>95</v>
      </c>
      <c r="F12" t="s">
        <v>110</v>
      </c>
      <c r="G12">
        <v>6948</v>
      </c>
      <c r="H12" t="s">
        <v>96</v>
      </c>
      <c r="I12" t="s">
        <v>97</v>
      </c>
      <c r="J12">
        <v>2</v>
      </c>
      <c r="K12" t="s">
        <v>88</v>
      </c>
      <c r="L12" t="s">
        <v>89</v>
      </c>
      <c r="M12">
        <v>2</v>
      </c>
      <c r="N12" t="s">
        <v>111</v>
      </c>
      <c r="O12">
        <v>35</v>
      </c>
      <c r="P12" t="s">
        <v>89</v>
      </c>
      <c r="Q12" t="s">
        <v>112</v>
      </c>
      <c r="R12">
        <v>1</v>
      </c>
      <c r="S12" t="s">
        <v>113</v>
      </c>
      <c r="T12">
        <v>1</v>
      </c>
      <c r="U12" t="s">
        <v>93</v>
      </c>
      <c r="V12" t="s">
        <v>94</v>
      </c>
      <c r="W12">
        <v>1</v>
      </c>
      <c r="X12">
        <v>0</v>
      </c>
    </row>
    <row r="13" spans="2:24" x14ac:dyDescent="0.3">
      <c r="B13">
        <v>9</v>
      </c>
      <c r="C13" t="s">
        <v>12</v>
      </c>
      <c r="D13">
        <v>12</v>
      </c>
      <c r="E13" t="s">
        <v>95</v>
      </c>
      <c r="F13" t="s">
        <v>85</v>
      </c>
      <c r="G13">
        <v>3059</v>
      </c>
      <c r="H13" t="s">
        <v>114</v>
      </c>
      <c r="I13" t="s">
        <v>100</v>
      </c>
      <c r="J13">
        <v>2</v>
      </c>
      <c r="K13" t="s">
        <v>115</v>
      </c>
      <c r="L13" t="s">
        <v>89</v>
      </c>
      <c r="M13">
        <v>4</v>
      </c>
      <c r="N13" t="s">
        <v>90</v>
      </c>
      <c r="O13">
        <v>61</v>
      </c>
      <c r="P13" t="s">
        <v>89</v>
      </c>
      <c r="Q13" t="s">
        <v>91</v>
      </c>
      <c r="R13">
        <v>1</v>
      </c>
      <c r="S13" t="s">
        <v>101</v>
      </c>
      <c r="T13">
        <v>1</v>
      </c>
      <c r="U13" t="s">
        <v>89</v>
      </c>
      <c r="V13" t="s">
        <v>94</v>
      </c>
      <c r="W13">
        <v>1</v>
      </c>
      <c r="X13">
        <v>0</v>
      </c>
    </row>
    <row r="14" spans="2:24" x14ac:dyDescent="0.3">
      <c r="B14">
        <v>10</v>
      </c>
      <c r="C14" t="s">
        <v>10</v>
      </c>
      <c r="D14">
        <v>30</v>
      </c>
      <c r="E14" t="s">
        <v>84</v>
      </c>
      <c r="F14" t="s">
        <v>107</v>
      </c>
      <c r="G14">
        <v>5234</v>
      </c>
      <c r="H14" t="s">
        <v>96</v>
      </c>
      <c r="I14" t="s">
        <v>116</v>
      </c>
      <c r="J14">
        <v>4</v>
      </c>
      <c r="K14" t="s">
        <v>117</v>
      </c>
      <c r="L14" t="s">
        <v>89</v>
      </c>
      <c r="M14">
        <v>2</v>
      </c>
      <c r="N14" t="s">
        <v>111</v>
      </c>
      <c r="O14">
        <v>28</v>
      </c>
      <c r="P14" t="s">
        <v>89</v>
      </c>
      <c r="Q14" t="s">
        <v>91</v>
      </c>
      <c r="R14">
        <v>2</v>
      </c>
      <c r="S14" t="s">
        <v>113</v>
      </c>
      <c r="T14">
        <v>1</v>
      </c>
      <c r="U14" t="s">
        <v>89</v>
      </c>
      <c r="V14" t="s">
        <v>94</v>
      </c>
      <c r="W14">
        <v>2</v>
      </c>
      <c r="X14">
        <v>1</v>
      </c>
    </row>
    <row r="15" spans="2:24" x14ac:dyDescent="0.3">
      <c r="B15">
        <v>11</v>
      </c>
      <c r="C15" t="s">
        <v>10</v>
      </c>
      <c r="D15">
        <v>12</v>
      </c>
      <c r="E15" t="s">
        <v>95</v>
      </c>
      <c r="F15" t="s">
        <v>107</v>
      </c>
      <c r="G15">
        <v>1295</v>
      </c>
      <c r="H15" t="s">
        <v>96</v>
      </c>
      <c r="I15" t="s">
        <v>118</v>
      </c>
      <c r="J15">
        <v>3</v>
      </c>
      <c r="K15" t="s">
        <v>98</v>
      </c>
      <c r="L15" t="s">
        <v>89</v>
      </c>
      <c r="M15">
        <v>1</v>
      </c>
      <c r="N15" t="s">
        <v>111</v>
      </c>
      <c r="O15">
        <v>25</v>
      </c>
      <c r="P15" t="s">
        <v>89</v>
      </c>
      <c r="Q15" t="s">
        <v>112</v>
      </c>
      <c r="R15">
        <v>1</v>
      </c>
      <c r="S15" t="s">
        <v>92</v>
      </c>
      <c r="T15">
        <v>1</v>
      </c>
      <c r="U15" t="s">
        <v>89</v>
      </c>
      <c r="V15" t="s">
        <v>94</v>
      </c>
      <c r="W15">
        <v>2</v>
      </c>
      <c r="X15">
        <v>1</v>
      </c>
    </row>
    <row r="16" spans="2:24" x14ac:dyDescent="0.3">
      <c r="B16">
        <v>12</v>
      </c>
      <c r="C16" t="s">
        <v>8</v>
      </c>
      <c r="D16">
        <v>48</v>
      </c>
      <c r="E16" t="s">
        <v>95</v>
      </c>
      <c r="F16" t="s">
        <v>119</v>
      </c>
      <c r="G16">
        <v>4308</v>
      </c>
      <c r="H16" t="s">
        <v>96</v>
      </c>
      <c r="I16" t="s">
        <v>118</v>
      </c>
      <c r="J16">
        <v>3</v>
      </c>
      <c r="K16" t="s">
        <v>98</v>
      </c>
      <c r="L16" t="s">
        <v>89</v>
      </c>
      <c r="M16">
        <v>4</v>
      </c>
      <c r="N16" t="s">
        <v>104</v>
      </c>
      <c r="O16">
        <v>24</v>
      </c>
      <c r="P16" t="s">
        <v>89</v>
      </c>
      <c r="Q16" t="s">
        <v>112</v>
      </c>
      <c r="R16">
        <v>1</v>
      </c>
      <c r="S16" t="s">
        <v>92</v>
      </c>
      <c r="T16">
        <v>1</v>
      </c>
      <c r="U16" t="s">
        <v>89</v>
      </c>
      <c r="V16" t="s">
        <v>94</v>
      </c>
      <c r="W16">
        <v>2</v>
      </c>
      <c r="X16">
        <v>1</v>
      </c>
    </row>
    <row r="17" spans="2:24" x14ac:dyDescent="0.3">
      <c r="B17">
        <v>13</v>
      </c>
      <c r="C17" t="s">
        <v>10</v>
      </c>
      <c r="D17">
        <v>12</v>
      </c>
      <c r="E17" t="s">
        <v>95</v>
      </c>
      <c r="F17" t="s">
        <v>85</v>
      </c>
      <c r="G17">
        <v>1567</v>
      </c>
      <c r="H17" t="s">
        <v>96</v>
      </c>
      <c r="I17" t="s">
        <v>97</v>
      </c>
      <c r="J17">
        <v>1</v>
      </c>
      <c r="K17" t="s">
        <v>98</v>
      </c>
      <c r="L17" t="s">
        <v>89</v>
      </c>
      <c r="M17">
        <v>1</v>
      </c>
      <c r="N17" t="s">
        <v>111</v>
      </c>
      <c r="O17">
        <v>22</v>
      </c>
      <c r="P17" t="s">
        <v>89</v>
      </c>
      <c r="Q17" t="s">
        <v>91</v>
      </c>
      <c r="R17">
        <v>1</v>
      </c>
      <c r="S17" t="s">
        <v>92</v>
      </c>
      <c r="T17">
        <v>1</v>
      </c>
      <c r="U17" t="s">
        <v>93</v>
      </c>
      <c r="V17" t="s">
        <v>94</v>
      </c>
      <c r="W17">
        <v>1</v>
      </c>
      <c r="X17">
        <v>0</v>
      </c>
    </row>
    <row r="18" spans="2:24" x14ac:dyDescent="0.3">
      <c r="B18">
        <v>14</v>
      </c>
      <c r="C18" t="s">
        <v>8</v>
      </c>
      <c r="D18">
        <v>24</v>
      </c>
      <c r="E18" t="s">
        <v>84</v>
      </c>
      <c r="F18" t="s">
        <v>107</v>
      </c>
      <c r="G18">
        <v>1199</v>
      </c>
      <c r="H18" t="s">
        <v>96</v>
      </c>
      <c r="I18" t="s">
        <v>87</v>
      </c>
      <c r="J18">
        <v>4</v>
      </c>
      <c r="K18" t="s">
        <v>88</v>
      </c>
      <c r="L18" t="s">
        <v>89</v>
      </c>
      <c r="M18">
        <v>4</v>
      </c>
      <c r="N18" t="s">
        <v>111</v>
      </c>
      <c r="O18">
        <v>60</v>
      </c>
      <c r="P18" t="s">
        <v>89</v>
      </c>
      <c r="Q18" t="s">
        <v>91</v>
      </c>
      <c r="R18">
        <v>2</v>
      </c>
      <c r="S18" t="s">
        <v>101</v>
      </c>
      <c r="T18">
        <v>1</v>
      </c>
      <c r="U18" t="s">
        <v>89</v>
      </c>
      <c r="V18" t="s">
        <v>94</v>
      </c>
      <c r="W18">
        <v>2</v>
      </c>
      <c r="X18">
        <v>1</v>
      </c>
    </row>
    <row r="19" spans="2:24" x14ac:dyDescent="0.3">
      <c r="B19">
        <v>15</v>
      </c>
      <c r="C19" t="s">
        <v>8</v>
      </c>
      <c r="D19">
        <v>15</v>
      </c>
      <c r="E19" t="s">
        <v>95</v>
      </c>
      <c r="F19" t="s">
        <v>107</v>
      </c>
      <c r="G19">
        <v>1403</v>
      </c>
      <c r="H19" t="s">
        <v>96</v>
      </c>
      <c r="I19" t="s">
        <v>97</v>
      </c>
      <c r="J19">
        <v>2</v>
      </c>
      <c r="K19" t="s">
        <v>98</v>
      </c>
      <c r="L19" t="s">
        <v>89</v>
      </c>
      <c r="M19">
        <v>4</v>
      </c>
      <c r="N19" t="s">
        <v>111</v>
      </c>
      <c r="O19">
        <v>28</v>
      </c>
      <c r="P19" t="s">
        <v>89</v>
      </c>
      <c r="Q19" t="s">
        <v>112</v>
      </c>
      <c r="R19">
        <v>1</v>
      </c>
      <c r="S19" t="s">
        <v>92</v>
      </c>
      <c r="T19">
        <v>1</v>
      </c>
      <c r="U19" t="s">
        <v>89</v>
      </c>
      <c r="V19" t="s">
        <v>94</v>
      </c>
      <c r="W19">
        <v>1</v>
      </c>
      <c r="X19">
        <v>0</v>
      </c>
    </row>
    <row r="20" spans="2:24" x14ac:dyDescent="0.3">
      <c r="B20">
        <v>16</v>
      </c>
      <c r="C20" t="s">
        <v>8</v>
      </c>
      <c r="D20">
        <v>24</v>
      </c>
      <c r="E20" t="s">
        <v>95</v>
      </c>
      <c r="F20" t="s">
        <v>85</v>
      </c>
      <c r="G20">
        <v>1282</v>
      </c>
      <c r="H20" t="s">
        <v>120</v>
      </c>
      <c r="I20" t="s">
        <v>97</v>
      </c>
      <c r="J20">
        <v>4</v>
      </c>
      <c r="K20" t="s">
        <v>98</v>
      </c>
      <c r="L20" t="s">
        <v>89</v>
      </c>
      <c r="M20">
        <v>2</v>
      </c>
      <c r="N20" t="s">
        <v>111</v>
      </c>
      <c r="O20">
        <v>32</v>
      </c>
      <c r="P20" t="s">
        <v>89</v>
      </c>
      <c r="Q20" t="s">
        <v>91</v>
      </c>
      <c r="R20">
        <v>1</v>
      </c>
      <c r="S20" t="s">
        <v>101</v>
      </c>
      <c r="T20">
        <v>1</v>
      </c>
      <c r="U20" t="s">
        <v>89</v>
      </c>
      <c r="V20" t="s">
        <v>94</v>
      </c>
      <c r="W20">
        <v>2</v>
      </c>
      <c r="X20">
        <v>1</v>
      </c>
    </row>
    <row r="21" spans="2:24" x14ac:dyDescent="0.3">
      <c r="B21">
        <v>17</v>
      </c>
      <c r="C21" t="s">
        <v>12</v>
      </c>
      <c r="D21">
        <v>24</v>
      </c>
      <c r="E21" t="s">
        <v>84</v>
      </c>
      <c r="F21" t="s">
        <v>85</v>
      </c>
      <c r="G21">
        <v>2424</v>
      </c>
      <c r="H21" t="s">
        <v>86</v>
      </c>
      <c r="I21" t="s">
        <v>87</v>
      </c>
      <c r="J21">
        <v>4</v>
      </c>
      <c r="K21" t="s">
        <v>88</v>
      </c>
      <c r="L21" t="s">
        <v>89</v>
      </c>
      <c r="M21">
        <v>4</v>
      </c>
      <c r="N21" t="s">
        <v>104</v>
      </c>
      <c r="O21">
        <v>53</v>
      </c>
      <c r="P21" t="s">
        <v>89</v>
      </c>
      <c r="Q21" t="s">
        <v>91</v>
      </c>
      <c r="R21">
        <v>2</v>
      </c>
      <c r="S21" t="s">
        <v>92</v>
      </c>
      <c r="T21">
        <v>1</v>
      </c>
      <c r="U21" t="s">
        <v>89</v>
      </c>
      <c r="V21" t="s">
        <v>94</v>
      </c>
      <c r="W21">
        <v>1</v>
      </c>
      <c r="X21">
        <v>0</v>
      </c>
    </row>
    <row r="22" spans="2:24" x14ac:dyDescent="0.3">
      <c r="B22">
        <v>18</v>
      </c>
      <c r="C22" t="s">
        <v>8</v>
      </c>
      <c r="D22">
        <v>30</v>
      </c>
      <c r="E22" t="s">
        <v>121</v>
      </c>
      <c r="F22" t="s">
        <v>119</v>
      </c>
      <c r="G22">
        <v>8072</v>
      </c>
      <c r="H22" t="s">
        <v>86</v>
      </c>
      <c r="I22" t="s">
        <v>118</v>
      </c>
      <c r="J22">
        <v>2</v>
      </c>
      <c r="K22" t="s">
        <v>88</v>
      </c>
      <c r="L22" t="s">
        <v>89</v>
      </c>
      <c r="M22">
        <v>3</v>
      </c>
      <c r="N22" t="s">
        <v>111</v>
      </c>
      <c r="O22">
        <v>25</v>
      </c>
      <c r="P22" t="s">
        <v>122</v>
      </c>
      <c r="Q22" t="s">
        <v>91</v>
      </c>
      <c r="R22">
        <v>3</v>
      </c>
      <c r="S22" t="s">
        <v>92</v>
      </c>
      <c r="T22">
        <v>1</v>
      </c>
      <c r="U22" t="s">
        <v>89</v>
      </c>
      <c r="V22" t="s">
        <v>94</v>
      </c>
      <c r="W22">
        <v>1</v>
      </c>
      <c r="X22">
        <v>0</v>
      </c>
    </row>
    <row r="23" spans="2:24" x14ac:dyDescent="0.3">
      <c r="B23">
        <v>19</v>
      </c>
      <c r="C23" t="s">
        <v>10</v>
      </c>
      <c r="D23">
        <v>24</v>
      </c>
      <c r="E23" t="s">
        <v>95</v>
      </c>
      <c r="F23" t="s">
        <v>110</v>
      </c>
      <c r="G23">
        <v>12579</v>
      </c>
      <c r="H23" t="s">
        <v>96</v>
      </c>
      <c r="I23" t="s">
        <v>87</v>
      </c>
      <c r="J23">
        <v>4</v>
      </c>
      <c r="K23" t="s">
        <v>98</v>
      </c>
      <c r="L23" t="s">
        <v>89</v>
      </c>
      <c r="M23">
        <v>2</v>
      </c>
      <c r="N23" t="s">
        <v>108</v>
      </c>
      <c r="O23">
        <v>44</v>
      </c>
      <c r="P23" t="s">
        <v>89</v>
      </c>
      <c r="Q23" t="s">
        <v>105</v>
      </c>
      <c r="R23">
        <v>1</v>
      </c>
      <c r="S23" t="s">
        <v>113</v>
      </c>
      <c r="T23">
        <v>1</v>
      </c>
      <c r="U23" t="s">
        <v>93</v>
      </c>
      <c r="V23" t="s">
        <v>94</v>
      </c>
      <c r="W23">
        <v>2</v>
      </c>
      <c r="X23">
        <v>1</v>
      </c>
    </row>
    <row r="24" spans="2:24" x14ac:dyDescent="0.3">
      <c r="B24">
        <v>20</v>
      </c>
      <c r="C24" t="s">
        <v>12</v>
      </c>
      <c r="D24">
        <v>24</v>
      </c>
      <c r="E24" t="s">
        <v>95</v>
      </c>
      <c r="F24" t="s">
        <v>85</v>
      </c>
      <c r="G24">
        <v>3430</v>
      </c>
      <c r="H24" t="s">
        <v>109</v>
      </c>
      <c r="I24" t="s">
        <v>87</v>
      </c>
      <c r="J24">
        <v>3</v>
      </c>
      <c r="K24" t="s">
        <v>88</v>
      </c>
      <c r="L24" t="s">
        <v>89</v>
      </c>
      <c r="M24">
        <v>2</v>
      </c>
      <c r="N24" t="s">
        <v>111</v>
      </c>
      <c r="O24">
        <v>31</v>
      </c>
      <c r="P24" t="s">
        <v>89</v>
      </c>
      <c r="Q24" t="s">
        <v>91</v>
      </c>
      <c r="R24">
        <v>1</v>
      </c>
      <c r="S24" t="s">
        <v>92</v>
      </c>
      <c r="T24">
        <v>2</v>
      </c>
      <c r="U24" t="s">
        <v>93</v>
      </c>
      <c r="V24" t="s">
        <v>94</v>
      </c>
      <c r="W24">
        <v>1</v>
      </c>
      <c r="X24">
        <v>0</v>
      </c>
    </row>
    <row r="25" spans="2:24" x14ac:dyDescent="0.3">
      <c r="B25">
        <v>21</v>
      </c>
      <c r="C25" t="s">
        <v>12</v>
      </c>
      <c r="D25">
        <v>9</v>
      </c>
      <c r="E25" t="s">
        <v>84</v>
      </c>
      <c r="F25" t="s">
        <v>107</v>
      </c>
      <c r="G25">
        <v>2134</v>
      </c>
      <c r="H25" t="s">
        <v>96</v>
      </c>
      <c r="I25" t="s">
        <v>97</v>
      </c>
      <c r="J25">
        <v>4</v>
      </c>
      <c r="K25" t="s">
        <v>88</v>
      </c>
      <c r="L25" t="s">
        <v>89</v>
      </c>
      <c r="M25">
        <v>4</v>
      </c>
      <c r="N25" t="s">
        <v>111</v>
      </c>
      <c r="O25">
        <v>48</v>
      </c>
      <c r="P25" t="s">
        <v>89</v>
      </c>
      <c r="Q25" t="s">
        <v>91</v>
      </c>
      <c r="R25">
        <v>3</v>
      </c>
      <c r="S25" t="s">
        <v>92</v>
      </c>
      <c r="T25">
        <v>1</v>
      </c>
      <c r="U25" t="s">
        <v>93</v>
      </c>
      <c r="V25" t="s">
        <v>94</v>
      </c>
      <c r="W25">
        <v>1</v>
      </c>
      <c r="X25">
        <v>0</v>
      </c>
    </row>
    <row r="26" spans="2:24" x14ac:dyDescent="0.3">
      <c r="B26">
        <v>22</v>
      </c>
      <c r="C26" t="s">
        <v>8</v>
      </c>
      <c r="D26">
        <v>6</v>
      </c>
      <c r="E26" t="s">
        <v>95</v>
      </c>
      <c r="F26" t="s">
        <v>85</v>
      </c>
      <c r="G26">
        <v>2647</v>
      </c>
      <c r="H26" t="s">
        <v>109</v>
      </c>
      <c r="I26" t="s">
        <v>97</v>
      </c>
      <c r="J26">
        <v>2</v>
      </c>
      <c r="K26" t="s">
        <v>88</v>
      </c>
      <c r="L26" t="s">
        <v>89</v>
      </c>
      <c r="M26">
        <v>3</v>
      </c>
      <c r="N26" t="s">
        <v>90</v>
      </c>
      <c r="O26">
        <v>44</v>
      </c>
      <c r="P26" t="s">
        <v>89</v>
      </c>
      <c r="Q26" t="s">
        <v>112</v>
      </c>
      <c r="R26">
        <v>1</v>
      </c>
      <c r="S26" t="s">
        <v>92</v>
      </c>
      <c r="T26">
        <v>2</v>
      </c>
      <c r="U26" t="s">
        <v>89</v>
      </c>
      <c r="V26" t="s">
        <v>94</v>
      </c>
      <c r="W26">
        <v>1</v>
      </c>
      <c r="X26">
        <v>0</v>
      </c>
    </row>
    <row r="27" spans="2:24" x14ac:dyDescent="0.3">
      <c r="B27">
        <v>23</v>
      </c>
      <c r="C27" t="s">
        <v>8</v>
      </c>
      <c r="D27">
        <v>10</v>
      </c>
      <c r="E27" t="s">
        <v>84</v>
      </c>
      <c r="F27" t="s">
        <v>107</v>
      </c>
      <c r="G27">
        <v>2241</v>
      </c>
      <c r="H27" t="s">
        <v>96</v>
      </c>
      <c r="I27" t="s">
        <v>118</v>
      </c>
      <c r="J27">
        <v>1</v>
      </c>
      <c r="K27" t="s">
        <v>88</v>
      </c>
      <c r="L27" t="s">
        <v>89</v>
      </c>
      <c r="M27">
        <v>3</v>
      </c>
      <c r="N27" t="s">
        <v>90</v>
      </c>
      <c r="O27">
        <v>48</v>
      </c>
      <c r="P27" t="s">
        <v>89</v>
      </c>
      <c r="Q27" t="s">
        <v>112</v>
      </c>
      <c r="R27">
        <v>2</v>
      </c>
      <c r="S27" t="s">
        <v>101</v>
      </c>
      <c r="T27">
        <v>2</v>
      </c>
      <c r="U27" t="s">
        <v>89</v>
      </c>
      <c r="V27" t="s">
        <v>123</v>
      </c>
      <c r="W27">
        <v>1</v>
      </c>
      <c r="X27">
        <v>0</v>
      </c>
    </row>
    <row r="28" spans="2:24" x14ac:dyDescent="0.3">
      <c r="B28">
        <v>24</v>
      </c>
      <c r="C28" t="s">
        <v>10</v>
      </c>
      <c r="D28">
        <v>12</v>
      </c>
      <c r="E28" t="s">
        <v>84</v>
      </c>
      <c r="F28" t="s">
        <v>110</v>
      </c>
      <c r="G28">
        <v>1804</v>
      </c>
      <c r="H28" t="s">
        <v>120</v>
      </c>
      <c r="I28" t="s">
        <v>118</v>
      </c>
      <c r="J28">
        <v>3</v>
      </c>
      <c r="K28" t="s">
        <v>88</v>
      </c>
      <c r="L28" t="s">
        <v>89</v>
      </c>
      <c r="M28">
        <v>4</v>
      </c>
      <c r="N28" t="s">
        <v>104</v>
      </c>
      <c r="O28">
        <v>44</v>
      </c>
      <c r="P28" t="s">
        <v>89</v>
      </c>
      <c r="Q28" t="s">
        <v>91</v>
      </c>
      <c r="R28">
        <v>1</v>
      </c>
      <c r="S28" t="s">
        <v>92</v>
      </c>
      <c r="T28">
        <v>1</v>
      </c>
      <c r="U28" t="s">
        <v>89</v>
      </c>
      <c r="V28" t="s">
        <v>94</v>
      </c>
      <c r="W28">
        <v>1</v>
      </c>
      <c r="X28">
        <v>0</v>
      </c>
    </row>
    <row r="29" spans="2:24" x14ac:dyDescent="0.3">
      <c r="B29">
        <v>25</v>
      </c>
      <c r="C29" t="s">
        <v>12</v>
      </c>
      <c r="D29">
        <v>10</v>
      </c>
      <c r="E29" t="s">
        <v>84</v>
      </c>
      <c r="F29" t="s">
        <v>102</v>
      </c>
      <c r="G29">
        <v>2069</v>
      </c>
      <c r="H29" t="s">
        <v>86</v>
      </c>
      <c r="I29" t="s">
        <v>97</v>
      </c>
      <c r="J29">
        <v>2</v>
      </c>
      <c r="K29" t="s">
        <v>117</v>
      </c>
      <c r="L29" t="s">
        <v>89</v>
      </c>
      <c r="M29">
        <v>1</v>
      </c>
      <c r="N29" t="s">
        <v>111</v>
      </c>
      <c r="O29">
        <v>26</v>
      </c>
      <c r="P29" t="s">
        <v>89</v>
      </c>
      <c r="Q29" t="s">
        <v>91</v>
      </c>
      <c r="R29">
        <v>2</v>
      </c>
      <c r="S29" t="s">
        <v>92</v>
      </c>
      <c r="T29">
        <v>1</v>
      </c>
      <c r="U29" t="s">
        <v>89</v>
      </c>
      <c r="V29" t="s">
        <v>123</v>
      </c>
      <c r="W29">
        <v>1</v>
      </c>
      <c r="X29">
        <v>0</v>
      </c>
    </row>
    <row r="30" spans="2:24" x14ac:dyDescent="0.3">
      <c r="B30">
        <v>26</v>
      </c>
      <c r="C30" t="s">
        <v>8</v>
      </c>
      <c r="D30">
        <v>6</v>
      </c>
      <c r="E30" t="s">
        <v>95</v>
      </c>
      <c r="F30" t="s">
        <v>102</v>
      </c>
      <c r="G30">
        <v>1374</v>
      </c>
      <c r="H30" t="s">
        <v>96</v>
      </c>
      <c r="I30" t="s">
        <v>97</v>
      </c>
      <c r="J30">
        <v>1</v>
      </c>
      <c r="K30" t="s">
        <v>88</v>
      </c>
      <c r="L30" t="s">
        <v>89</v>
      </c>
      <c r="M30">
        <v>2</v>
      </c>
      <c r="N30" t="s">
        <v>90</v>
      </c>
      <c r="O30">
        <v>36</v>
      </c>
      <c r="P30" t="s">
        <v>122</v>
      </c>
      <c r="Q30" t="s">
        <v>91</v>
      </c>
      <c r="R30">
        <v>1</v>
      </c>
      <c r="S30" t="s">
        <v>101</v>
      </c>
      <c r="T30">
        <v>1</v>
      </c>
      <c r="U30" t="s">
        <v>93</v>
      </c>
      <c r="V30" t="s">
        <v>94</v>
      </c>
      <c r="W30">
        <v>1</v>
      </c>
      <c r="X30">
        <v>0</v>
      </c>
    </row>
    <row r="31" spans="2:24" x14ac:dyDescent="0.3">
      <c r="B31">
        <v>27</v>
      </c>
      <c r="C31" t="s">
        <v>12</v>
      </c>
      <c r="D31">
        <v>6</v>
      </c>
      <c r="E31" t="s">
        <v>121</v>
      </c>
      <c r="F31" t="s">
        <v>85</v>
      </c>
      <c r="G31">
        <v>426</v>
      </c>
      <c r="H31" t="s">
        <v>96</v>
      </c>
      <c r="I31" t="s">
        <v>87</v>
      </c>
      <c r="J31">
        <v>4</v>
      </c>
      <c r="K31" t="s">
        <v>117</v>
      </c>
      <c r="L31" t="s">
        <v>89</v>
      </c>
      <c r="M31">
        <v>4</v>
      </c>
      <c r="N31" t="s">
        <v>111</v>
      </c>
      <c r="O31">
        <v>39</v>
      </c>
      <c r="P31" t="s">
        <v>89</v>
      </c>
      <c r="Q31" t="s">
        <v>91</v>
      </c>
      <c r="R31">
        <v>1</v>
      </c>
      <c r="S31" t="s">
        <v>101</v>
      </c>
      <c r="T31">
        <v>1</v>
      </c>
      <c r="U31" t="s">
        <v>89</v>
      </c>
      <c r="V31" t="s">
        <v>94</v>
      </c>
      <c r="W31">
        <v>1</v>
      </c>
      <c r="X31">
        <v>0</v>
      </c>
    </row>
    <row r="32" spans="2:24" x14ac:dyDescent="0.3">
      <c r="B32">
        <v>28</v>
      </c>
      <c r="C32" t="s">
        <v>11</v>
      </c>
      <c r="D32">
        <v>12</v>
      </c>
      <c r="E32" t="s">
        <v>124</v>
      </c>
      <c r="F32" t="s">
        <v>85</v>
      </c>
      <c r="G32">
        <v>409</v>
      </c>
      <c r="H32" t="s">
        <v>114</v>
      </c>
      <c r="I32" t="s">
        <v>97</v>
      </c>
      <c r="J32">
        <v>3</v>
      </c>
      <c r="K32" t="s">
        <v>98</v>
      </c>
      <c r="L32" t="s">
        <v>89</v>
      </c>
      <c r="M32">
        <v>3</v>
      </c>
      <c r="N32" t="s">
        <v>90</v>
      </c>
      <c r="O32">
        <v>42</v>
      </c>
      <c r="P32" t="s">
        <v>89</v>
      </c>
      <c r="Q32" t="s">
        <v>112</v>
      </c>
      <c r="R32">
        <v>2</v>
      </c>
      <c r="S32" t="s">
        <v>92</v>
      </c>
      <c r="T32">
        <v>1</v>
      </c>
      <c r="U32" t="s">
        <v>89</v>
      </c>
      <c r="V32" t="s">
        <v>94</v>
      </c>
      <c r="W32">
        <v>1</v>
      </c>
      <c r="X32">
        <v>0</v>
      </c>
    </row>
    <row r="33" spans="2:24" x14ac:dyDescent="0.3">
      <c r="B33">
        <v>29</v>
      </c>
      <c r="C33" t="s">
        <v>10</v>
      </c>
      <c r="D33">
        <v>7</v>
      </c>
      <c r="E33" t="s">
        <v>95</v>
      </c>
      <c r="F33" t="s">
        <v>85</v>
      </c>
      <c r="G33">
        <v>2415</v>
      </c>
      <c r="H33" t="s">
        <v>96</v>
      </c>
      <c r="I33" t="s">
        <v>97</v>
      </c>
      <c r="J33">
        <v>3</v>
      </c>
      <c r="K33" t="s">
        <v>88</v>
      </c>
      <c r="L33" t="s">
        <v>103</v>
      </c>
      <c r="M33">
        <v>2</v>
      </c>
      <c r="N33" t="s">
        <v>90</v>
      </c>
      <c r="O33">
        <v>34</v>
      </c>
      <c r="P33" t="s">
        <v>89</v>
      </c>
      <c r="Q33" t="s">
        <v>91</v>
      </c>
      <c r="R33">
        <v>1</v>
      </c>
      <c r="S33" t="s">
        <v>92</v>
      </c>
      <c r="T33">
        <v>1</v>
      </c>
      <c r="U33" t="s">
        <v>89</v>
      </c>
      <c r="V33" t="s">
        <v>94</v>
      </c>
      <c r="W33">
        <v>1</v>
      </c>
      <c r="X33">
        <v>0</v>
      </c>
    </row>
    <row r="34" spans="2:24" x14ac:dyDescent="0.3">
      <c r="B34">
        <v>30</v>
      </c>
      <c r="C34" t="s">
        <v>8</v>
      </c>
      <c r="D34">
        <v>60</v>
      </c>
      <c r="E34" t="s">
        <v>106</v>
      </c>
      <c r="F34" t="s">
        <v>119</v>
      </c>
      <c r="G34">
        <v>6836</v>
      </c>
      <c r="H34" t="s">
        <v>96</v>
      </c>
      <c r="I34" t="s">
        <v>87</v>
      </c>
      <c r="J34">
        <v>3</v>
      </c>
      <c r="K34" t="s">
        <v>88</v>
      </c>
      <c r="L34" t="s">
        <v>89</v>
      </c>
      <c r="M34">
        <v>4</v>
      </c>
      <c r="N34" t="s">
        <v>108</v>
      </c>
      <c r="O34">
        <v>63</v>
      </c>
      <c r="P34" t="s">
        <v>89</v>
      </c>
      <c r="Q34" t="s">
        <v>91</v>
      </c>
      <c r="R34">
        <v>2</v>
      </c>
      <c r="S34" t="s">
        <v>92</v>
      </c>
      <c r="T34">
        <v>1</v>
      </c>
      <c r="U34" t="s">
        <v>93</v>
      </c>
      <c r="V34" t="s">
        <v>94</v>
      </c>
      <c r="W34">
        <v>2</v>
      </c>
      <c r="X34">
        <v>1</v>
      </c>
    </row>
    <row r="35" spans="2:24" x14ac:dyDescent="0.3">
      <c r="B35">
        <v>31</v>
      </c>
      <c r="C35" t="s">
        <v>10</v>
      </c>
      <c r="D35">
        <v>18</v>
      </c>
      <c r="E35" t="s">
        <v>95</v>
      </c>
      <c r="F35" t="s">
        <v>119</v>
      </c>
      <c r="G35">
        <v>1913</v>
      </c>
      <c r="H35" t="s">
        <v>114</v>
      </c>
      <c r="I35" t="s">
        <v>118</v>
      </c>
      <c r="J35">
        <v>3</v>
      </c>
      <c r="K35" t="s">
        <v>117</v>
      </c>
      <c r="L35" t="s">
        <v>89</v>
      </c>
      <c r="M35">
        <v>3</v>
      </c>
      <c r="N35" t="s">
        <v>90</v>
      </c>
      <c r="O35">
        <v>36</v>
      </c>
      <c r="P35" t="s">
        <v>122</v>
      </c>
      <c r="Q35" t="s">
        <v>91</v>
      </c>
      <c r="R35">
        <v>1</v>
      </c>
      <c r="S35" t="s">
        <v>92</v>
      </c>
      <c r="T35">
        <v>1</v>
      </c>
      <c r="U35" t="s">
        <v>93</v>
      </c>
      <c r="V35" t="s">
        <v>94</v>
      </c>
      <c r="W35">
        <v>1</v>
      </c>
      <c r="X35">
        <v>0</v>
      </c>
    </row>
    <row r="36" spans="2:24" x14ac:dyDescent="0.3">
      <c r="B36">
        <v>32</v>
      </c>
      <c r="C36" t="s">
        <v>8</v>
      </c>
      <c r="D36">
        <v>24</v>
      </c>
      <c r="E36" t="s">
        <v>95</v>
      </c>
      <c r="F36" t="s">
        <v>102</v>
      </c>
      <c r="G36">
        <v>4020</v>
      </c>
      <c r="H36" t="s">
        <v>96</v>
      </c>
      <c r="I36" t="s">
        <v>97</v>
      </c>
      <c r="J36">
        <v>2</v>
      </c>
      <c r="K36" t="s">
        <v>88</v>
      </c>
      <c r="L36" t="s">
        <v>89</v>
      </c>
      <c r="M36">
        <v>2</v>
      </c>
      <c r="N36" t="s">
        <v>111</v>
      </c>
      <c r="O36">
        <v>27</v>
      </c>
      <c r="P36" t="s">
        <v>125</v>
      </c>
      <c r="Q36" t="s">
        <v>91</v>
      </c>
      <c r="R36">
        <v>1</v>
      </c>
      <c r="S36" t="s">
        <v>92</v>
      </c>
      <c r="T36">
        <v>1</v>
      </c>
      <c r="U36" t="s">
        <v>89</v>
      </c>
      <c r="V36" t="s">
        <v>94</v>
      </c>
      <c r="W36">
        <v>1</v>
      </c>
      <c r="X36">
        <v>0</v>
      </c>
    </row>
    <row r="37" spans="2:24" x14ac:dyDescent="0.3">
      <c r="B37">
        <v>33</v>
      </c>
      <c r="C37" t="s">
        <v>10</v>
      </c>
      <c r="D37">
        <v>18</v>
      </c>
      <c r="E37" t="s">
        <v>95</v>
      </c>
      <c r="F37" t="s">
        <v>107</v>
      </c>
      <c r="G37">
        <v>5866</v>
      </c>
      <c r="H37" t="s">
        <v>120</v>
      </c>
      <c r="I37" t="s">
        <v>97</v>
      </c>
      <c r="J37">
        <v>2</v>
      </c>
      <c r="K37" t="s">
        <v>88</v>
      </c>
      <c r="L37" t="s">
        <v>89</v>
      </c>
      <c r="M37">
        <v>2</v>
      </c>
      <c r="N37" t="s">
        <v>111</v>
      </c>
      <c r="O37">
        <v>30</v>
      </c>
      <c r="P37" t="s">
        <v>89</v>
      </c>
      <c r="Q37" t="s">
        <v>91</v>
      </c>
      <c r="R37">
        <v>2</v>
      </c>
      <c r="S37" t="s">
        <v>92</v>
      </c>
      <c r="T37">
        <v>1</v>
      </c>
      <c r="U37" t="s">
        <v>93</v>
      </c>
      <c r="V37" t="s">
        <v>94</v>
      </c>
      <c r="W37">
        <v>1</v>
      </c>
      <c r="X37">
        <v>0</v>
      </c>
    </row>
    <row r="38" spans="2:24" x14ac:dyDescent="0.3">
      <c r="B38">
        <v>34</v>
      </c>
      <c r="C38" t="s">
        <v>12</v>
      </c>
      <c r="D38">
        <v>12</v>
      </c>
      <c r="E38" t="s">
        <v>84</v>
      </c>
      <c r="F38" t="s">
        <v>119</v>
      </c>
      <c r="G38">
        <v>1264</v>
      </c>
      <c r="H38" t="s">
        <v>86</v>
      </c>
      <c r="I38" t="s">
        <v>87</v>
      </c>
      <c r="J38">
        <v>4</v>
      </c>
      <c r="K38" t="s">
        <v>88</v>
      </c>
      <c r="L38" t="s">
        <v>89</v>
      </c>
      <c r="M38">
        <v>4</v>
      </c>
      <c r="N38" t="s">
        <v>108</v>
      </c>
      <c r="O38">
        <v>57</v>
      </c>
      <c r="P38" t="s">
        <v>89</v>
      </c>
      <c r="Q38" t="s">
        <v>112</v>
      </c>
      <c r="R38">
        <v>1</v>
      </c>
      <c r="S38" t="s">
        <v>101</v>
      </c>
      <c r="T38">
        <v>1</v>
      </c>
      <c r="U38" t="s">
        <v>89</v>
      </c>
      <c r="V38" t="s">
        <v>94</v>
      </c>
      <c r="W38">
        <v>1</v>
      </c>
      <c r="X38">
        <v>0</v>
      </c>
    </row>
    <row r="39" spans="2:24" x14ac:dyDescent="0.3">
      <c r="B39">
        <v>35</v>
      </c>
      <c r="C39" t="s">
        <v>11</v>
      </c>
      <c r="D39">
        <v>12</v>
      </c>
      <c r="E39" t="s">
        <v>95</v>
      </c>
      <c r="F39" t="s">
        <v>102</v>
      </c>
      <c r="G39">
        <v>1474</v>
      </c>
      <c r="H39" t="s">
        <v>96</v>
      </c>
      <c r="I39" t="s">
        <v>118</v>
      </c>
      <c r="J39">
        <v>4</v>
      </c>
      <c r="K39" t="s">
        <v>98</v>
      </c>
      <c r="L39" t="s">
        <v>89</v>
      </c>
      <c r="M39">
        <v>1</v>
      </c>
      <c r="N39" t="s">
        <v>104</v>
      </c>
      <c r="O39">
        <v>33</v>
      </c>
      <c r="P39" t="s">
        <v>122</v>
      </c>
      <c r="Q39" t="s">
        <v>91</v>
      </c>
      <c r="R39">
        <v>1</v>
      </c>
      <c r="S39" t="s">
        <v>113</v>
      </c>
      <c r="T39">
        <v>1</v>
      </c>
      <c r="U39" t="s">
        <v>93</v>
      </c>
      <c r="V39" t="s">
        <v>94</v>
      </c>
      <c r="W39">
        <v>1</v>
      </c>
      <c r="X39">
        <v>0</v>
      </c>
    </row>
    <row r="40" spans="2:24" x14ac:dyDescent="0.3">
      <c r="B40">
        <v>36</v>
      </c>
      <c r="C40" t="s">
        <v>10</v>
      </c>
      <c r="D40">
        <v>45</v>
      </c>
      <c r="E40" t="s">
        <v>84</v>
      </c>
      <c r="F40" t="s">
        <v>85</v>
      </c>
      <c r="G40">
        <v>4746</v>
      </c>
      <c r="H40" t="s">
        <v>96</v>
      </c>
      <c r="I40" t="s">
        <v>118</v>
      </c>
      <c r="J40">
        <v>4</v>
      </c>
      <c r="K40" t="s">
        <v>88</v>
      </c>
      <c r="L40" t="s">
        <v>89</v>
      </c>
      <c r="M40">
        <v>2</v>
      </c>
      <c r="N40" t="s">
        <v>104</v>
      </c>
      <c r="O40">
        <v>25</v>
      </c>
      <c r="P40" t="s">
        <v>89</v>
      </c>
      <c r="Q40" t="s">
        <v>91</v>
      </c>
      <c r="R40">
        <v>2</v>
      </c>
      <c r="S40" t="s">
        <v>101</v>
      </c>
      <c r="T40">
        <v>1</v>
      </c>
      <c r="U40" t="s">
        <v>89</v>
      </c>
      <c r="V40" t="s">
        <v>94</v>
      </c>
      <c r="W40">
        <v>2</v>
      </c>
      <c r="X40">
        <v>1</v>
      </c>
    </row>
    <row r="41" spans="2:24" x14ac:dyDescent="0.3">
      <c r="B41">
        <v>37</v>
      </c>
      <c r="C41" t="s">
        <v>12</v>
      </c>
      <c r="D41">
        <v>48</v>
      </c>
      <c r="E41" t="s">
        <v>84</v>
      </c>
      <c r="F41" t="s">
        <v>99</v>
      </c>
      <c r="G41">
        <v>6110</v>
      </c>
      <c r="H41" t="s">
        <v>96</v>
      </c>
      <c r="I41" t="s">
        <v>97</v>
      </c>
      <c r="J41">
        <v>1</v>
      </c>
      <c r="K41" t="s">
        <v>88</v>
      </c>
      <c r="L41" t="s">
        <v>89</v>
      </c>
      <c r="M41">
        <v>3</v>
      </c>
      <c r="N41" t="s">
        <v>108</v>
      </c>
      <c r="O41">
        <v>31</v>
      </c>
      <c r="P41" t="s">
        <v>122</v>
      </c>
      <c r="Q41" t="s">
        <v>105</v>
      </c>
      <c r="R41">
        <v>1</v>
      </c>
      <c r="S41" t="s">
        <v>92</v>
      </c>
      <c r="T41">
        <v>1</v>
      </c>
      <c r="U41" t="s">
        <v>93</v>
      </c>
      <c r="V41" t="s">
        <v>94</v>
      </c>
      <c r="W41">
        <v>1</v>
      </c>
      <c r="X41">
        <v>0</v>
      </c>
    </row>
    <row r="42" spans="2:24" x14ac:dyDescent="0.3">
      <c r="B42">
        <v>38</v>
      </c>
      <c r="C42" t="s">
        <v>11</v>
      </c>
      <c r="D42">
        <v>18</v>
      </c>
      <c r="E42" t="s">
        <v>95</v>
      </c>
      <c r="F42" t="s">
        <v>85</v>
      </c>
      <c r="G42">
        <v>2100</v>
      </c>
      <c r="H42" t="s">
        <v>96</v>
      </c>
      <c r="I42" t="s">
        <v>97</v>
      </c>
      <c r="J42">
        <v>4</v>
      </c>
      <c r="K42" t="s">
        <v>88</v>
      </c>
      <c r="L42" t="s">
        <v>126</v>
      </c>
      <c r="M42">
        <v>2</v>
      </c>
      <c r="N42" t="s">
        <v>90</v>
      </c>
      <c r="O42">
        <v>37</v>
      </c>
      <c r="P42" t="s">
        <v>125</v>
      </c>
      <c r="Q42" t="s">
        <v>91</v>
      </c>
      <c r="R42">
        <v>1</v>
      </c>
      <c r="S42" t="s">
        <v>92</v>
      </c>
      <c r="T42">
        <v>1</v>
      </c>
      <c r="U42" t="s">
        <v>89</v>
      </c>
      <c r="V42" t="s">
        <v>94</v>
      </c>
      <c r="W42">
        <v>2</v>
      </c>
      <c r="X42">
        <v>1</v>
      </c>
    </row>
    <row r="43" spans="2:24" x14ac:dyDescent="0.3">
      <c r="B43">
        <v>39</v>
      </c>
      <c r="C43" t="s">
        <v>11</v>
      </c>
      <c r="D43">
        <v>10</v>
      </c>
      <c r="E43" t="s">
        <v>95</v>
      </c>
      <c r="F43" t="s">
        <v>127</v>
      </c>
      <c r="G43">
        <v>1225</v>
      </c>
      <c r="H43" t="s">
        <v>96</v>
      </c>
      <c r="I43" t="s">
        <v>97</v>
      </c>
      <c r="J43">
        <v>2</v>
      </c>
      <c r="K43" t="s">
        <v>88</v>
      </c>
      <c r="L43" t="s">
        <v>89</v>
      </c>
      <c r="M43">
        <v>2</v>
      </c>
      <c r="N43" t="s">
        <v>111</v>
      </c>
      <c r="O43">
        <v>37</v>
      </c>
      <c r="P43" t="s">
        <v>89</v>
      </c>
      <c r="Q43" t="s">
        <v>91</v>
      </c>
      <c r="R43">
        <v>1</v>
      </c>
      <c r="S43" t="s">
        <v>92</v>
      </c>
      <c r="T43">
        <v>1</v>
      </c>
      <c r="U43" t="s">
        <v>93</v>
      </c>
      <c r="V43" t="s">
        <v>94</v>
      </c>
      <c r="W43">
        <v>1</v>
      </c>
      <c r="X43">
        <v>0</v>
      </c>
    </row>
    <row r="44" spans="2:24" x14ac:dyDescent="0.3">
      <c r="B44">
        <v>40</v>
      </c>
      <c r="C44" t="s">
        <v>10</v>
      </c>
      <c r="D44">
        <v>9</v>
      </c>
      <c r="E44" t="s">
        <v>95</v>
      </c>
      <c r="F44" t="s">
        <v>85</v>
      </c>
      <c r="G44">
        <v>458</v>
      </c>
      <c r="H44" t="s">
        <v>96</v>
      </c>
      <c r="I44" t="s">
        <v>97</v>
      </c>
      <c r="J44">
        <v>4</v>
      </c>
      <c r="K44" t="s">
        <v>88</v>
      </c>
      <c r="L44" t="s">
        <v>89</v>
      </c>
      <c r="M44">
        <v>3</v>
      </c>
      <c r="N44" t="s">
        <v>90</v>
      </c>
      <c r="O44">
        <v>24</v>
      </c>
      <c r="P44" t="s">
        <v>89</v>
      </c>
      <c r="Q44" t="s">
        <v>91</v>
      </c>
      <c r="R44">
        <v>1</v>
      </c>
      <c r="S44" t="s">
        <v>92</v>
      </c>
      <c r="T44">
        <v>1</v>
      </c>
      <c r="U44" t="s">
        <v>89</v>
      </c>
      <c r="V44" t="s">
        <v>94</v>
      </c>
      <c r="W44">
        <v>1</v>
      </c>
      <c r="X44">
        <v>0</v>
      </c>
    </row>
    <row r="45" spans="2:24" x14ac:dyDescent="0.3">
      <c r="B45">
        <v>41</v>
      </c>
      <c r="C45" t="s">
        <v>12</v>
      </c>
      <c r="D45">
        <v>30</v>
      </c>
      <c r="E45" t="s">
        <v>95</v>
      </c>
      <c r="F45" t="s">
        <v>85</v>
      </c>
      <c r="G45">
        <v>2333</v>
      </c>
      <c r="H45" t="s">
        <v>109</v>
      </c>
      <c r="I45" t="s">
        <v>87</v>
      </c>
      <c r="J45">
        <v>4</v>
      </c>
      <c r="K45" t="s">
        <v>88</v>
      </c>
      <c r="L45" t="s">
        <v>89</v>
      </c>
      <c r="M45">
        <v>2</v>
      </c>
      <c r="N45" t="s">
        <v>111</v>
      </c>
      <c r="O45">
        <v>30</v>
      </c>
      <c r="P45" t="s">
        <v>122</v>
      </c>
      <c r="Q45" t="s">
        <v>91</v>
      </c>
      <c r="R45">
        <v>1</v>
      </c>
      <c r="S45" t="s">
        <v>113</v>
      </c>
      <c r="T45">
        <v>1</v>
      </c>
      <c r="U45" t="s">
        <v>89</v>
      </c>
      <c r="V45" t="s">
        <v>94</v>
      </c>
      <c r="W45">
        <v>1</v>
      </c>
      <c r="X45">
        <v>0</v>
      </c>
    </row>
    <row r="46" spans="2:24" x14ac:dyDescent="0.3">
      <c r="B46">
        <v>42</v>
      </c>
      <c r="C46" t="s">
        <v>10</v>
      </c>
      <c r="D46">
        <v>12</v>
      </c>
      <c r="E46" t="s">
        <v>95</v>
      </c>
      <c r="F46" t="s">
        <v>85</v>
      </c>
      <c r="G46">
        <v>1158</v>
      </c>
      <c r="H46" t="s">
        <v>109</v>
      </c>
      <c r="I46" t="s">
        <v>97</v>
      </c>
      <c r="J46">
        <v>3</v>
      </c>
      <c r="K46" t="s">
        <v>115</v>
      </c>
      <c r="L46" t="s">
        <v>89</v>
      </c>
      <c r="M46">
        <v>1</v>
      </c>
      <c r="N46" t="s">
        <v>111</v>
      </c>
      <c r="O46">
        <v>26</v>
      </c>
      <c r="P46" t="s">
        <v>89</v>
      </c>
      <c r="Q46" t="s">
        <v>91</v>
      </c>
      <c r="R46">
        <v>1</v>
      </c>
      <c r="S46" t="s">
        <v>92</v>
      </c>
      <c r="T46">
        <v>1</v>
      </c>
      <c r="U46" t="s">
        <v>93</v>
      </c>
      <c r="V46" t="s">
        <v>94</v>
      </c>
      <c r="W46">
        <v>1</v>
      </c>
      <c r="X46">
        <v>0</v>
      </c>
    </row>
    <row r="47" spans="2:24" x14ac:dyDescent="0.3">
      <c r="B47">
        <v>43</v>
      </c>
      <c r="C47" t="s">
        <v>10</v>
      </c>
      <c r="D47">
        <v>18</v>
      </c>
      <c r="E47" t="s">
        <v>106</v>
      </c>
      <c r="F47" t="s">
        <v>128</v>
      </c>
      <c r="G47">
        <v>6204</v>
      </c>
      <c r="H47" t="s">
        <v>96</v>
      </c>
      <c r="I47" t="s">
        <v>97</v>
      </c>
      <c r="J47">
        <v>2</v>
      </c>
      <c r="K47" t="s">
        <v>88</v>
      </c>
      <c r="L47" t="s">
        <v>89</v>
      </c>
      <c r="M47">
        <v>4</v>
      </c>
      <c r="N47" t="s">
        <v>90</v>
      </c>
      <c r="O47">
        <v>44</v>
      </c>
      <c r="P47" t="s">
        <v>89</v>
      </c>
      <c r="Q47" t="s">
        <v>91</v>
      </c>
      <c r="R47">
        <v>1</v>
      </c>
      <c r="S47" t="s">
        <v>101</v>
      </c>
      <c r="T47">
        <v>2</v>
      </c>
      <c r="U47" t="s">
        <v>93</v>
      </c>
      <c r="V47" t="s">
        <v>94</v>
      </c>
      <c r="W47">
        <v>1</v>
      </c>
      <c r="X47">
        <v>0</v>
      </c>
    </row>
    <row r="48" spans="2:24" x14ac:dyDescent="0.3">
      <c r="B48">
        <v>44</v>
      </c>
      <c r="C48" t="s">
        <v>8</v>
      </c>
      <c r="D48">
        <v>30</v>
      </c>
      <c r="E48" t="s">
        <v>84</v>
      </c>
      <c r="F48" t="s">
        <v>110</v>
      </c>
      <c r="G48">
        <v>6187</v>
      </c>
      <c r="H48" t="s">
        <v>120</v>
      </c>
      <c r="I48" t="s">
        <v>100</v>
      </c>
      <c r="J48">
        <v>1</v>
      </c>
      <c r="K48" t="s">
        <v>117</v>
      </c>
      <c r="L48" t="s">
        <v>89</v>
      </c>
      <c r="M48">
        <v>4</v>
      </c>
      <c r="N48" t="s">
        <v>111</v>
      </c>
      <c r="O48">
        <v>24</v>
      </c>
      <c r="P48" t="s">
        <v>89</v>
      </c>
      <c r="Q48" t="s">
        <v>112</v>
      </c>
      <c r="R48">
        <v>2</v>
      </c>
      <c r="S48" t="s">
        <v>92</v>
      </c>
      <c r="T48">
        <v>1</v>
      </c>
      <c r="U48" t="s">
        <v>89</v>
      </c>
      <c r="V48" t="s">
        <v>94</v>
      </c>
      <c r="W48">
        <v>1</v>
      </c>
      <c r="X48">
        <v>0</v>
      </c>
    </row>
    <row r="49" spans="2:24" x14ac:dyDescent="0.3">
      <c r="B49">
        <v>45</v>
      </c>
      <c r="C49" t="s">
        <v>8</v>
      </c>
      <c r="D49">
        <v>48</v>
      </c>
      <c r="E49" t="s">
        <v>84</v>
      </c>
      <c r="F49" t="s">
        <v>110</v>
      </c>
      <c r="G49">
        <v>6143</v>
      </c>
      <c r="H49" t="s">
        <v>96</v>
      </c>
      <c r="I49" t="s">
        <v>87</v>
      </c>
      <c r="J49">
        <v>4</v>
      </c>
      <c r="K49" t="s">
        <v>98</v>
      </c>
      <c r="L49" t="s">
        <v>89</v>
      </c>
      <c r="M49">
        <v>4</v>
      </c>
      <c r="N49" t="s">
        <v>108</v>
      </c>
      <c r="O49">
        <v>58</v>
      </c>
      <c r="P49" t="s">
        <v>125</v>
      </c>
      <c r="Q49" t="s">
        <v>105</v>
      </c>
      <c r="R49">
        <v>2</v>
      </c>
      <c r="S49" t="s">
        <v>101</v>
      </c>
      <c r="T49">
        <v>1</v>
      </c>
      <c r="U49" t="s">
        <v>89</v>
      </c>
      <c r="V49" t="s">
        <v>94</v>
      </c>
      <c r="W49">
        <v>2</v>
      </c>
      <c r="X49">
        <v>1</v>
      </c>
    </row>
    <row r="50" spans="2:24" x14ac:dyDescent="0.3">
      <c r="B50">
        <v>46</v>
      </c>
      <c r="C50" t="s">
        <v>12</v>
      </c>
      <c r="D50">
        <v>11</v>
      </c>
      <c r="E50" t="s">
        <v>84</v>
      </c>
      <c r="F50" t="s">
        <v>107</v>
      </c>
      <c r="G50">
        <v>1393</v>
      </c>
      <c r="H50" t="s">
        <v>96</v>
      </c>
      <c r="I50" t="s">
        <v>118</v>
      </c>
      <c r="J50">
        <v>4</v>
      </c>
      <c r="K50" t="s">
        <v>98</v>
      </c>
      <c r="L50" t="s">
        <v>89</v>
      </c>
      <c r="M50">
        <v>4</v>
      </c>
      <c r="N50" t="s">
        <v>111</v>
      </c>
      <c r="O50">
        <v>35</v>
      </c>
      <c r="P50" t="s">
        <v>89</v>
      </c>
      <c r="Q50" t="s">
        <v>91</v>
      </c>
      <c r="R50">
        <v>2</v>
      </c>
      <c r="S50" t="s">
        <v>113</v>
      </c>
      <c r="T50">
        <v>1</v>
      </c>
      <c r="U50" t="s">
        <v>89</v>
      </c>
      <c r="V50" t="s">
        <v>94</v>
      </c>
      <c r="W50">
        <v>1</v>
      </c>
      <c r="X50">
        <v>0</v>
      </c>
    </row>
    <row r="51" spans="2:24" x14ac:dyDescent="0.3">
      <c r="B51">
        <v>47</v>
      </c>
      <c r="C51" t="s">
        <v>12</v>
      </c>
      <c r="D51">
        <v>36</v>
      </c>
      <c r="E51" t="s">
        <v>95</v>
      </c>
      <c r="F51" t="s">
        <v>85</v>
      </c>
      <c r="G51">
        <v>2299</v>
      </c>
      <c r="H51" t="s">
        <v>109</v>
      </c>
      <c r="I51" t="s">
        <v>87</v>
      </c>
      <c r="J51">
        <v>4</v>
      </c>
      <c r="K51" t="s">
        <v>88</v>
      </c>
      <c r="L51" t="s">
        <v>89</v>
      </c>
      <c r="M51">
        <v>4</v>
      </c>
      <c r="N51" t="s">
        <v>111</v>
      </c>
      <c r="O51">
        <v>39</v>
      </c>
      <c r="P51" t="s">
        <v>89</v>
      </c>
      <c r="Q51" t="s">
        <v>91</v>
      </c>
      <c r="R51">
        <v>1</v>
      </c>
      <c r="S51" t="s">
        <v>92</v>
      </c>
      <c r="T51">
        <v>1</v>
      </c>
      <c r="U51" t="s">
        <v>89</v>
      </c>
      <c r="V51" t="s">
        <v>94</v>
      </c>
      <c r="W51">
        <v>1</v>
      </c>
      <c r="X51">
        <v>0</v>
      </c>
    </row>
    <row r="52" spans="2:24" x14ac:dyDescent="0.3">
      <c r="B52">
        <v>48</v>
      </c>
      <c r="C52" t="s">
        <v>8</v>
      </c>
      <c r="D52">
        <v>6</v>
      </c>
      <c r="E52" t="s">
        <v>95</v>
      </c>
      <c r="F52" t="s">
        <v>110</v>
      </c>
      <c r="G52">
        <v>1352</v>
      </c>
      <c r="H52" t="s">
        <v>109</v>
      </c>
      <c r="I52" t="s">
        <v>116</v>
      </c>
      <c r="J52">
        <v>1</v>
      </c>
      <c r="K52" t="s">
        <v>98</v>
      </c>
      <c r="L52" t="s">
        <v>89</v>
      </c>
      <c r="M52">
        <v>2</v>
      </c>
      <c r="N52" t="s">
        <v>104</v>
      </c>
      <c r="O52">
        <v>23</v>
      </c>
      <c r="P52" t="s">
        <v>89</v>
      </c>
      <c r="Q52" t="s">
        <v>112</v>
      </c>
      <c r="R52">
        <v>1</v>
      </c>
      <c r="S52" t="s">
        <v>129</v>
      </c>
      <c r="T52">
        <v>1</v>
      </c>
      <c r="U52" t="s">
        <v>93</v>
      </c>
      <c r="V52" t="s">
        <v>94</v>
      </c>
      <c r="W52">
        <v>1</v>
      </c>
      <c r="X52">
        <v>0</v>
      </c>
    </row>
    <row r="53" spans="2:24" x14ac:dyDescent="0.3">
      <c r="B53">
        <v>49</v>
      </c>
      <c r="C53" t="s">
        <v>12</v>
      </c>
      <c r="D53">
        <v>11</v>
      </c>
      <c r="E53" t="s">
        <v>84</v>
      </c>
      <c r="F53" t="s">
        <v>107</v>
      </c>
      <c r="G53">
        <v>7228</v>
      </c>
      <c r="H53" t="s">
        <v>96</v>
      </c>
      <c r="I53" t="s">
        <v>97</v>
      </c>
      <c r="J53">
        <v>1</v>
      </c>
      <c r="K53" t="s">
        <v>88</v>
      </c>
      <c r="L53" t="s">
        <v>89</v>
      </c>
      <c r="M53">
        <v>4</v>
      </c>
      <c r="N53" t="s">
        <v>104</v>
      </c>
      <c r="O53">
        <v>39</v>
      </c>
      <c r="P53" t="s">
        <v>89</v>
      </c>
      <c r="Q53" t="s">
        <v>91</v>
      </c>
      <c r="R53">
        <v>2</v>
      </c>
      <c r="S53" t="s">
        <v>101</v>
      </c>
      <c r="T53">
        <v>1</v>
      </c>
      <c r="U53" t="s">
        <v>89</v>
      </c>
      <c r="V53" t="s">
        <v>94</v>
      </c>
      <c r="W53">
        <v>1</v>
      </c>
      <c r="X53">
        <v>0</v>
      </c>
    </row>
    <row r="54" spans="2:24" x14ac:dyDescent="0.3">
      <c r="B54">
        <v>50</v>
      </c>
      <c r="C54" t="s">
        <v>12</v>
      </c>
      <c r="D54">
        <v>12</v>
      </c>
      <c r="E54" t="s">
        <v>95</v>
      </c>
      <c r="F54" t="s">
        <v>85</v>
      </c>
      <c r="G54">
        <v>2073</v>
      </c>
      <c r="H54" t="s">
        <v>120</v>
      </c>
      <c r="I54" t="s">
        <v>97</v>
      </c>
      <c r="J54">
        <v>4</v>
      </c>
      <c r="K54" t="s">
        <v>98</v>
      </c>
      <c r="L54" t="s">
        <v>126</v>
      </c>
      <c r="M54">
        <v>2</v>
      </c>
      <c r="N54" t="s">
        <v>90</v>
      </c>
      <c r="O54">
        <v>28</v>
      </c>
      <c r="P54" t="s">
        <v>89</v>
      </c>
      <c r="Q54" t="s">
        <v>91</v>
      </c>
      <c r="R54">
        <v>1</v>
      </c>
      <c r="S54" t="s">
        <v>92</v>
      </c>
      <c r="T54">
        <v>1</v>
      </c>
      <c r="U54" t="s">
        <v>89</v>
      </c>
      <c r="V54" t="s">
        <v>94</v>
      </c>
      <c r="W54">
        <v>1</v>
      </c>
      <c r="X54">
        <v>0</v>
      </c>
    </row>
    <row r="55" spans="2:24" x14ac:dyDescent="0.3">
      <c r="B55">
        <v>51</v>
      </c>
      <c r="C55" t="s">
        <v>10</v>
      </c>
      <c r="D55">
        <v>24</v>
      </c>
      <c r="E55" t="s">
        <v>106</v>
      </c>
      <c r="F55" t="s">
        <v>102</v>
      </c>
      <c r="G55">
        <v>2333</v>
      </c>
      <c r="H55" t="s">
        <v>86</v>
      </c>
      <c r="I55" t="s">
        <v>118</v>
      </c>
      <c r="J55">
        <v>4</v>
      </c>
      <c r="K55" t="s">
        <v>88</v>
      </c>
      <c r="L55" t="s">
        <v>89</v>
      </c>
      <c r="M55">
        <v>2</v>
      </c>
      <c r="N55" t="s">
        <v>104</v>
      </c>
      <c r="O55">
        <v>29</v>
      </c>
      <c r="P55" t="s">
        <v>122</v>
      </c>
      <c r="Q55" t="s">
        <v>91</v>
      </c>
      <c r="R55">
        <v>1</v>
      </c>
      <c r="S55" t="s">
        <v>101</v>
      </c>
      <c r="T55">
        <v>1</v>
      </c>
      <c r="U55" t="s">
        <v>89</v>
      </c>
      <c r="V55" t="s">
        <v>94</v>
      </c>
      <c r="W55">
        <v>1</v>
      </c>
      <c r="X55">
        <v>0</v>
      </c>
    </row>
    <row r="56" spans="2:24" x14ac:dyDescent="0.3">
      <c r="B56">
        <v>52</v>
      </c>
      <c r="C56" t="s">
        <v>10</v>
      </c>
      <c r="D56">
        <v>27</v>
      </c>
      <c r="E56" t="s">
        <v>106</v>
      </c>
      <c r="F56" t="s">
        <v>110</v>
      </c>
      <c r="G56">
        <v>5965</v>
      </c>
      <c r="H56" t="s">
        <v>96</v>
      </c>
      <c r="I56" t="s">
        <v>87</v>
      </c>
      <c r="J56">
        <v>1</v>
      </c>
      <c r="K56" t="s">
        <v>88</v>
      </c>
      <c r="L56" t="s">
        <v>89</v>
      </c>
      <c r="M56">
        <v>2</v>
      </c>
      <c r="N56" t="s">
        <v>111</v>
      </c>
      <c r="O56">
        <v>30</v>
      </c>
      <c r="P56" t="s">
        <v>89</v>
      </c>
      <c r="Q56" t="s">
        <v>91</v>
      </c>
      <c r="R56">
        <v>2</v>
      </c>
      <c r="S56" t="s">
        <v>113</v>
      </c>
      <c r="T56">
        <v>1</v>
      </c>
      <c r="U56" t="s">
        <v>93</v>
      </c>
      <c r="V56" t="s">
        <v>94</v>
      </c>
      <c r="W56">
        <v>1</v>
      </c>
      <c r="X56">
        <v>0</v>
      </c>
    </row>
    <row r="57" spans="2:24" x14ac:dyDescent="0.3">
      <c r="B57">
        <v>53</v>
      </c>
      <c r="C57" t="s">
        <v>12</v>
      </c>
      <c r="D57">
        <v>12</v>
      </c>
      <c r="E57" t="s">
        <v>95</v>
      </c>
      <c r="F57" t="s">
        <v>85</v>
      </c>
      <c r="G57">
        <v>1262</v>
      </c>
      <c r="H57" t="s">
        <v>96</v>
      </c>
      <c r="I57" t="s">
        <v>97</v>
      </c>
      <c r="J57">
        <v>3</v>
      </c>
      <c r="K57" t="s">
        <v>88</v>
      </c>
      <c r="L57" t="s">
        <v>89</v>
      </c>
      <c r="M57">
        <v>2</v>
      </c>
      <c r="N57" t="s">
        <v>111</v>
      </c>
      <c r="O57">
        <v>25</v>
      </c>
      <c r="P57" t="s">
        <v>89</v>
      </c>
      <c r="Q57" t="s">
        <v>91</v>
      </c>
      <c r="R57">
        <v>1</v>
      </c>
      <c r="S57" t="s">
        <v>92</v>
      </c>
      <c r="T57">
        <v>1</v>
      </c>
      <c r="U57" t="s">
        <v>89</v>
      </c>
      <c r="V57" t="s">
        <v>94</v>
      </c>
      <c r="W57">
        <v>1</v>
      </c>
      <c r="X57">
        <v>0</v>
      </c>
    </row>
    <row r="58" spans="2:24" x14ac:dyDescent="0.3">
      <c r="B58">
        <v>54</v>
      </c>
      <c r="C58" t="s">
        <v>12</v>
      </c>
      <c r="D58">
        <v>18</v>
      </c>
      <c r="E58" t="s">
        <v>95</v>
      </c>
      <c r="F58" t="s">
        <v>110</v>
      </c>
      <c r="G58">
        <v>3378</v>
      </c>
      <c r="H58" t="s">
        <v>86</v>
      </c>
      <c r="I58" t="s">
        <v>97</v>
      </c>
      <c r="J58">
        <v>2</v>
      </c>
      <c r="K58" t="s">
        <v>88</v>
      </c>
      <c r="L58" t="s">
        <v>89</v>
      </c>
      <c r="M58">
        <v>1</v>
      </c>
      <c r="N58" t="s">
        <v>104</v>
      </c>
      <c r="O58">
        <v>31</v>
      </c>
      <c r="P58" t="s">
        <v>89</v>
      </c>
      <c r="Q58" t="s">
        <v>91</v>
      </c>
      <c r="R58">
        <v>1</v>
      </c>
      <c r="S58" t="s">
        <v>92</v>
      </c>
      <c r="T58">
        <v>1</v>
      </c>
      <c r="U58" t="s">
        <v>93</v>
      </c>
      <c r="V58" t="s">
        <v>94</v>
      </c>
      <c r="W58">
        <v>1</v>
      </c>
      <c r="X58">
        <v>0</v>
      </c>
    </row>
    <row r="59" spans="2:24" x14ac:dyDescent="0.3">
      <c r="B59">
        <v>55</v>
      </c>
      <c r="C59" t="s">
        <v>10</v>
      </c>
      <c r="D59">
        <v>36</v>
      </c>
      <c r="E59" t="s">
        <v>106</v>
      </c>
      <c r="F59" t="s">
        <v>107</v>
      </c>
      <c r="G59">
        <v>2225</v>
      </c>
      <c r="H59" t="s">
        <v>96</v>
      </c>
      <c r="I59" t="s">
        <v>87</v>
      </c>
      <c r="J59">
        <v>4</v>
      </c>
      <c r="K59" t="s">
        <v>88</v>
      </c>
      <c r="L59" t="s">
        <v>89</v>
      </c>
      <c r="M59">
        <v>4</v>
      </c>
      <c r="N59" t="s">
        <v>108</v>
      </c>
      <c r="O59">
        <v>57</v>
      </c>
      <c r="P59" t="s">
        <v>122</v>
      </c>
      <c r="Q59" t="s">
        <v>105</v>
      </c>
      <c r="R59">
        <v>2</v>
      </c>
      <c r="S59" t="s">
        <v>92</v>
      </c>
      <c r="T59">
        <v>1</v>
      </c>
      <c r="U59" t="s">
        <v>93</v>
      </c>
      <c r="V59" t="s">
        <v>94</v>
      </c>
      <c r="W59">
        <v>2</v>
      </c>
      <c r="X59">
        <v>1</v>
      </c>
    </row>
    <row r="60" spans="2:24" x14ac:dyDescent="0.3">
      <c r="B60">
        <v>56</v>
      </c>
      <c r="C60" t="s">
        <v>12</v>
      </c>
      <c r="D60">
        <v>6</v>
      </c>
      <c r="E60" t="s">
        <v>124</v>
      </c>
      <c r="F60" t="s">
        <v>107</v>
      </c>
      <c r="G60">
        <v>783</v>
      </c>
      <c r="H60" t="s">
        <v>86</v>
      </c>
      <c r="I60" t="s">
        <v>97</v>
      </c>
      <c r="J60">
        <v>1</v>
      </c>
      <c r="K60" t="s">
        <v>88</v>
      </c>
      <c r="L60" t="s">
        <v>103</v>
      </c>
      <c r="M60">
        <v>2</v>
      </c>
      <c r="N60" t="s">
        <v>90</v>
      </c>
      <c r="O60">
        <v>26</v>
      </c>
      <c r="P60" t="s">
        <v>125</v>
      </c>
      <c r="Q60" t="s">
        <v>91</v>
      </c>
      <c r="R60">
        <v>1</v>
      </c>
      <c r="S60" t="s">
        <v>101</v>
      </c>
      <c r="T60">
        <v>2</v>
      </c>
      <c r="U60" t="s">
        <v>89</v>
      </c>
      <c r="V60" t="s">
        <v>94</v>
      </c>
      <c r="W60">
        <v>1</v>
      </c>
      <c r="X60">
        <v>0</v>
      </c>
    </row>
    <row r="61" spans="2:24" x14ac:dyDescent="0.3">
      <c r="B61">
        <v>57</v>
      </c>
      <c r="C61" t="s">
        <v>10</v>
      </c>
      <c r="D61">
        <v>12</v>
      </c>
      <c r="E61" t="s">
        <v>95</v>
      </c>
      <c r="F61" t="s">
        <v>85</v>
      </c>
      <c r="G61">
        <v>6468</v>
      </c>
      <c r="H61" t="s">
        <v>86</v>
      </c>
      <c r="I61" t="s">
        <v>116</v>
      </c>
      <c r="J61">
        <v>2</v>
      </c>
      <c r="K61" t="s">
        <v>88</v>
      </c>
      <c r="L61" t="s">
        <v>89</v>
      </c>
      <c r="M61">
        <v>1</v>
      </c>
      <c r="N61" t="s">
        <v>108</v>
      </c>
      <c r="O61">
        <v>52</v>
      </c>
      <c r="P61" t="s">
        <v>89</v>
      </c>
      <c r="Q61" t="s">
        <v>91</v>
      </c>
      <c r="R61">
        <v>1</v>
      </c>
      <c r="S61" t="s">
        <v>113</v>
      </c>
      <c r="T61">
        <v>1</v>
      </c>
      <c r="U61" t="s">
        <v>93</v>
      </c>
      <c r="V61" t="s">
        <v>94</v>
      </c>
      <c r="W61">
        <v>2</v>
      </c>
      <c r="X61">
        <v>1</v>
      </c>
    </row>
    <row r="62" spans="2:24" x14ac:dyDescent="0.3">
      <c r="B62">
        <v>58</v>
      </c>
      <c r="C62" t="s">
        <v>12</v>
      </c>
      <c r="D62">
        <v>36</v>
      </c>
      <c r="E62" t="s">
        <v>84</v>
      </c>
      <c r="F62" t="s">
        <v>85</v>
      </c>
      <c r="G62">
        <v>9566</v>
      </c>
      <c r="H62" t="s">
        <v>96</v>
      </c>
      <c r="I62" t="s">
        <v>97</v>
      </c>
      <c r="J62">
        <v>2</v>
      </c>
      <c r="K62" t="s">
        <v>98</v>
      </c>
      <c r="L62" t="s">
        <v>89</v>
      </c>
      <c r="M62">
        <v>2</v>
      </c>
      <c r="N62" t="s">
        <v>111</v>
      </c>
      <c r="O62">
        <v>31</v>
      </c>
      <c r="P62" t="s">
        <v>125</v>
      </c>
      <c r="Q62" t="s">
        <v>91</v>
      </c>
      <c r="R62">
        <v>2</v>
      </c>
      <c r="S62" t="s">
        <v>92</v>
      </c>
      <c r="T62">
        <v>1</v>
      </c>
      <c r="U62" t="s">
        <v>89</v>
      </c>
      <c r="V62" t="s">
        <v>94</v>
      </c>
      <c r="W62">
        <v>1</v>
      </c>
      <c r="X62">
        <v>0</v>
      </c>
    </row>
    <row r="63" spans="2:24" x14ac:dyDescent="0.3">
      <c r="B63">
        <v>59</v>
      </c>
      <c r="C63" t="s">
        <v>11</v>
      </c>
      <c r="D63">
        <v>18</v>
      </c>
      <c r="E63" t="s">
        <v>95</v>
      </c>
      <c r="F63" t="s">
        <v>107</v>
      </c>
      <c r="G63">
        <v>1961</v>
      </c>
      <c r="H63" t="s">
        <v>96</v>
      </c>
      <c r="I63" t="s">
        <v>87</v>
      </c>
      <c r="J63">
        <v>3</v>
      </c>
      <c r="K63" t="s">
        <v>98</v>
      </c>
      <c r="L63" t="s">
        <v>89</v>
      </c>
      <c r="M63">
        <v>2</v>
      </c>
      <c r="N63" t="s">
        <v>111</v>
      </c>
      <c r="O63">
        <v>23</v>
      </c>
      <c r="P63" t="s">
        <v>89</v>
      </c>
      <c r="Q63" t="s">
        <v>91</v>
      </c>
      <c r="R63">
        <v>1</v>
      </c>
      <c r="S63" t="s">
        <v>113</v>
      </c>
      <c r="T63">
        <v>1</v>
      </c>
      <c r="U63" t="s">
        <v>89</v>
      </c>
      <c r="V63" t="s">
        <v>94</v>
      </c>
      <c r="W63">
        <v>1</v>
      </c>
      <c r="X63">
        <v>0</v>
      </c>
    </row>
    <row r="64" spans="2:24" x14ac:dyDescent="0.3">
      <c r="B64">
        <v>60</v>
      </c>
      <c r="C64" t="s">
        <v>8</v>
      </c>
      <c r="D64">
        <v>36</v>
      </c>
      <c r="E64" t="s">
        <v>84</v>
      </c>
      <c r="F64" t="s">
        <v>102</v>
      </c>
      <c r="G64">
        <v>6229</v>
      </c>
      <c r="H64" t="s">
        <v>96</v>
      </c>
      <c r="I64" t="s">
        <v>118</v>
      </c>
      <c r="J64">
        <v>4</v>
      </c>
      <c r="K64" t="s">
        <v>98</v>
      </c>
      <c r="L64" t="s">
        <v>126</v>
      </c>
      <c r="M64">
        <v>4</v>
      </c>
      <c r="N64" t="s">
        <v>108</v>
      </c>
      <c r="O64">
        <v>23</v>
      </c>
      <c r="P64" t="s">
        <v>89</v>
      </c>
      <c r="Q64" t="s">
        <v>112</v>
      </c>
      <c r="R64">
        <v>2</v>
      </c>
      <c r="S64" t="s">
        <v>101</v>
      </c>
      <c r="T64">
        <v>1</v>
      </c>
      <c r="U64" t="s">
        <v>93</v>
      </c>
      <c r="V64" t="s">
        <v>94</v>
      </c>
      <c r="W64">
        <v>2</v>
      </c>
      <c r="X64">
        <v>1</v>
      </c>
    </row>
    <row r="65" spans="2:24" x14ac:dyDescent="0.3">
      <c r="B65">
        <v>61</v>
      </c>
      <c r="C65" t="s">
        <v>10</v>
      </c>
      <c r="D65">
        <v>9</v>
      </c>
      <c r="E65" t="s">
        <v>95</v>
      </c>
      <c r="F65" t="s">
        <v>119</v>
      </c>
      <c r="G65">
        <v>1391</v>
      </c>
      <c r="H65" t="s">
        <v>96</v>
      </c>
      <c r="I65" t="s">
        <v>97</v>
      </c>
      <c r="J65">
        <v>2</v>
      </c>
      <c r="K65" t="s">
        <v>117</v>
      </c>
      <c r="L65" t="s">
        <v>89</v>
      </c>
      <c r="M65">
        <v>1</v>
      </c>
      <c r="N65" t="s">
        <v>90</v>
      </c>
      <c r="O65">
        <v>27</v>
      </c>
      <c r="P65" t="s">
        <v>122</v>
      </c>
      <c r="Q65" t="s">
        <v>91</v>
      </c>
      <c r="R65">
        <v>1</v>
      </c>
      <c r="S65" t="s">
        <v>92</v>
      </c>
      <c r="T65">
        <v>1</v>
      </c>
      <c r="U65" t="s">
        <v>93</v>
      </c>
      <c r="V65" t="s">
        <v>94</v>
      </c>
      <c r="W65">
        <v>1</v>
      </c>
      <c r="X65">
        <v>0</v>
      </c>
    </row>
    <row r="66" spans="2:24" x14ac:dyDescent="0.3">
      <c r="B66">
        <v>62</v>
      </c>
      <c r="C66" t="s">
        <v>10</v>
      </c>
      <c r="D66">
        <v>15</v>
      </c>
      <c r="E66" t="s">
        <v>84</v>
      </c>
      <c r="F66" t="s">
        <v>85</v>
      </c>
      <c r="G66">
        <v>1537</v>
      </c>
      <c r="H66" t="s">
        <v>86</v>
      </c>
      <c r="I66" t="s">
        <v>87</v>
      </c>
      <c r="J66">
        <v>4</v>
      </c>
      <c r="K66" t="s">
        <v>88</v>
      </c>
      <c r="L66" t="s">
        <v>103</v>
      </c>
      <c r="M66">
        <v>4</v>
      </c>
      <c r="N66" t="s">
        <v>90</v>
      </c>
      <c r="O66">
        <v>50</v>
      </c>
      <c r="P66" t="s">
        <v>89</v>
      </c>
      <c r="Q66" t="s">
        <v>91</v>
      </c>
      <c r="R66">
        <v>2</v>
      </c>
      <c r="S66" t="s">
        <v>92</v>
      </c>
      <c r="T66">
        <v>1</v>
      </c>
      <c r="U66" t="s">
        <v>93</v>
      </c>
      <c r="V66" t="s">
        <v>94</v>
      </c>
      <c r="W66">
        <v>1</v>
      </c>
      <c r="X66">
        <v>0</v>
      </c>
    </row>
    <row r="67" spans="2:24" x14ac:dyDescent="0.3">
      <c r="B67">
        <v>63</v>
      </c>
      <c r="C67" t="s">
        <v>10</v>
      </c>
      <c r="D67">
        <v>36</v>
      </c>
      <c r="E67" t="s">
        <v>121</v>
      </c>
      <c r="F67" t="s">
        <v>119</v>
      </c>
      <c r="G67">
        <v>1953</v>
      </c>
      <c r="H67" t="s">
        <v>96</v>
      </c>
      <c r="I67" t="s">
        <v>87</v>
      </c>
      <c r="J67">
        <v>4</v>
      </c>
      <c r="K67" t="s">
        <v>88</v>
      </c>
      <c r="L67" t="s">
        <v>89</v>
      </c>
      <c r="M67">
        <v>4</v>
      </c>
      <c r="N67" t="s">
        <v>108</v>
      </c>
      <c r="O67">
        <v>61</v>
      </c>
      <c r="P67" t="s">
        <v>89</v>
      </c>
      <c r="Q67" t="s">
        <v>105</v>
      </c>
      <c r="R67">
        <v>1</v>
      </c>
      <c r="S67" t="s">
        <v>113</v>
      </c>
      <c r="T67">
        <v>1</v>
      </c>
      <c r="U67" t="s">
        <v>93</v>
      </c>
      <c r="V67" t="s">
        <v>94</v>
      </c>
      <c r="W67">
        <v>2</v>
      </c>
      <c r="X67">
        <v>1</v>
      </c>
    </row>
    <row r="68" spans="2:24" x14ac:dyDescent="0.3">
      <c r="B68">
        <v>64</v>
      </c>
      <c r="C68" t="s">
        <v>10</v>
      </c>
      <c r="D68">
        <v>48</v>
      </c>
      <c r="E68" t="s">
        <v>121</v>
      </c>
      <c r="F68" t="s">
        <v>119</v>
      </c>
      <c r="G68">
        <v>14421</v>
      </c>
      <c r="H68" t="s">
        <v>96</v>
      </c>
      <c r="I68" t="s">
        <v>97</v>
      </c>
      <c r="J68">
        <v>2</v>
      </c>
      <c r="K68" t="s">
        <v>88</v>
      </c>
      <c r="L68" t="s">
        <v>89</v>
      </c>
      <c r="M68">
        <v>2</v>
      </c>
      <c r="N68" t="s">
        <v>111</v>
      </c>
      <c r="O68">
        <v>25</v>
      </c>
      <c r="P68" t="s">
        <v>89</v>
      </c>
      <c r="Q68" t="s">
        <v>91</v>
      </c>
      <c r="R68">
        <v>1</v>
      </c>
      <c r="S68" t="s">
        <v>92</v>
      </c>
      <c r="T68">
        <v>1</v>
      </c>
      <c r="U68" t="s">
        <v>93</v>
      </c>
      <c r="V68" t="s">
        <v>94</v>
      </c>
      <c r="W68">
        <v>2</v>
      </c>
      <c r="X68">
        <v>1</v>
      </c>
    </row>
    <row r="69" spans="2:24" x14ac:dyDescent="0.3">
      <c r="B69">
        <v>65</v>
      </c>
      <c r="C69" t="s">
        <v>12</v>
      </c>
      <c r="D69">
        <v>24</v>
      </c>
      <c r="E69" t="s">
        <v>95</v>
      </c>
      <c r="F69" t="s">
        <v>85</v>
      </c>
      <c r="G69">
        <v>3181</v>
      </c>
      <c r="H69" t="s">
        <v>96</v>
      </c>
      <c r="I69" t="s">
        <v>118</v>
      </c>
      <c r="J69">
        <v>4</v>
      </c>
      <c r="K69" t="s">
        <v>98</v>
      </c>
      <c r="L69" t="s">
        <v>89</v>
      </c>
      <c r="M69">
        <v>4</v>
      </c>
      <c r="N69" t="s">
        <v>104</v>
      </c>
      <c r="O69">
        <v>26</v>
      </c>
      <c r="P69" t="s">
        <v>89</v>
      </c>
      <c r="Q69" t="s">
        <v>91</v>
      </c>
      <c r="R69">
        <v>1</v>
      </c>
      <c r="S69" t="s">
        <v>92</v>
      </c>
      <c r="T69">
        <v>1</v>
      </c>
      <c r="U69" t="s">
        <v>93</v>
      </c>
      <c r="V69" t="s">
        <v>94</v>
      </c>
      <c r="W69">
        <v>1</v>
      </c>
      <c r="X69">
        <v>0</v>
      </c>
    </row>
    <row r="70" spans="2:24" x14ac:dyDescent="0.3">
      <c r="B70">
        <v>66</v>
      </c>
      <c r="C70" t="s">
        <v>12</v>
      </c>
      <c r="D70">
        <v>27</v>
      </c>
      <c r="E70" t="s">
        <v>95</v>
      </c>
      <c r="F70" t="s">
        <v>128</v>
      </c>
      <c r="G70">
        <v>5190</v>
      </c>
      <c r="H70" t="s">
        <v>86</v>
      </c>
      <c r="I70" t="s">
        <v>87</v>
      </c>
      <c r="J70">
        <v>4</v>
      </c>
      <c r="K70" t="s">
        <v>88</v>
      </c>
      <c r="L70" t="s">
        <v>89</v>
      </c>
      <c r="M70">
        <v>4</v>
      </c>
      <c r="N70" t="s">
        <v>104</v>
      </c>
      <c r="O70">
        <v>48</v>
      </c>
      <c r="P70" t="s">
        <v>89</v>
      </c>
      <c r="Q70" t="s">
        <v>91</v>
      </c>
      <c r="R70">
        <v>4</v>
      </c>
      <c r="S70" t="s">
        <v>92</v>
      </c>
      <c r="T70">
        <v>2</v>
      </c>
      <c r="U70" t="s">
        <v>93</v>
      </c>
      <c r="V70" t="s">
        <v>94</v>
      </c>
      <c r="W70">
        <v>1</v>
      </c>
      <c r="X70">
        <v>0</v>
      </c>
    </row>
    <row r="71" spans="2:24" x14ac:dyDescent="0.3">
      <c r="B71">
        <v>67</v>
      </c>
      <c r="C71" t="s">
        <v>12</v>
      </c>
      <c r="D71">
        <v>12</v>
      </c>
      <c r="E71" t="s">
        <v>95</v>
      </c>
      <c r="F71" t="s">
        <v>85</v>
      </c>
      <c r="G71">
        <v>2171</v>
      </c>
      <c r="H71" t="s">
        <v>96</v>
      </c>
      <c r="I71" t="s">
        <v>118</v>
      </c>
      <c r="J71">
        <v>2</v>
      </c>
      <c r="K71" t="s">
        <v>98</v>
      </c>
      <c r="L71" t="s">
        <v>89</v>
      </c>
      <c r="M71">
        <v>2</v>
      </c>
      <c r="N71" t="s">
        <v>111</v>
      </c>
      <c r="O71">
        <v>29</v>
      </c>
      <c r="P71" t="s">
        <v>122</v>
      </c>
      <c r="Q71" t="s">
        <v>91</v>
      </c>
      <c r="R71">
        <v>1</v>
      </c>
      <c r="S71" t="s">
        <v>92</v>
      </c>
      <c r="T71">
        <v>1</v>
      </c>
      <c r="U71" t="s">
        <v>89</v>
      </c>
      <c r="V71" t="s">
        <v>94</v>
      </c>
      <c r="W71">
        <v>1</v>
      </c>
      <c r="X71">
        <v>0</v>
      </c>
    </row>
    <row r="72" spans="2:24" x14ac:dyDescent="0.3">
      <c r="B72">
        <v>68</v>
      </c>
      <c r="C72" t="s">
        <v>10</v>
      </c>
      <c r="D72">
        <v>12</v>
      </c>
      <c r="E72" t="s">
        <v>95</v>
      </c>
      <c r="F72" t="s">
        <v>107</v>
      </c>
      <c r="G72">
        <v>1007</v>
      </c>
      <c r="H72" t="s">
        <v>114</v>
      </c>
      <c r="I72" t="s">
        <v>97</v>
      </c>
      <c r="J72">
        <v>4</v>
      </c>
      <c r="K72" t="s">
        <v>117</v>
      </c>
      <c r="L72" t="s">
        <v>89</v>
      </c>
      <c r="M72">
        <v>1</v>
      </c>
      <c r="N72" t="s">
        <v>90</v>
      </c>
      <c r="O72">
        <v>22</v>
      </c>
      <c r="P72" t="s">
        <v>89</v>
      </c>
      <c r="Q72" t="s">
        <v>91</v>
      </c>
      <c r="R72">
        <v>1</v>
      </c>
      <c r="S72" t="s">
        <v>92</v>
      </c>
      <c r="T72">
        <v>1</v>
      </c>
      <c r="U72" t="s">
        <v>89</v>
      </c>
      <c r="V72" t="s">
        <v>94</v>
      </c>
      <c r="W72">
        <v>1</v>
      </c>
      <c r="X72">
        <v>0</v>
      </c>
    </row>
    <row r="73" spans="2:24" x14ac:dyDescent="0.3">
      <c r="B73">
        <v>69</v>
      </c>
      <c r="C73" t="s">
        <v>12</v>
      </c>
      <c r="D73">
        <v>36</v>
      </c>
      <c r="E73" t="s">
        <v>95</v>
      </c>
      <c r="F73" t="s">
        <v>99</v>
      </c>
      <c r="G73">
        <v>1819</v>
      </c>
      <c r="H73" t="s">
        <v>96</v>
      </c>
      <c r="I73" t="s">
        <v>97</v>
      </c>
      <c r="J73">
        <v>4</v>
      </c>
      <c r="K73" t="s">
        <v>88</v>
      </c>
      <c r="L73" t="s">
        <v>89</v>
      </c>
      <c r="M73">
        <v>4</v>
      </c>
      <c r="N73" t="s">
        <v>108</v>
      </c>
      <c r="O73">
        <v>37</v>
      </c>
      <c r="P73" t="s">
        <v>125</v>
      </c>
      <c r="Q73" t="s">
        <v>105</v>
      </c>
      <c r="R73">
        <v>1</v>
      </c>
      <c r="S73" t="s">
        <v>92</v>
      </c>
      <c r="T73">
        <v>1</v>
      </c>
      <c r="U73" t="s">
        <v>93</v>
      </c>
      <c r="V73" t="s">
        <v>94</v>
      </c>
      <c r="W73">
        <v>2</v>
      </c>
      <c r="X73">
        <v>1</v>
      </c>
    </row>
    <row r="74" spans="2:24" x14ac:dyDescent="0.3">
      <c r="B74">
        <v>70</v>
      </c>
      <c r="C74" t="s">
        <v>12</v>
      </c>
      <c r="D74">
        <v>36</v>
      </c>
      <c r="E74" t="s">
        <v>95</v>
      </c>
      <c r="F74" t="s">
        <v>85</v>
      </c>
      <c r="G74">
        <v>2394</v>
      </c>
      <c r="H74" t="s">
        <v>86</v>
      </c>
      <c r="I74" t="s">
        <v>97</v>
      </c>
      <c r="J74">
        <v>4</v>
      </c>
      <c r="K74" t="s">
        <v>98</v>
      </c>
      <c r="L74" t="s">
        <v>89</v>
      </c>
      <c r="M74">
        <v>4</v>
      </c>
      <c r="N74" t="s">
        <v>111</v>
      </c>
      <c r="O74">
        <v>25</v>
      </c>
      <c r="P74" t="s">
        <v>89</v>
      </c>
      <c r="Q74" t="s">
        <v>91</v>
      </c>
      <c r="R74">
        <v>1</v>
      </c>
      <c r="S74" t="s">
        <v>92</v>
      </c>
      <c r="T74">
        <v>1</v>
      </c>
      <c r="U74" t="s">
        <v>89</v>
      </c>
      <c r="V74" t="s">
        <v>94</v>
      </c>
      <c r="W74">
        <v>1</v>
      </c>
      <c r="X74">
        <v>0</v>
      </c>
    </row>
    <row r="75" spans="2:24" x14ac:dyDescent="0.3">
      <c r="B75">
        <v>71</v>
      </c>
      <c r="C75" t="s">
        <v>12</v>
      </c>
      <c r="D75">
        <v>36</v>
      </c>
      <c r="E75" t="s">
        <v>95</v>
      </c>
      <c r="F75" t="s">
        <v>110</v>
      </c>
      <c r="G75">
        <v>8133</v>
      </c>
      <c r="H75" t="s">
        <v>96</v>
      </c>
      <c r="I75" t="s">
        <v>97</v>
      </c>
      <c r="J75">
        <v>1</v>
      </c>
      <c r="K75" t="s">
        <v>98</v>
      </c>
      <c r="L75" t="s">
        <v>89</v>
      </c>
      <c r="M75">
        <v>2</v>
      </c>
      <c r="N75" t="s">
        <v>104</v>
      </c>
      <c r="O75">
        <v>30</v>
      </c>
      <c r="P75" t="s">
        <v>122</v>
      </c>
      <c r="Q75" t="s">
        <v>91</v>
      </c>
      <c r="R75">
        <v>1</v>
      </c>
      <c r="S75" t="s">
        <v>92</v>
      </c>
      <c r="T75">
        <v>1</v>
      </c>
      <c r="U75" t="s">
        <v>89</v>
      </c>
      <c r="V75" t="s">
        <v>94</v>
      </c>
      <c r="W75">
        <v>1</v>
      </c>
      <c r="X75">
        <v>0</v>
      </c>
    </row>
    <row r="76" spans="2:24" x14ac:dyDescent="0.3">
      <c r="B76">
        <v>72</v>
      </c>
      <c r="C76" t="s">
        <v>12</v>
      </c>
      <c r="D76">
        <v>7</v>
      </c>
      <c r="E76" t="s">
        <v>84</v>
      </c>
      <c r="F76" t="s">
        <v>85</v>
      </c>
      <c r="G76">
        <v>730</v>
      </c>
      <c r="H76" t="s">
        <v>86</v>
      </c>
      <c r="I76" t="s">
        <v>87</v>
      </c>
      <c r="J76">
        <v>4</v>
      </c>
      <c r="K76" t="s">
        <v>88</v>
      </c>
      <c r="L76" t="s">
        <v>89</v>
      </c>
      <c r="M76">
        <v>2</v>
      </c>
      <c r="N76" t="s">
        <v>104</v>
      </c>
      <c r="O76">
        <v>46</v>
      </c>
      <c r="P76" t="s">
        <v>89</v>
      </c>
      <c r="Q76" t="s">
        <v>112</v>
      </c>
      <c r="R76">
        <v>2</v>
      </c>
      <c r="S76" t="s">
        <v>101</v>
      </c>
      <c r="T76">
        <v>1</v>
      </c>
      <c r="U76" t="s">
        <v>93</v>
      </c>
      <c r="V76" t="s">
        <v>94</v>
      </c>
      <c r="W76">
        <v>1</v>
      </c>
      <c r="X76">
        <v>0</v>
      </c>
    </row>
    <row r="77" spans="2:24" x14ac:dyDescent="0.3">
      <c r="B77">
        <v>73</v>
      </c>
      <c r="C77" t="s">
        <v>8</v>
      </c>
      <c r="D77">
        <v>8</v>
      </c>
      <c r="E77" t="s">
        <v>84</v>
      </c>
      <c r="F77" t="s">
        <v>130</v>
      </c>
      <c r="G77">
        <v>1164</v>
      </c>
      <c r="H77" t="s">
        <v>96</v>
      </c>
      <c r="I77" t="s">
        <v>87</v>
      </c>
      <c r="J77">
        <v>3</v>
      </c>
      <c r="K77" t="s">
        <v>88</v>
      </c>
      <c r="L77" t="s">
        <v>89</v>
      </c>
      <c r="M77">
        <v>4</v>
      </c>
      <c r="N77" t="s">
        <v>108</v>
      </c>
      <c r="O77">
        <v>51</v>
      </c>
      <c r="P77" t="s">
        <v>122</v>
      </c>
      <c r="Q77" t="s">
        <v>105</v>
      </c>
      <c r="R77">
        <v>2</v>
      </c>
      <c r="S77" t="s">
        <v>113</v>
      </c>
      <c r="T77">
        <v>2</v>
      </c>
      <c r="U77" t="s">
        <v>93</v>
      </c>
      <c r="V77" t="s">
        <v>94</v>
      </c>
      <c r="W77">
        <v>1</v>
      </c>
      <c r="X77">
        <v>0</v>
      </c>
    </row>
    <row r="78" spans="2:24" x14ac:dyDescent="0.3">
      <c r="B78">
        <v>74</v>
      </c>
      <c r="C78" t="s">
        <v>10</v>
      </c>
      <c r="D78">
        <v>42</v>
      </c>
      <c r="E78" t="s">
        <v>84</v>
      </c>
      <c r="F78" t="s">
        <v>119</v>
      </c>
      <c r="G78">
        <v>5954</v>
      </c>
      <c r="H78" t="s">
        <v>96</v>
      </c>
      <c r="I78" t="s">
        <v>100</v>
      </c>
      <c r="J78">
        <v>2</v>
      </c>
      <c r="K78" t="s">
        <v>98</v>
      </c>
      <c r="L78" t="s">
        <v>89</v>
      </c>
      <c r="M78">
        <v>1</v>
      </c>
      <c r="N78" t="s">
        <v>90</v>
      </c>
      <c r="O78">
        <v>41</v>
      </c>
      <c r="P78" t="s">
        <v>122</v>
      </c>
      <c r="Q78" t="s">
        <v>91</v>
      </c>
      <c r="R78">
        <v>2</v>
      </c>
      <c r="S78" t="s">
        <v>101</v>
      </c>
      <c r="T78">
        <v>1</v>
      </c>
      <c r="U78" t="s">
        <v>89</v>
      </c>
      <c r="V78" t="s">
        <v>94</v>
      </c>
      <c r="W78">
        <v>1</v>
      </c>
      <c r="X78">
        <v>0</v>
      </c>
    </row>
    <row r="79" spans="2:24" x14ac:dyDescent="0.3">
      <c r="B79">
        <v>75</v>
      </c>
      <c r="C79" t="s">
        <v>8</v>
      </c>
      <c r="D79">
        <v>36</v>
      </c>
      <c r="E79" t="s">
        <v>95</v>
      </c>
      <c r="F79" t="s">
        <v>99</v>
      </c>
      <c r="G79">
        <v>1977</v>
      </c>
      <c r="H79" t="s">
        <v>86</v>
      </c>
      <c r="I79" t="s">
        <v>87</v>
      </c>
      <c r="J79">
        <v>4</v>
      </c>
      <c r="K79" t="s">
        <v>88</v>
      </c>
      <c r="L79" t="s">
        <v>89</v>
      </c>
      <c r="M79">
        <v>4</v>
      </c>
      <c r="N79" t="s">
        <v>108</v>
      </c>
      <c r="O79">
        <v>40</v>
      </c>
      <c r="P79" t="s">
        <v>89</v>
      </c>
      <c r="Q79" t="s">
        <v>91</v>
      </c>
      <c r="R79">
        <v>1</v>
      </c>
      <c r="S79" t="s">
        <v>113</v>
      </c>
      <c r="T79">
        <v>1</v>
      </c>
      <c r="U79" t="s">
        <v>93</v>
      </c>
      <c r="V79" t="s">
        <v>94</v>
      </c>
      <c r="W79">
        <v>2</v>
      </c>
      <c r="X79">
        <v>1</v>
      </c>
    </row>
    <row r="80" spans="2:24" x14ac:dyDescent="0.3">
      <c r="B80">
        <v>76</v>
      </c>
      <c r="C80" t="s">
        <v>8</v>
      </c>
      <c r="D80">
        <v>12</v>
      </c>
      <c r="E80" t="s">
        <v>84</v>
      </c>
      <c r="F80" t="s">
        <v>110</v>
      </c>
      <c r="G80">
        <v>1526</v>
      </c>
      <c r="H80" t="s">
        <v>96</v>
      </c>
      <c r="I80" t="s">
        <v>87</v>
      </c>
      <c r="J80">
        <v>4</v>
      </c>
      <c r="K80" t="s">
        <v>88</v>
      </c>
      <c r="L80" t="s">
        <v>89</v>
      </c>
      <c r="M80">
        <v>4</v>
      </c>
      <c r="N80" t="s">
        <v>108</v>
      </c>
      <c r="O80">
        <v>66</v>
      </c>
      <c r="P80" t="s">
        <v>89</v>
      </c>
      <c r="Q80" t="s">
        <v>105</v>
      </c>
      <c r="R80">
        <v>2</v>
      </c>
      <c r="S80" t="s">
        <v>113</v>
      </c>
      <c r="T80">
        <v>1</v>
      </c>
      <c r="U80" t="s">
        <v>89</v>
      </c>
      <c r="V80" t="s">
        <v>94</v>
      </c>
      <c r="W80">
        <v>1</v>
      </c>
      <c r="X80">
        <v>0</v>
      </c>
    </row>
    <row r="81" spans="2:24" x14ac:dyDescent="0.3">
      <c r="B81">
        <v>77</v>
      </c>
      <c r="C81" t="s">
        <v>8</v>
      </c>
      <c r="D81">
        <v>42</v>
      </c>
      <c r="E81" t="s">
        <v>95</v>
      </c>
      <c r="F81" t="s">
        <v>85</v>
      </c>
      <c r="G81">
        <v>3965</v>
      </c>
      <c r="H81" t="s">
        <v>96</v>
      </c>
      <c r="I81" t="s">
        <v>118</v>
      </c>
      <c r="J81">
        <v>4</v>
      </c>
      <c r="K81" t="s">
        <v>88</v>
      </c>
      <c r="L81" t="s">
        <v>89</v>
      </c>
      <c r="M81">
        <v>3</v>
      </c>
      <c r="N81" t="s">
        <v>111</v>
      </c>
      <c r="O81">
        <v>34</v>
      </c>
      <c r="P81" t="s">
        <v>89</v>
      </c>
      <c r="Q81" t="s">
        <v>91</v>
      </c>
      <c r="R81">
        <v>1</v>
      </c>
      <c r="S81" t="s">
        <v>92</v>
      </c>
      <c r="T81">
        <v>1</v>
      </c>
      <c r="U81" t="s">
        <v>89</v>
      </c>
      <c r="V81" t="s">
        <v>94</v>
      </c>
      <c r="W81">
        <v>2</v>
      </c>
      <c r="X81">
        <v>1</v>
      </c>
    </row>
    <row r="82" spans="2:24" x14ac:dyDescent="0.3">
      <c r="B82">
        <v>78</v>
      </c>
      <c r="C82" t="s">
        <v>10</v>
      </c>
      <c r="D82">
        <v>11</v>
      </c>
      <c r="E82" t="s">
        <v>106</v>
      </c>
      <c r="F82" t="s">
        <v>85</v>
      </c>
      <c r="G82">
        <v>4771</v>
      </c>
      <c r="H82" t="s">
        <v>96</v>
      </c>
      <c r="I82" t="s">
        <v>100</v>
      </c>
      <c r="J82">
        <v>2</v>
      </c>
      <c r="K82" t="s">
        <v>88</v>
      </c>
      <c r="L82" t="s">
        <v>89</v>
      </c>
      <c r="M82">
        <v>4</v>
      </c>
      <c r="N82" t="s">
        <v>104</v>
      </c>
      <c r="O82">
        <v>51</v>
      </c>
      <c r="P82" t="s">
        <v>89</v>
      </c>
      <c r="Q82" t="s">
        <v>91</v>
      </c>
      <c r="R82">
        <v>1</v>
      </c>
      <c r="S82" t="s">
        <v>92</v>
      </c>
      <c r="T82">
        <v>1</v>
      </c>
      <c r="U82" t="s">
        <v>89</v>
      </c>
      <c r="V82" t="s">
        <v>94</v>
      </c>
      <c r="W82">
        <v>1</v>
      </c>
      <c r="X82">
        <v>0</v>
      </c>
    </row>
    <row r="83" spans="2:24" x14ac:dyDescent="0.3">
      <c r="B83">
        <v>79</v>
      </c>
      <c r="C83" t="s">
        <v>12</v>
      </c>
      <c r="D83">
        <v>54</v>
      </c>
      <c r="E83" t="s">
        <v>121</v>
      </c>
      <c r="F83" t="s">
        <v>110</v>
      </c>
      <c r="G83">
        <v>9436</v>
      </c>
      <c r="H83" t="s">
        <v>86</v>
      </c>
      <c r="I83" t="s">
        <v>97</v>
      </c>
      <c r="J83">
        <v>2</v>
      </c>
      <c r="K83" t="s">
        <v>88</v>
      </c>
      <c r="L83" t="s">
        <v>89</v>
      </c>
      <c r="M83">
        <v>2</v>
      </c>
      <c r="N83" t="s">
        <v>104</v>
      </c>
      <c r="O83">
        <v>39</v>
      </c>
      <c r="P83" t="s">
        <v>89</v>
      </c>
      <c r="Q83" t="s">
        <v>91</v>
      </c>
      <c r="R83">
        <v>1</v>
      </c>
      <c r="S83" t="s">
        <v>101</v>
      </c>
      <c r="T83">
        <v>2</v>
      </c>
      <c r="U83" t="s">
        <v>89</v>
      </c>
      <c r="V83" t="s">
        <v>94</v>
      </c>
      <c r="W83">
        <v>1</v>
      </c>
      <c r="X83">
        <v>0</v>
      </c>
    </row>
    <row r="84" spans="2:24" x14ac:dyDescent="0.3">
      <c r="B84">
        <v>80</v>
      </c>
      <c r="C84" t="s">
        <v>10</v>
      </c>
      <c r="D84">
        <v>30</v>
      </c>
      <c r="E84" t="s">
        <v>95</v>
      </c>
      <c r="F84" t="s">
        <v>102</v>
      </c>
      <c r="G84">
        <v>3832</v>
      </c>
      <c r="H84" t="s">
        <v>96</v>
      </c>
      <c r="I84" t="s">
        <v>118</v>
      </c>
      <c r="J84">
        <v>2</v>
      </c>
      <c r="K84" t="s">
        <v>117</v>
      </c>
      <c r="L84" t="s">
        <v>89</v>
      </c>
      <c r="M84">
        <v>1</v>
      </c>
      <c r="N84" t="s">
        <v>104</v>
      </c>
      <c r="O84">
        <v>22</v>
      </c>
      <c r="P84" t="s">
        <v>89</v>
      </c>
      <c r="Q84" t="s">
        <v>91</v>
      </c>
      <c r="R84">
        <v>1</v>
      </c>
      <c r="S84" t="s">
        <v>92</v>
      </c>
      <c r="T84">
        <v>1</v>
      </c>
      <c r="U84" t="s">
        <v>89</v>
      </c>
      <c r="V84" t="s">
        <v>94</v>
      </c>
      <c r="W84">
        <v>1</v>
      </c>
      <c r="X84">
        <v>0</v>
      </c>
    </row>
    <row r="85" spans="2:24" x14ac:dyDescent="0.3">
      <c r="B85">
        <v>81</v>
      </c>
      <c r="C85" t="s">
        <v>12</v>
      </c>
      <c r="D85">
        <v>24</v>
      </c>
      <c r="E85" t="s">
        <v>95</v>
      </c>
      <c r="F85" t="s">
        <v>85</v>
      </c>
      <c r="G85">
        <v>5943</v>
      </c>
      <c r="H85" t="s">
        <v>86</v>
      </c>
      <c r="I85" t="s">
        <v>118</v>
      </c>
      <c r="J85">
        <v>1</v>
      </c>
      <c r="K85" t="s">
        <v>98</v>
      </c>
      <c r="L85" t="s">
        <v>89</v>
      </c>
      <c r="M85">
        <v>1</v>
      </c>
      <c r="N85" t="s">
        <v>111</v>
      </c>
      <c r="O85">
        <v>44</v>
      </c>
      <c r="P85" t="s">
        <v>89</v>
      </c>
      <c r="Q85" t="s">
        <v>91</v>
      </c>
      <c r="R85">
        <v>2</v>
      </c>
      <c r="S85" t="s">
        <v>92</v>
      </c>
      <c r="T85">
        <v>1</v>
      </c>
      <c r="U85" t="s">
        <v>93</v>
      </c>
      <c r="V85" t="s">
        <v>94</v>
      </c>
      <c r="W85">
        <v>2</v>
      </c>
      <c r="X85">
        <v>1</v>
      </c>
    </row>
    <row r="86" spans="2:24" x14ac:dyDescent="0.3">
      <c r="B86">
        <v>82</v>
      </c>
      <c r="C86" t="s">
        <v>12</v>
      </c>
      <c r="D86">
        <v>15</v>
      </c>
      <c r="E86" t="s">
        <v>95</v>
      </c>
      <c r="F86" t="s">
        <v>85</v>
      </c>
      <c r="G86">
        <v>1213</v>
      </c>
      <c r="H86" t="s">
        <v>109</v>
      </c>
      <c r="I86" t="s">
        <v>87</v>
      </c>
      <c r="J86">
        <v>4</v>
      </c>
      <c r="K86" t="s">
        <v>88</v>
      </c>
      <c r="L86" t="s">
        <v>89</v>
      </c>
      <c r="M86">
        <v>3</v>
      </c>
      <c r="N86" t="s">
        <v>104</v>
      </c>
      <c r="O86">
        <v>47</v>
      </c>
      <c r="P86" t="s">
        <v>125</v>
      </c>
      <c r="Q86" t="s">
        <v>91</v>
      </c>
      <c r="R86">
        <v>1</v>
      </c>
      <c r="S86" t="s">
        <v>92</v>
      </c>
      <c r="T86">
        <v>1</v>
      </c>
      <c r="U86" t="s">
        <v>93</v>
      </c>
      <c r="V86" t="s">
        <v>94</v>
      </c>
      <c r="W86">
        <v>1</v>
      </c>
      <c r="X86">
        <v>0</v>
      </c>
    </row>
    <row r="87" spans="2:24" x14ac:dyDescent="0.3">
      <c r="B87">
        <v>83</v>
      </c>
      <c r="C87" t="s">
        <v>12</v>
      </c>
      <c r="D87">
        <v>18</v>
      </c>
      <c r="E87" t="s">
        <v>95</v>
      </c>
      <c r="F87" t="s">
        <v>119</v>
      </c>
      <c r="G87">
        <v>1568</v>
      </c>
      <c r="H87" t="s">
        <v>120</v>
      </c>
      <c r="I87" t="s">
        <v>97</v>
      </c>
      <c r="J87">
        <v>3</v>
      </c>
      <c r="K87" t="s">
        <v>98</v>
      </c>
      <c r="L87" t="s">
        <v>89</v>
      </c>
      <c r="M87">
        <v>4</v>
      </c>
      <c r="N87" t="s">
        <v>104</v>
      </c>
      <c r="O87">
        <v>24</v>
      </c>
      <c r="P87" t="s">
        <v>89</v>
      </c>
      <c r="Q87" t="s">
        <v>112</v>
      </c>
      <c r="R87">
        <v>1</v>
      </c>
      <c r="S87" t="s">
        <v>101</v>
      </c>
      <c r="T87">
        <v>1</v>
      </c>
      <c r="U87" t="s">
        <v>89</v>
      </c>
      <c r="V87" t="s">
        <v>94</v>
      </c>
      <c r="W87">
        <v>1</v>
      </c>
      <c r="X87">
        <v>0</v>
      </c>
    </row>
    <row r="88" spans="2:24" x14ac:dyDescent="0.3">
      <c r="B88">
        <v>84</v>
      </c>
      <c r="C88" t="s">
        <v>8</v>
      </c>
      <c r="D88">
        <v>24</v>
      </c>
      <c r="E88" t="s">
        <v>95</v>
      </c>
      <c r="F88" t="s">
        <v>130</v>
      </c>
      <c r="G88">
        <v>1755</v>
      </c>
      <c r="H88" t="s">
        <v>96</v>
      </c>
      <c r="I88" t="s">
        <v>87</v>
      </c>
      <c r="J88">
        <v>4</v>
      </c>
      <c r="K88" t="s">
        <v>98</v>
      </c>
      <c r="L88" t="s">
        <v>103</v>
      </c>
      <c r="M88">
        <v>4</v>
      </c>
      <c r="N88" t="s">
        <v>90</v>
      </c>
      <c r="O88">
        <v>58</v>
      </c>
      <c r="P88" t="s">
        <v>89</v>
      </c>
      <c r="Q88" t="s">
        <v>91</v>
      </c>
      <c r="R88">
        <v>1</v>
      </c>
      <c r="S88" t="s">
        <v>101</v>
      </c>
      <c r="T88">
        <v>1</v>
      </c>
      <c r="U88" t="s">
        <v>93</v>
      </c>
      <c r="V88" t="s">
        <v>94</v>
      </c>
      <c r="W88">
        <v>1</v>
      </c>
      <c r="X88">
        <v>0</v>
      </c>
    </row>
    <row r="89" spans="2:24" x14ac:dyDescent="0.3">
      <c r="B89">
        <v>85</v>
      </c>
      <c r="C89" t="s">
        <v>8</v>
      </c>
      <c r="D89">
        <v>10</v>
      </c>
      <c r="E89" t="s">
        <v>95</v>
      </c>
      <c r="F89" t="s">
        <v>85</v>
      </c>
      <c r="G89">
        <v>2315</v>
      </c>
      <c r="H89" t="s">
        <v>96</v>
      </c>
      <c r="I89" t="s">
        <v>87</v>
      </c>
      <c r="J89">
        <v>3</v>
      </c>
      <c r="K89" t="s">
        <v>88</v>
      </c>
      <c r="L89" t="s">
        <v>89</v>
      </c>
      <c r="M89">
        <v>4</v>
      </c>
      <c r="N89" t="s">
        <v>90</v>
      </c>
      <c r="O89">
        <v>52</v>
      </c>
      <c r="P89" t="s">
        <v>89</v>
      </c>
      <c r="Q89" t="s">
        <v>91</v>
      </c>
      <c r="R89">
        <v>1</v>
      </c>
      <c r="S89" t="s">
        <v>101</v>
      </c>
      <c r="T89">
        <v>1</v>
      </c>
      <c r="U89" t="s">
        <v>89</v>
      </c>
      <c r="V89" t="s">
        <v>94</v>
      </c>
      <c r="W89">
        <v>1</v>
      </c>
      <c r="X89">
        <v>0</v>
      </c>
    </row>
    <row r="90" spans="2:24" x14ac:dyDescent="0.3">
      <c r="B90">
        <v>86</v>
      </c>
      <c r="C90" t="s">
        <v>12</v>
      </c>
      <c r="D90">
        <v>12</v>
      </c>
      <c r="E90" t="s">
        <v>84</v>
      </c>
      <c r="F90" t="s">
        <v>119</v>
      </c>
      <c r="G90">
        <v>1412</v>
      </c>
      <c r="H90" t="s">
        <v>96</v>
      </c>
      <c r="I90" t="s">
        <v>97</v>
      </c>
      <c r="J90">
        <v>4</v>
      </c>
      <c r="K90" t="s">
        <v>98</v>
      </c>
      <c r="L90" t="s">
        <v>103</v>
      </c>
      <c r="M90">
        <v>2</v>
      </c>
      <c r="N90" t="s">
        <v>90</v>
      </c>
      <c r="O90">
        <v>29</v>
      </c>
      <c r="P90" t="s">
        <v>89</v>
      </c>
      <c r="Q90" t="s">
        <v>91</v>
      </c>
      <c r="R90">
        <v>2</v>
      </c>
      <c r="S90" t="s">
        <v>113</v>
      </c>
      <c r="T90">
        <v>1</v>
      </c>
      <c r="U90" t="s">
        <v>93</v>
      </c>
      <c r="V90" t="s">
        <v>94</v>
      </c>
      <c r="W90">
        <v>1</v>
      </c>
      <c r="X90">
        <v>0</v>
      </c>
    </row>
    <row r="91" spans="2:24" x14ac:dyDescent="0.3">
      <c r="B91">
        <v>87</v>
      </c>
      <c r="C91" t="s">
        <v>10</v>
      </c>
      <c r="D91">
        <v>18</v>
      </c>
      <c r="E91" t="s">
        <v>84</v>
      </c>
      <c r="F91" t="s">
        <v>102</v>
      </c>
      <c r="G91">
        <v>1295</v>
      </c>
      <c r="H91" t="s">
        <v>96</v>
      </c>
      <c r="I91" t="s">
        <v>118</v>
      </c>
      <c r="J91">
        <v>4</v>
      </c>
      <c r="K91" t="s">
        <v>98</v>
      </c>
      <c r="L91" t="s">
        <v>89</v>
      </c>
      <c r="M91">
        <v>1</v>
      </c>
      <c r="N91" t="s">
        <v>104</v>
      </c>
      <c r="O91">
        <v>27</v>
      </c>
      <c r="P91" t="s">
        <v>89</v>
      </c>
      <c r="Q91" t="s">
        <v>91</v>
      </c>
      <c r="R91">
        <v>2</v>
      </c>
      <c r="S91" t="s">
        <v>92</v>
      </c>
      <c r="T91">
        <v>1</v>
      </c>
      <c r="U91" t="s">
        <v>89</v>
      </c>
      <c r="V91" t="s">
        <v>94</v>
      </c>
      <c r="W91">
        <v>1</v>
      </c>
      <c r="X91">
        <v>0</v>
      </c>
    </row>
    <row r="92" spans="2:24" x14ac:dyDescent="0.3">
      <c r="B92">
        <v>88</v>
      </c>
      <c r="C92" t="s">
        <v>10</v>
      </c>
      <c r="D92">
        <v>36</v>
      </c>
      <c r="E92" t="s">
        <v>95</v>
      </c>
      <c r="F92" t="s">
        <v>99</v>
      </c>
      <c r="G92">
        <v>12612</v>
      </c>
      <c r="H92" t="s">
        <v>120</v>
      </c>
      <c r="I92" t="s">
        <v>97</v>
      </c>
      <c r="J92">
        <v>1</v>
      </c>
      <c r="K92" t="s">
        <v>88</v>
      </c>
      <c r="L92" t="s">
        <v>89</v>
      </c>
      <c r="M92">
        <v>4</v>
      </c>
      <c r="N92" t="s">
        <v>108</v>
      </c>
      <c r="O92">
        <v>47</v>
      </c>
      <c r="P92" t="s">
        <v>89</v>
      </c>
      <c r="Q92" t="s">
        <v>105</v>
      </c>
      <c r="R92">
        <v>1</v>
      </c>
      <c r="S92" t="s">
        <v>92</v>
      </c>
      <c r="T92">
        <v>2</v>
      </c>
      <c r="U92" t="s">
        <v>93</v>
      </c>
      <c r="V92" t="s">
        <v>94</v>
      </c>
      <c r="W92">
        <v>2</v>
      </c>
      <c r="X92">
        <v>1</v>
      </c>
    </row>
    <row r="93" spans="2:24" x14ac:dyDescent="0.3">
      <c r="B93">
        <v>89</v>
      </c>
      <c r="C93" t="s">
        <v>8</v>
      </c>
      <c r="D93">
        <v>18</v>
      </c>
      <c r="E93" t="s">
        <v>95</v>
      </c>
      <c r="F93" t="s">
        <v>107</v>
      </c>
      <c r="G93">
        <v>2249</v>
      </c>
      <c r="H93" t="s">
        <v>120</v>
      </c>
      <c r="I93" t="s">
        <v>100</v>
      </c>
      <c r="J93">
        <v>4</v>
      </c>
      <c r="K93" t="s">
        <v>88</v>
      </c>
      <c r="L93" t="s">
        <v>89</v>
      </c>
      <c r="M93">
        <v>3</v>
      </c>
      <c r="N93" t="s">
        <v>111</v>
      </c>
      <c r="O93">
        <v>30</v>
      </c>
      <c r="P93" t="s">
        <v>89</v>
      </c>
      <c r="Q93" t="s">
        <v>91</v>
      </c>
      <c r="R93">
        <v>1</v>
      </c>
      <c r="S93" t="s">
        <v>113</v>
      </c>
      <c r="T93">
        <v>2</v>
      </c>
      <c r="U93" t="s">
        <v>93</v>
      </c>
      <c r="V93" t="s">
        <v>94</v>
      </c>
      <c r="W93">
        <v>1</v>
      </c>
      <c r="X93">
        <v>0</v>
      </c>
    </row>
    <row r="94" spans="2:24" x14ac:dyDescent="0.3">
      <c r="B94">
        <v>90</v>
      </c>
      <c r="C94" t="s">
        <v>8</v>
      </c>
      <c r="D94">
        <v>12</v>
      </c>
      <c r="E94" t="s">
        <v>121</v>
      </c>
      <c r="F94" t="s">
        <v>128</v>
      </c>
      <c r="G94">
        <v>1108</v>
      </c>
      <c r="H94" t="s">
        <v>96</v>
      </c>
      <c r="I94" t="s">
        <v>100</v>
      </c>
      <c r="J94">
        <v>4</v>
      </c>
      <c r="K94" t="s">
        <v>88</v>
      </c>
      <c r="L94" t="s">
        <v>89</v>
      </c>
      <c r="M94">
        <v>3</v>
      </c>
      <c r="N94" t="s">
        <v>90</v>
      </c>
      <c r="O94">
        <v>28</v>
      </c>
      <c r="P94" t="s">
        <v>89</v>
      </c>
      <c r="Q94" t="s">
        <v>91</v>
      </c>
      <c r="R94">
        <v>2</v>
      </c>
      <c r="S94" t="s">
        <v>92</v>
      </c>
      <c r="T94">
        <v>1</v>
      </c>
      <c r="U94" t="s">
        <v>89</v>
      </c>
      <c r="V94" t="s">
        <v>94</v>
      </c>
      <c r="W94">
        <v>2</v>
      </c>
      <c r="X94">
        <v>1</v>
      </c>
    </row>
    <row r="95" spans="2:24" x14ac:dyDescent="0.3">
      <c r="B95">
        <v>91</v>
      </c>
      <c r="C95" t="s">
        <v>12</v>
      </c>
      <c r="D95">
        <v>12</v>
      </c>
      <c r="E95" t="s">
        <v>84</v>
      </c>
      <c r="F95" t="s">
        <v>85</v>
      </c>
      <c r="G95">
        <v>618</v>
      </c>
      <c r="H95" t="s">
        <v>96</v>
      </c>
      <c r="I95" t="s">
        <v>87</v>
      </c>
      <c r="J95">
        <v>4</v>
      </c>
      <c r="K95" t="s">
        <v>88</v>
      </c>
      <c r="L95" t="s">
        <v>89</v>
      </c>
      <c r="M95">
        <v>4</v>
      </c>
      <c r="N95" t="s">
        <v>90</v>
      </c>
      <c r="O95">
        <v>56</v>
      </c>
      <c r="P95" t="s">
        <v>89</v>
      </c>
      <c r="Q95" t="s">
        <v>91</v>
      </c>
      <c r="R95">
        <v>1</v>
      </c>
      <c r="S95" t="s">
        <v>92</v>
      </c>
      <c r="T95">
        <v>1</v>
      </c>
      <c r="U95" t="s">
        <v>89</v>
      </c>
      <c r="V95" t="s">
        <v>94</v>
      </c>
      <c r="W95">
        <v>1</v>
      </c>
      <c r="X95">
        <v>0</v>
      </c>
    </row>
    <row r="96" spans="2:24" x14ac:dyDescent="0.3">
      <c r="B96">
        <v>92</v>
      </c>
      <c r="C96" t="s">
        <v>8</v>
      </c>
      <c r="D96">
        <v>12</v>
      </c>
      <c r="E96" t="s">
        <v>84</v>
      </c>
      <c r="F96" t="s">
        <v>110</v>
      </c>
      <c r="G96">
        <v>1409</v>
      </c>
      <c r="H96" t="s">
        <v>96</v>
      </c>
      <c r="I96" t="s">
        <v>87</v>
      </c>
      <c r="J96">
        <v>4</v>
      </c>
      <c r="K96" t="s">
        <v>88</v>
      </c>
      <c r="L96" t="s">
        <v>89</v>
      </c>
      <c r="M96">
        <v>3</v>
      </c>
      <c r="N96" t="s">
        <v>90</v>
      </c>
      <c r="O96">
        <v>54</v>
      </c>
      <c r="P96" t="s">
        <v>89</v>
      </c>
      <c r="Q96" t="s">
        <v>91</v>
      </c>
      <c r="R96">
        <v>1</v>
      </c>
      <c r="S96" t="s">
        <v>92</v>
      </c>
      <c r="T96">
        <v>1</v>
      </c>
      <c r="U96" t="s">
        <v>89</v>
      </c>
      <c r="V96" t="s">
        <v>94</v>
      </c>
      <c r="W96">
        <v>1</v>
      </c>
      <c r="X96">
        <v>0</v>
      </c>
    </row>
    <row r="97" spans="2:24" x14ac:dyDescent="0.3">
      <c r="B97">
        <v>93</v>
      </c>
      <c r="C97" t="s">
        <v>12</v>
      </c>
      <c r="D97">
        <v>12</v>
      </c>
      <c r="E97" t="s">
        <v>84</v>
      </c>
      <c r="F97" t="s">
        <v>85</v>
      </c>
      <c r="G97">
        <v>797</v>
      </c>
      <c r="H97" t="s">
        <v>86</v>
      </c>
      <c r="I97" t="s">
        <v>87</v>
      </c>
      <c r="J97">
        <v>4</v>
      </c>
      <c r="K97" t="s">
        <v>98</v>
      </c>
      <c r="L97" t="s">
        <v>89</v>
      </c>
      <c r="M97">
        <v>3</v>
      </c>
      <c r="N97" t="s">
        <v>104</v>
      </c>
      <c r="O97">
        <v>33</v>
      </c>
      <c r="P97" t="s">
        <v>122</v>
      </c>
      <c r="Q97" t="s">
        <v>91</v>
      </c>
      <c r="R97">
        <v>1</v>
      </c>
      <c r="S97" t="s">
        <v>101</v>
      </c>
      <c r="T97">
        <v>2</v>
      </c>
      <c r="U97" t="s">
        <v>89</v>
      </c>
      <c r="V97" t="s">
        <v>94</v>
      </c>
      <c r="W97">
        <v>2</v>
      </c>
      <c r="X97">
        <v>1</v>
      </c>
    </row>
    <row r="98" spans="2:24" x14ac:dyDescent="0.3">
      <c r="B98">
        <v>94</v>
      </c>
      <c r="C98" t="s">
        <v>11</v>
      </c>
      <c r="D98">
        <v>24</v>
      </c>
      <c r="E98" t="s">
        <v>84</v>
      </c>
      <c r="F98" t="s">
        <v>102</v>
      </c>
      <c r="G98">
        <v>3617</v>
      </c>
      <c r="H98" t="s">
        <v>86</v>
      </c>
      <c r="I98" t="s">
        <v>87</v>
      </c>
      <c r="J98">
        <v>4</v>
      </c>
      <c r="K98" t="s">
        <v>88</v>
      </c>
      <c r="L98" t="s">
        <v>126</v>
      </c>
      <c r="M98">
        <v>4</v>
      </c>
      <c r="N98" t="s">
        <v>108</v>
      </c>
      <c r="O98">
        <v>20</v>
      </c>
      <c r="P98" t="s">
        <v>89</v>
      </c>
      <c r="Q98" t="s">
        <v>112</v>
      </c>
      <c r="R98">
        <v>2</v>
      </c>
      <c r="S98" t="s">
        <v>92</v>
      </c>
      <c r="T98">
        <v>1</v>
      </c>
      <c r="U98" t="s">
        <v>89</v>
      </c>
      <c r="V98" t="s">
        <v>94</v>
      </c>
      <c r="W98">
        <v>1</v>
      </c>
      <c r="X98">
        <v>0</v>
      </c>
    </row>
    <row r="99" spans="2:24" x14ac:dyDescent="0.3">
      <c r="B99">
        <v>95</v>
      </c>
      <c r="C99" t="s">
        <v>10</v>
      </c>
      <c r="D99">
        <v>12</v>
      </c>
      <c r="E99" t="s">
        <v>95</v>
      </c>
      <c r="F99" t="s">
        <v>107</v>
      </c>
      <c r="G99">
        <v>1318</v>
      </c>
      <c r="H99" t="s">
        <v>114</v>
      </c>
      <c r="I99" t="s">
        <v>87</v>
      </c>
      <c r="J99">
        <v>4</v>
      </c>
      <c r="K99" t="s">
        <v>88</v>
      </c>
      <c r="L99" t="s">
        <v>89</v>
      </c>
      <c r="M99">
        <v>4</v>
      </c>
      <c r="N99" t="s">
        <v>90</v>
      </c>
      <c r="O99">
        <v>54</v>
      </c>
      <c r="P99" t="s">
        <v>89</v>
      </c>
      <c r="Q99" t="s">
        <v>91</v>
      </c>
      <c r="R99">
        <v>1</v>
      </c>
      <c r="S99" t="s">
        <v>92</v>
      </c>
      <c r="T99">
        <v>1</v>
      </c>
      <c r="U99" t="s">
        <v>93</v>
      </c>
      <c r="V99" t="s">
        <v>94</v>
      </c>
      <c r="W99">
        <v>1</v>
      </c>
      <c r="X99">
        <v>0</v>
      </c>
    </row>
    <row r="100" spans="2:24" x14ac:dyDescent="0.3">
      <c r="B100">
        <v>96</v>
      </c>
      <c r="C100" t="s">
        <v>10</v>
      </c>
      <c r="D100">
        <v>54</v>
      </c>
      <c r="E100" t="s">
        <v>121</v>
      </c>
      <c r="F100" t="s">
        <v>119</v>
      </c>
      <c r="G100">
        <v>15945</v>
      </c>
      <c r="H100" t="s">
        <v>96</v>
      </c>
      <c r="I100" t="s">
        <v>118</v>
      </c>
      <c r="J100">
        <v>3</v>
      </c>
      <c r="K100" t="s">
        <v>88</v>
      </c>
      <c r="L100" t="s">
        <v>89</v>
      </c>
      <c r="M100">
        <v>4</v>
      </c>
      <c r="N100" t="s">
        <v>108</v>
      </c>
      <c r="O100">
        <v>58</v>
      </c>
      <c r="P100" t="s">
        <v>89</v>
      </c>
      <c r="Q100" t="s">
        <v>112</v>
      </c>
      <c r="R100">
        <v>1</v>
      </c>
      <c r="S100" t="s">
        <v>92</v>
      </c>
      <c r="T100">
        <v>1</v>
      </c>
      <c r="U100" t="s">
        <v>93</v>
      </c>
      <c r="V100" t="s">
        <v>94</v>
      </c>
      <c r="W100">
        <v>2</v>
      </c>
      <c r="X100">
        <v>1</v>
      </c>
    </row>
    <row r="101" spans="2:24" x14ac:dyDescent="0.3">
      <c r="B101">
        <v>97</v>
      </c>
      <c r="C101" t="s">
        <v>12</v>
      </c>
      <c r="D101">
        <v>12</v>
      </c>
      <c r="E101" t="s">
        <v>84</v>
      </c>
      <c r="F101" t="s">
        <v>99</v>
      </c>
      <c r="G101">
        <v>2012</v>
      </c>
      <c r="H101" t="s">
        <v>86</v>
      </c>
      <c r="I101" t="s">
        <v>100</v>
      </c>
      <c r="J101">
        <v>4</v>
      </c>
      <c r="K101" t="s">
        <v>98</v>
      </c>
      <c r="L101" t="s">
        <v>89</v>
      </c>
      <c r="M101">
        <v>2</v>
      </c>
      <c r="N101" t="s">
        <v>111</v>
      </c>
      <c r="O101">
        <v>61</v>
      </c>
      <c r="P101" t="s">
        <v>89</v>
      </c>
      <c r="Q101" t="s">
        <v>91</v>
      </c>
      <c r="R101">
        <v>1</v>
      </c>
      <c r="S101" t="s">
        <v>92</v>
      </c>
      <c r="T101">
        <v>1</v>
      </c>
      <c r="U101" t="s">
        <v>89</v>
      </c>
      <c r="V101" t="s">
        <v>94</v>
      </c>
      <c r="W101">
        <v>1</v>
      </c>
      <c r="X101">
        <v>0</v>
      </c>
    </row>
    <row r="102" spans="2:24" x14ac:dyDescent="0.3">
      <c r="B102">
        <v>98</v>
      </c>
      <c r="C102" t="s">
        <v>10</v>
      </c>
      <c r="D102">
        <v>18</v>
      </c>
      <c r="E102" t="s">
        <v>95</v>
      </c>
      <c r="F102" t="s">
        <v>119</v>
      </c>
      <c r="G102">
        <v>2622</v>
      </c>
      <c r="H102" t="s">
        <v>120</v>
      </c>
      <c r="I102" t="s">
        <v>97</v>
      </c>
      <c r="J102">
        <v>4</v>
      </c>
      <c r="K102" t="s">
        <v>88</v>
      </c>
      <c r="L102" t="s">
        <v>89</v>
      </c>
      <c r="M102">
        <v>4</v>
      </c>
      <c r="N102" t="s">
        <v>111</v>
      </c>
      <c r="O102">
        <v>34</v>
      </c>
      <c r="P102" t="s">
        <v>89</v>
      </c>
      <c r="Q102" t="s">
        <v>91</v>
      </c>
      <c r="R102">
        <v>1</v>
      </c>
      <c r="S102" t="s">
        <v>92</v>
      </c>
      <c r="T102">
        <v>1</v>
      </c>
      <c r="U102" t="s">
        <v>89</v>
      </c>
      <c r="V102" t="s">
        <v>94</v>
      </c>
      <c r="W102">
        <v>1</v>
      </c>
      <c r="X102">
        <v>0</v>
      </c>
    </row>
    <row r="103" spans="2:24" x14ac:dyDescent="0.3">
      <c r="B103">
        <v>99</v>
      </c>
      <c r="C103" t="s">
        <v>10</v>
      </c>
      <c r="D103">
        <v>36</v>
      </c>
      <c r="E103" t="s">
        <v>84</v>
      </c>
      <c r="F103" t="s">
        <v>85</v>
      </c>
      <c r="G103">
        <v>2337</v>
      </c>
      <c r="H103" t="s">
        <v>96</v>
      </c>
      <c r="I103" t="s">
        <v>87</v>
      </c>
      <c r="J103">
        <v>4</v>
      </c>
      <c r="K103" t="s">
        <v>88</v>
      </c>
      <c r="L103" t="s">
        <v>89</v>
      </c>
      <c r="M103">
        <v>4</v>
      </c>
      <c r="N103" t="s">
        <v>90</v>
      </c>
      <c r="O103">
        <v>36</v>
      </c>
      <c r="P103" t="s">
        <v>89</v>
      </c>
      <c r="Q103" t="s">
        <v>91</v>
      </c>
      <c r="R103">
        <v>1</v>
      </c>
      <c r="S103" t="s">
        <v>92</v>
      </c>
      <c r="T103">
        <v>1</v>
      </c>
      <c r="U103" t="s">
        <v>89</v>
      </c>
      <c r="V103" t="s">
        <v>94</v>
      </c>
      <c r="W103">
        <v>1</v>
      </c>
      <c r="X103">
        <v>0</v>
      </c>
    </row>
    <row r="104" spans="2:24" x14ac:dyDescent="0.3">
      <c r="B104">
        <v>100</v>
      </c>
      <c r="C104" t="s">
        <v>10</v>
      </c>
      <c r="D104">
        <v>20</v>
      </c>
      <c r="E104" t="s">
        <v>106</v>
      </c>
      <c r="F104" t="s">
        <v>110</v>
      </c>
      <c r="G104">
        <v>7057</v>
      </c>
      <c r="H104" t="s">
        <v>86</v>
      </c>
      <c r="I104" t="s">
        <v>100</v>
      </c>
      <c r="J104">
        <v>3</v>
      </c>
      <c r="K104" t="s">
        <v>88</v>
      </c>
      <c r="L104" t="s">
        <v>89</v>
      </c>
      <c r="M104">
        <v>4</v>
      </c>
      <c r="N104" t="s">
        <v>104</v>
      </c>
      <c r="O104">
        <v>36</v>
      </c>
      <c r="P104" t="s">
        <v>122</v>
      </c>
      <c r="Q104" t="s">
        <v>112</v>
      </c>
      <c r="R104">
        <v>2</v>
      </c>
      <c r="S104" t="s">
        <v>113</v>
      </c>
      <c r="T104">
        <v>2</v>
      </c>
      <c r="U104" t="s">
        <v>93</v>
      </c>
      <c r="V104" t="s">
        <v>94</v>
      </c>
      <c r="W104">
        <v>1</v>
      </c>
      <c r="X104">
        <v>0</v>
      </c>
    </row>
    <row r="105" spans="2:24" x14ac:dyDescent="0.3">
      <c r="B105">
        <v>101</v>
      </c>
      <c r="C105" t="s">
        <v>12</v>
      </c>
      <c r="D105">
        <v>24</v>
      </c>
      <c r="E105" t="s">
        <v>95</v>
      </c>
      <c r="F105" t="s">
        <v>107</v>
      </c>
      <c r="G105">
        <v>1469</v>
      </c>
      <c r="H105" t="s">
        <v>120</v>
      </c>
      <c r="I105" t="s">
        <v>87</v>
      </c>
      <c r="J105">
        <v>4</v>
      </c>
      <c r="K105" t="s">
        <v>117</v>
      </c>
      <c r="L105" t="s">
        <v>89</v>
      </c>
      <c r="M105">
        <v>4</v>
      </c>
      <c r="N105" t="s">
        <v>90</v>
      </c>
      <c r="O105">
        <v>41</v>
      </c>
      <c r="P105" t="s">
        <v>89</v>
      </c>
      <c r="Q105" t="s">
        <v>112</v>
      </c>
      <c r="R105">
        <v>1</v>
      </c>
      <c r="S105" t="s">
        <v>101</v>
      </c>
      <c r="T105">
        <v>1</v>
      </c>
      <c r="U105" t="s">
        <v>89</v>
      </c>
      <c r="V105" t="s">
        <v>94</v>
      </c>
      <c r="W105">
        <v>1</v>
      </c>
      <c r="X105">
        <v>0</v>
      </c>
    </row>
    <row r="106" spans="2:24" x14ac:dyDescent="0.3">
      <c r="B106">
        <v>102</v>
      </c>
      <c r="C106" t="s">
        <v>10</v>
      </c>
      <c r="D106">
        <v>36</v>
      </c>
      <c r="E106" t="s">
        <v>95</v>
      </c>
      <c r="F106" t="s">
        <v>85</v>
      </c>
      <c r="G106">
        <v>2323</v>
      </c>
      <c r="H106" t="s">
        <v>96</v>
      </c>
      <c r="I106" t="s">
        <v>100</v>
      </c>
      <c r="J106">
        <v>4</v>
      </c>
      <c r="K106" t="s">
        <v>88</v>
      </c>
      <c r="L106" t="s">
        <v>89</v>
      </c>
      <c r="M106">
        <v>4</v>
      </c>
      <c r="N106" t="s">
        <v>111</v>
      </c>
      <c r="O106">
        <v>24</v>
      </c>
      <c r="P106" t="s">
        <v>89</v>
      </c>
      <c r="Q106" t="s">
        <v>112</v>
      </c>
      <c r="R106">
        <v>1</v>
      </c>
      <c r="S106" t="s">
        <v>92</v>
      </c>
      <c r="T106">
        <v>1</v>
      </c>
      <c r="U106" t="s">
        <v>89</v>
      </c>
      <c r="V106" t="s">
        <v>94</v>
      </c>
      <c r="W106">
        <v>1</v>
      </c>
      <c r="X106">
        <v>0</v>
      </c>
    </row>
    <row r="107" spans="2:24" x14ac:dyDescent="0.3">
      <c r="B107">
        <v>103</v>
      </c>
      <c r="C107" t="s">
        <v>12</v>
      </c>
      <c r="D107">
        <v>6</v>
      </c>
      <c r="E107" t="s">
        <v>106</v>
      </c>
      <c r="F107" t="s">
        <v>85</v>
      </c>
      <c r="G107">
        <v>932</v>
      </c>
      <c r="H107" t="s">
        <v>96</v>
      </c>
      <c r="I107" t="s">
        <v>97</v>
      </c>
      <c r="J107">
        <v>3</v>
      </c>
      <c r="K107" t="s">
        <v>98</v>
      </c>
      <c r="L107" t="s">
        <v>89</v>
      </c>
      <c r="M107">
        <v>2</v>
      </c>
      <c r="N107" t="s">
        <v>90</v>
      </c>
      <c r="O107">
        <v>24</v>
      </c>
      <c r="P107" t="s">
        <v>89</v>
      </c>
      <c r="Q107" t="s">
        <v>91</v>
      </c>
      <c r="R107">
        <v>1</v>
      </c>
      <c r="S107" t="s">
        <v>92</v>
      </c>
      <c r="T107">
        <v>1</v>
      </c>
      <c r="U107" t="s">
        <v>89</v>
      </c>
      <c r="V107" t="s">
        <v>94</v>
      </c>
      <c r="W107">
        <v>1</v>
      </c>
      <c r="X107">
        <v>0</v>
      </c>
    </row>
    <row r="108" spans="2:24" x14ac:dyDescent="0.3">
      <c r="B108">
        <v>104</v>
      </c>
      <c r="C108" t="s">
        <v>10</v>
      </c>
      <c r="D108">
        <v>9</v>
      </c>
      <c r="E108" t="s">
        <v>84</v>
      </c>
      <c r="F108" t="s">
        <v>102</v>
      </c>
      <c r="G108">
        <v>1919</v>
      </c>
      <c r="H108" t="s">
        <v>96</v>
      </c>
      <c r="I108" t="s">
        <v>100</v>
      </c>
      <c r="J108">
        <v>4</v>
      </c>
      <c r="K108" t="s">
        <v>88</v>
      </c>
      <c r="L108" t="s">
        <v>89</v>
      </c>
      <c r="M108">
        <v>3</v>
      </c>
      <c r="N108" t="s">
        <v>111</v>
      </c>
      <c r="O108">
        <v>35</v>
      </c>
      <c r="P108" t="s">
        <v>89</v>
      </c>
      <c r="Q108" t="s">
        <v>112</v>
      </c>
      <c r="R108">
        <v>1</v>
      </c>
      <c r="S108" t="s">
        <v>92</v>
      </c>
      <c r="T108">
        <v>1</v>
      </c>
      <c r="U108" t="s">
        <v>93</v>
      </c>
      <c r="V108" t="s">
        <v>94</v>
      </c>
      <c r="W108">
        <v>1</v>
      </c>
      <c r="X108">
        <v>0</v>
      </c>
    </row>
    <row r="109" spans="2:24" x14ac:dyDescent="0.3">
      <c r="B109">
        <v>105</v>
      </c>
      <c r="C109" t="s">
        <v>12</v>
      </c>
      <c r="D109">
        <v>12</v>
      </c>
      <c r="E109" t="s">
        <v>95</v>
      </c>
      <c r="F109" t="s">
        <v>110</v>
      </c>
      <c r="G109">
        <v>2445</v>
      </c>
      <c r="H109" t="s">
        <v>86</v>
      </c>
      <c r="I109" t="s">
        <v>118</v>
      </c>
      <c r="J109">
        <v>2</v>
      </c>
      <c r="K109" t="s">
        <v>117</v>
      </c>
      <c r="L109" t="s">
        <v>89</v>
      </c>
      <c r="M109">
        <v>4</v>
      </c>
      <c r="N109" t="s">
        <v>111</v>
      </c>
      <c r="O109">
        <v>26</v>
      </c>
      <c r="P109" t="s">
        <v>89</v>
      </c>
      <c r="Q109" t="s">
        <v>112</v>
      </c>
      <c r="R109">
        <v>1</v>
      </c>
      <c r="S109" t="s">
        <v>92</v>
      </c>
      <c r="T109">
        <v>1</v>
      </c>
      <c r="U109" t="s">
        <v>93</v>
      </c>
      <c r="V109" t="s">
        <v>94</v>
      </c>
      <c r="W109">
        <v>1</v>
      </c>
      <c r="X109">
        <v>0</v>
      </c>
    </row>
    <row r="110" spans="2:24" x14ac:dyDescent="0.3">
      <c r="B110">
        <v>106</v>
      </c>
      <c r="C110" t="s">
        <v>10</v>
      </c>
      <c r="D110">
        <v>24</v>
      </c>
      <c r="E110" t="s">
        <v>84</v>
      </c>
      <c r="F110" t="s">
        <v>130</v>
      </c>
      <c r="G110">
        <v>11938</v>
      </c>
      <c r="H110" t="s">
        <v>96</v>
      </c>
      <c r="I110" t="s">
        <v>97</v>
      </c>
      <c r="J110">
        <v>2</v>
      </c>
      <c r="K110" t="s">
        <v>88</v>
      </c>
      <c r="L110" t="s">
        <v>126</v>
      </c>
      <c r="M110">
        <v>3</v>
      </c>
      <c r="N110" t="s">
        <v>111</v>
      </c>
      <c r="O110">
        <v>39</v>
      </c>
      <c r="P110" t="s">
        <v>89</v>
      </c>
      <c r="Q110" t="s">
        <v>91</v>
      </c>
      <c r="R110">
        <v>2</v>
      </c>
      <c r="S110" t="s">
        <v>113</v>
      </c>
      <c r="T110">
        <v>2</v>
      </c>
      <c r="U110" t="s">
        <v>93</v>
      </c>
      <c r="V110" t="s">
        <v>94</v>
      </c>
      <c r="W110">
        <v>2</v>
      </c>
      <c r="X110">
        <v>1</v>
      </c>
    </row>
    <row r="111" spans="2:24" x14ac:dyDescent="0.3">
      <c r="B111">
        <v>107</v>
      </c>
      <c r="C111" t="s">
        <v>12</v>
      </c>
      <c r="D111">
        <v>18</v>
      </c>
      <c r="E111" t="s">
        <v>124</v>
      </c>
      <c r="F111" t="s">
        <v>107</v>
      </c>
      <c r="G111">
        <v>6458</v>
      </c>
      <c r="H111" t="s">
        <v>96</v>
      </c>
      <c r="I111" t="s">
        <v>87</v>
      </c>
      <c r="J111">
        <v>2</v>
      </c>
      <c r="K111" t="s">
        <v>88</v>
      </c>
      <c r="L111" t="s">
        <v>89</v>
      </c>
      <c r="M111">
        <v>4</v>
      </c>
      <c r="N111" t="s">
        <v>108</v>
      </c>
      <c r="O111">
        <v>39</v>
      </c>
      <c r="P111" t="s">
        <v>122</v>
      </c>
      <c r="Q111" t="s">
        <v>91</v>
      </c>
      <c r="R111">
        <v>2</v>
      </c>
      <c r="S111" t="s">
        <v>113</v>
      </c>
      <c r="T111">
        <v>2</v>
      </c>
      <c r="U111" t="s">
        <v>93</v>
      </c>
      <c r="V111" t="s">
        <v>94</v>
      </c>
      <c r="W111">
        <v>2</v>
      </c>
      <c r="X111">
        <v>1</v>
      </c>
    </row>
    <row r="112" spans="2:24" x14ac:dyDescent="0.3">
      <c r="B112">
        <v>108</v>
      </c>
      <c r="C112" t="s">
        <v>10</v>
      </c>
      <c r="D112">
        <v>12</v>
      </c>
      <c r="E112" t="s">
        <v>95</v>
      </c>
      <c r="F112" t="s">
        <v>107</v>
      </c>
      <c r="G112">
        <v>6078</v>
      </c>
      <c r="H112" t="s">
        <v>96</v>
      </c>
      <c r="I112" t="s">
        <v>100</v>
      </c>
      <c r="J112">
        <v>2</v>
      </c>
      <c r="K112" t="s">
        <v>88</v>
      </c>
      <c r="L112" t="s">
        <v>89</v>
      </c>
      <c r="M112">
        <v>2</v>
      </c>
      <c r="N112" t="s">
        <v>111</v>
      </c>
      <c r="O112">
        <v>32</v>
      </c>
      <c r="P112" t="s">
        <v>89</v>
      </c>
      <c r="Q112" t="s">
        <v>91</v>
      </c>
      <c r="R112">
        <v>1</v>
      </c>
      <c r="S112" t="s">
        <v>92</v>
      </c>
      <c r="T112">
        <v>1</v>
      </c>
      <c r="U112" t="s">
        <v>89</v>
      </c>
      <c r="V112" t="s">
        <v>94</v>
      </c>
      <c r="W112">
        <v>1</v>
      </c>
      <c r="X112">
        <v>0</v>
      </c>
    </row>
    <row r="113" spans="2:24" x14ac:dyDescent="0.3">
      <c r="B113">
        <v>109</v>
      </c>
      <c r="C113" t="s">
        <v>8</v>
      </c>
      <c r="D113">
        <v>24</v>
      </c>
      <c r="E113" t="s">
        <v>95</v>
      </c>
      <c r="F113" t="s">
        <v>102</v>
      </c>
      <c r="G113">
        <v>7721</v>
      </c>
      <c r="H113" t="s">
        <v>86</v>
      </c>
      <c r="I113" t="s">
        <v>118</v>
      </c>
      <c r="J113">
        <v>1</v>
      </c>
      <c r="K113" t="s">
        <v>98</v>
      </c>
      <c r="L113" t="s">
        <v>89</v>
      </c>
      <c r="M113">
        <v>2</v>
      </c>
      <c r="N113" t="s">
        <v>104</v>
      </c>
      <c r="O113">
        <v>30</v>
      </c>
      <c r="P113" t="s">
        <v>89</v>
      </c>
      <c r="Q113" t="s">
        <v>91</v>
      </c>
      <c r="R113">
        <v>1</v>
      </c>
      <c r="S113" t="s">
        <v>92</v>
      </c>
      <c r="T113">
        <v>1</v>
      </c>
      <c r="U113" t="s">
        <v>93</v>
      </c>
      <c r="V113" t="s">
        <v>123</v>
      </c>
      <c r="W113">
        <v>1</v>
      </c>
      <c r="X113">
        <v>0</v>
      </c>
    </row>
    <row r="114" spans="2:24" x14ac:dyDescent="0.3">
      <c r="B114">
        <v>110</v>
      </c>
      <c r="C114" t="s">
        <v>10</v>
      </c>
      <c r="D114">
        <v>14</v>
      </c>
      <c r="E114" t="s">
        <v>95</v>
      </c>
      <c r="F114" t="s">
        <v>119</v>
      </c>
      <c r="G114">
        <v>1410</v>
      </c>
      <c r="H114" t="s">
        <v>109</v>
      </c>
      <c r="I114" t="s">
        <v>87</v>
      </c>
      <c r="J114">
        <v>1</v>
      </c>
      <c r="K114" t="s">
        <v>117</v>
      </c>
      <c r="L114" t="s">
        <v>89</v>
      </c>
      <c r="M114">
        <v>2</v>
      </c>
      <c r="N114" t="s">
        <v>90</v>
      </c>
      <c r="O114">
        <v>35</v>
      </c>
      <c r="P114" t="s">
        <v>89</v>
      </c>
      <c r="Q114" t="s">
        <v>91</v>
      </c>
      <c r="R114">
        <v>1</v>
      </c>
      <c r="S114" t="s">
        <v>92</v>
      </c>
      <c r="T114">
        <v>1</v>
      </c>
      <c r="U114" t="s">
        <v>93</v>
      </c>
      <c r="V114" t="s">
        <v>94</v>
      </c>
      <c r="W114">
        <v>1</v>
      </c>
      <c r="X114">
        <v>0</v>
      </c>
    </row>
    <row r="115" spans="2:24" x14ac:dyDescent="0.3">
      <c r="B115">
        <v>111</v>
      </c>
      <c r="C115" t="s">
        <v>10</v>
      </c>
      <c r="D115">
        <v>6</v>
      </c>
      <c r="E115" t="s">
        <v>106</v>
      </c>
      <c r="F115" t="s">
        <v>119</v>
      </c>
      <c r="G115">
        <v>1449</v>
      </c>
      <c r="H115" t="s">
        <v>120</v>
      </c>
      <c r="I115" t="s">
        <v>87</v>
      </c>
      <c r="J115">
        <v>1</v>
      </c>
      <c r="K115" t="s">
        <v>115</v>
      </c>
      <c r="L115" t="s">
        <v>89</v>
      </c>
      <c r="M115">
        <v>2</v>
      </c>
      <c r="N115" t="s">
        <v>111</v>
      </c>
      <c r="O115">
        <v>31</v>
      </c>
      <c r="P115" t="s">
        <v>122</v>
      </c>
      <c r="Q115" t="s">
        <v>91</v>
      </c>
      <c r="R115">
        <v>2</v>
      </c>
      <c r="S115" t="s">
        <v>92</v>
      </c>
      <c r="T115">
        <v>2</v>
      </c>
      <c r="U115" t="s">
        <v>89</v>
      </c>
      <c r="V115" t="s">
        <v>94</v>
      </c>
      <c r="W115">
        <v>1</v>
      </c>
      <c r="X115">
        <v>0</v>
      </c>
    </row>
    <row r="116" spans="2:24" x14ac:dyDescent="0.3">
      <c r="B116">
        <v>112</v>
      </c>
      <c r="C116" t="s">
        <v>11</v>
      </c>
      <c r="D116">
        <v>15</v>
      </c>
      <c r="E116" t="s">
        <v>95</v>
      </c>
      <c r="F116" t="s">
        <v>99</v>
      </c>
      <c r="G116">
        <v>392</v>
      </c>
      <c r="H116" t="s">
        <v>96</v>
      </c>
      <c r="I116" t="s">
        <v>118</v>
      </c>
      <c r="J116">
        <v>4</v>
      </c>
      <c r="K116" t="s">
        <v>98</v>
      </c>
      <c r="L116" t="s">
        <v>89</v>
      </c>
      <c r="M116">
        <v>4</v>
      </c>
      <c r="N116" t="s">
        <v>104</v>
      </c>
      <c r="O116">
        <v>23</v>
      </c>
      <c r="P116" t="s">
        <v>89</v>
      </c>
      <c r="Q116" t="s">
        <v>112</v>
      </c>
      <c r="R116">
        <v>1</v>
      </c>
      <c r="S116" t="s">
        <v>92</v>
      </c>
      <c r="T116">
        <v>1</v>
      </c>
      <c r="U116" t="s">
        <v>93</v>
      </c>
      <c r="V116" t="s">
        <v>94</v>
      </c>
      <c r="W116">
        <v>1</v>
      </c>
      <c r="X116">
        <v>0</v>
      </c>
    </row>
    <row r="117" spans="2:24" x14ac:dyDescent="0.3">
      <c r="B117">
        <v>113</v>
      </c>
      <c r="C117" t="s">
        <v>10</v>
      </c>
      <c r="D117">
        <v>18</v>
      </c>
      <c r="E117" t="s">
        <v>95</v>
      </c>
      <c r="F117" t="s">
        <v>107</v>
      </c>
      <c r="G117">
        <v>6260</v>
      </c>
      <c r="H117" t="s">
        <v>96</v>
      </c>
      <c r="I117" t="s">
        <v>100</v>
      </c>
      <c r="J117">
        <v>3</v>
      </c>
      <c r="K117" t="s">
        <v>88</v>
      </c>
      <c r="L117" t="s">
        <v>89</v>
      </c>
      <c r="M117">
        <v>3</v>
      </c>
      <c r="N117" t="s">
        <v>90</v>
      </c>
      <c r="O117">
        <v>28</v>
      </c>
      <c r="P117" t="s">
        <v>89</v>
      </c>
      <c r="Q117" t="s">
        <v>112</v>
      </c>
      <c r="R117">
        <v>1</v>
      </c>
      <c r="S117" t="s">
        <v>101</v>
      </c>
      <c r="T117">
        <v>1</v>
      </c>
      <c r="U117" t="s">
        <v>89</v>
      </c>
      <c r="V117" t="s">
        <v>94</v>
      </c>
      <c r="W117">
        <v>1</v>
      </c>
      <c r="X117">
        <v>0</v>
      </c>
    </row>
    <row r="118" spans="2:24" x14ac:dyDescent="0.3">
      <c r="B118">
        <v>114</v>
      </c>
      <c r="C118" t="s">
        <v>12</v>
      </c>
      <c r="D118">
        <v>36</v>
      </c>
      <c r="E118" t="s">
        <v>84</v>
      </c>
      <c r="F118" t="s">
        <v>107</v>
      </c>
      <c r="G118">
        <v>7855</v>
      </c>
      <c r="H118" t="s">
        <v>96</v>
      </c>
      <c r="I118" t="s">
        <v>97</v>
      </c>
      <c r="J118">
        <v>4</v>
      </c>
      <c r="K118" t="s">
        <v>98</v>
      </c>
      <c r="L118" t="s">
        <v>89</v>
      </c>
      <c r="M118">
        <v>2</v>
      </c>
      <c r="N118" t="s">
        <v>90</v>
      </c>
      <c r="O118">
        <v>25</v>
      </c>
      <c r="P118" t="s">
        <v>125</v>
      </c>
      <c r="Q118" t="s">
        <v>91</v>
      </c>
      <c r="R118">
        <v>2</v>
      </c>
      <c r="S118" t="s">
        <v>92</v>
      </c>
      <c r="T118">
        <v>1</v>
      </c>
      <c r="U118" t="s">
        <v>93</v>
      </c>
      <c r="V118" t="s">
        <v>94</v>
      </c>
      <c r="W118">
        <v>2</v>
      </c>
      <c r="X118">
        <v>1</v>
      </c>
    </row>
    <row r="119" spans="2:24" x14ac:dyDescent="0.3">
      <c r="B119">
        <v>115</v>
      </c>
      <c r="C119" t="s">
        <v>8</v>
      </c>
      <c r="D119">
        <v>12</v>
      </c>
      <c r="E119" t="s">
        <v>95</v>
      </c>
      <c r="F119" t="s">
        <v>85</v>
      </c>
      <c r="G119">
        <v>1680</v>
      </c>
      <c r="H119" t="s">
        <v>109</v>
      </c>
      <c r="I119" t="s">
        <v>87</v>
      </c>
      <c r="J119">
        <v>3</v>
      </c>
      <c r="K119" t="s">
        <v>117</v>
      </c>
      <c r="L119" t="s">
        <v>89</v>
      </c>
      <c r="M119">
        <v>1</v>
      </c>
      <c r="N119" t="s">
        <v>90</v>
      </c>
      <c r="O119">
        <v>35</v>
      </c>
      <c r="P119" t="s">
        <v>89</v>
      </c>
      <c r="Q119" t="s">
        <v>91</v>
      </c>
      <c r="R119">
        <v>1</v>
      </c>
      <c r="S119" t="s">
        <v>92</v>
      </c>
      <c r="T119">
        <v>1</v>
      </c>
      <c r="U119" t="s">
        <v>89</v>
      </c>
      <c r="V119" t="s">
        <v>94</v>
      </c>
      <c r="W119">
        <v>1</v>
      </c>
      <c r="X119">
        <v>0</v>
      </c>
    </row>
    <row r="120" spans="2:24" x14ac:dyDescent="0.3">
      <c r="B120">
        <v>116</v>
      </c>
      <c r="C120" t="s">
        <v>12</v>
      </c>
      <c r="D120">
        <v>48</v>
      </c>
      <c r="E120" t="s">
        <v>84</v>
      </c>
      <c r="F120" t="s">
        <v>85</v>
      </c>
      <c r="G120">
        <v>3578</v>
      </c>
      <c r="H120" t="s">
        <v>86</v>
      </c>
      <c r="I120" t="s">
        <v>87</v>
      </c>
      <c r="J120">
        <v>4</v>
      </c>
      <c r="K120" t="s">
        <v>88</v>
      </c>
      <c r="L120" t="s">
        <v>89</v>
      </c>
      <c r="M120">
        <v>1</v>
      </c>
      <c r="N120" t="s">
        <v>90</v>
      </c>
      <c r="O120">
        <v>47</v>
      </c>
      <c r="P120" t="s">
        <v>89</v>
      </c>
      <c r="Q120" t="s">
        <v>91</v>
      </c>
      <c r="R120">
        <v>1</v>
      </c>
      <c r="S120" t="s">
        <v>92</v>
      </c>
      <c r="T120">
        <v>1</v>
      </c>
      <c r="U120" t="s">
        <v>93</v>
      </c>
      <c r="V120" t="s">
        <v>94</v>
      </c>
      <c r="W120">
        <v>1</v>
      </c>
      <c r="X120">
        <v>0</v>
      </c>
    </row>
    <row r="121" spans="2:24" x14ac:dyDescent="0.3">
      <c r="B121">
        <v>117</v>
      </c>
      <c r="C121" t="s">
        <v>8</v>
      </c>
      <c r="D121">
        <v>42</v>
      </c>
      <c r="E121" t="s">
        <v>95</v>
      </c>
      <c r="F121" t="s">
        <v>85</v>
      </c>
      <c r="G121">
        <v>7174</v>
      </c>
      <c r="H121" t="s">
        <v>86</v>
      </c>
      <c r="I121" t="s">
        <v>100</v>
      </c>
      <c r="J121">
        <v>4</v>
      </c>
      <c r="K121" t="s">
        <v>98</v>
      </c>
      <c r="L121" t="s">
        <v>89</v>
      </c>
      <c r="M121">
        <v>3</v>
      </c>
      <c r="N121" t="s">
        <v>111</v>
      </c>
      <c r="O121">
        <v>30</v>
      </c>
      <c r="P121" t="s">
        <v>89</v>
      </c>
      <c r="Q121" t="s">
        <v>91</v>
      </c>
      <c r="R121">
        <v>1</v>
      </c>
      <c r="S121" t="s">
        <v>113</v>
      </c>
      <c r="T121">
        <v>1</v>
      </c>
      <c r="U121" t="s">
        <v>93</v>
      </c>
      <c r="V121" t="s">
        <v>94</v>
      </c>
      <c r="W121">
        <v>2</v>
      </c>
      <c r="X121">
        <v>1</v>
      </c>
    </row>
    <row r="122" spans="2:24" x14ac:dyDescent="0.3">
      <c r="B122">
        <v>118</v>
      </c>
      <c r="C122" t="s">
        <v>8</v>
      </c>
      <c r="D122">
        <v>10</v>
      </c>
      <c r="E122" t="s">
        <v>84</v>
      </c>
      <c r="F122" t="s">
        <v>102</v>
      </c>
      <c r="G122">
        <v>2132</v>
      </c>
      <c r="H122" t="s">
        <v>86</v>
      </c>
      <c r="I122" t="s">
        <v>118</v>
      </c>
      <c r="J122">
        <v>2</v>
      </c>
      <c r="K122" t="s">
        <v>98</v>
      </c>
      <c r="L122" t="s">
        <v>126</v>
      </c>
      <c r="M122">
        <v>3</v>
      </c>
      <c r="N122" t="s">
        <v>90</v>
      </c>
      <c r="O122">
        <v>27</v>
      </c>
      <c r="P122" t="s">
        <v>89</v>
      </c>
      <c r="Q122" t="s">
        <v>112</v>
      </c>
      <c r="R122">
        <v>2</v>
      </c>
      <c r="S122" t="s">
        <v>92</v>
      </c>
      <c r="T122">
        <v>1</v>
      </c>
      <c r="U122" t="s">
        <v>89</v>
      </c>
      <c r="V122" t="s">
        <v>123</v>
      </c>
      <c r="W122">
        <v>1</v>
      </c>
      <c r="X122">
        <v>0</v>
      </c>
    </row>
    <row r="123" spans="2:24" x14ac:dyDescent="0.3">
      <c r="B123">
        <v>119</v>
      </c>
      <c r="C123" t="s">
        <v>8</v>
      </c>
      <c r="D123">
        <v>33</v>
      </c>
      <c r="E123" t="s">
        <v>84</v>
      </c>
      <c r="F123" t="s">
        <v>102</v>
      </c>
      <c r="G123">
        <v>4281</v>
      </c>
      <c r="H123" t="s">
        <v>109</v>
      </c>
      <c r="I123" t="s">
        <v>97</v>
      </c>
      <c r="J123">
        <v>1</v>
      </c>
      <c r="K123" t="s">
        <v>98</v>
      </c>
      <c r="L123" t="s">
        <v>89</v>
      </c>
      <c r="M123">
        <v>4</v>
      </c>
      <c r="N123" t="s">
        <v>111</v>
      </c>
      <c r="O123">
        <v>23</v>
      </c>
      <c r="P123" t="s">
        <v>89</v>
      </c>
      <c r="Q123" t="s">
        <v>91</v>
      </c>
      <c r="R123">
        <v>2</v>
      </c>
      <c r="S123" t="s">
        <v>92</v>
      </c>
      <c r="T123">
        <v>1</v>
      </c>
      <c r="U123" t="s">
        <v>89</v>
      </c>
      <c r="V123" t="s">
        <v>94</v>
      </c>
      <c r="W123">
        <v>2</v>
      </c>
      <c r="X123">
        <v>1</v>
      </c>
    </row>
    <row r="124" spans="2:24" x14ac:dyDescent="0.3">
      <c r="B124">
        <v>120</v>
      </c>
      <c r="C124" t="s">
        <v>10</v>
      </c>
      <c r="D124">
        <v>12</v>
      </c>
      <c r="E124" t="s">
        <v>84</v>
      </c>
      <c r="F124" t="s">
        <v>107</v>
      </c>
      <c r="G124">
        <v>2366</v>
      </c>
      <c r="H124" t="s">
        <v>109</v>
      </c>
      <c r="I124" t="s">
        <v>100</v>
      </c>
      <c r="J124">
        <v>3</v>
      </c>
      <c r="K124" t="s">
        <v>115</v>
      </c>
      <c r="L124" t="s">
        <v>89</v>
      </c>
      <c r="M124">
        <v>3</v>
      </c>
      <c r="N124" t="s">
        <v>111</v>
      </c>
      <c r="O124">
        <v>36</v>
      </c>
      <c r="P124" t="s">
        <v>89</v>
      </c>
      <c r="Q124" t="s">
        <v>91</v>
      </c>
      <c r="R124">
        <v>1</v>
      </c>
      <c r="S124" t="s">
        <v>113</v>
      </c>
      <c r="T124">
        <v>1</v>
      </c>
      <c r="U124" t="s">
        <v>93</v>
      </c>
      <c r="V124" t="s">
        <v>94</v>
      </c>
      <c r="W124">
        <v>1</v>
      </c>
      <c r="X124">
        <v>0</v>
      </c>
    </row>
    <row r="125" spans="2:24" x14ac:dyDescent="0.3">
      <c r="B125">
        <v>121</v>
      </c>
      <c r="C125" t="s">
        <v>8</v>
      </c>
      <c r="D125">
        <v>21</v>
      </c>
      <c r="E125" t="s">
        <v>95</v>
      </c>
      <c r="F125" t="s">
        <v>85</v>
      </c>
      <c r="G125">
        <v>1835</v>
      </c>
      <c r="H125" t="s">
        <v>96</v>
      </c>
      <c r="I125" t="s">
        <v>97</v>
      </c>
      <c r="J125">
        <v>3</v>
      </c>
      <c r="K125" t="s">
        <v>98</v>
      </c>
      <c r="L125" t="s">
        <v>89</v>
      </c>
      <c r="M125">
        <v>2</v>
      </c>
      <c r="N125" t="s">
        <v>90</v>
      </c>
      <c r="O125">
        <v>25</v>
      </c>
      <c r="P125" t="s">
        <v>89</v>
      </c>
      <c r="Q125" t="s">
        <v>91</v>
      </c>
      <c r="R125">
        <v>2</v>
      </c>
      <c r="S125" t="s">
        <v>92</v>
      </c>
      <c r="T125">
        <v>1</v>
      </c>
      <c r="U125" t="s">
        <v>93</v>
      </c>
      <c r="V125" t="s">
        <v>94</v>
      </c>
      <c r="W125">
        <v>2</v>
      </c>
      <c r="X125">
        <v>1</v>
      </c>
    </row>
    <row r="126" spans="2:24" x14ac:dyDescent="0.3">
      <c r="B126">
        <v>122</v>
      </c>
      <c r="C126" t="s">
        <v>12</v>
      </c>
      <c r="D126">
        <v>24</v>
      </c>
      <c r="E126" t="s">
        <v>84</v>
      </c>
      <c r="F126" t="s">
        <v>110</v>
      </c>
      <c r="G126">
        <v>3868</v>
      </c>
      <c r="H126" t="s">
        <v>96</v>
      </c>
      <c r="I126" t="s">
        <v>87</v>
      </c>
      <c r="J126">
        <v>4</v>
      </c>
      <c r="K126" t="s">
        <v>98</v>
      </c>
      <c r="L126" t="s">
        <v>89</v>
      </c>
      <c r="M126">
        <v>2</v>
      </c>
      <c r="N126" t="s">
        <v>111</v>
      </c>
      <c r="O126">
        <v>41</v>
      </c>
      <c r="P126" t="s">
        <v>89</v>
      </c>
      <c r="Q126" t="s">
        <v>112</v>
      </c>
      <c r="R126">
        <v>2</v>
      </c>
      <c r="S126" t="s">
        <v>113</v>
      </c>
      <c r="T126">
        <v>1</v>
      </c>
      <c r="U126" t="s">
        <v>93</v>
      </c>
      <c r="V126" t="s">
        <v>94</v>
      </c>
      <c r="W126">
        <v>1</v>
      </c>
      <c r="X126">
        <v>0</v>
      </c>
    </row>
    <row r="127" spans="2:24" x14ac:dyDescent="0.3">
      <c r="B127">
        <v>123</v>
      </c>
      <c r="C127" t="s">
        <v>12</v>
      </c>
      <c r="D127">
        <v>12</v>
      </c>
      <c r="E127" t="s">
        <v>95</v>
      </c>
      <c r="F127" t="s">
        <v>102</v>
      </c>
      <c r="G127">
        <v>1768</v>
      </c>
      <c r="H127" t="s">
        <v>96</v>
      </c>
      <c r="I127" t="s">
        <v>97</v>
      </c>
      <c r="J127">
        <v>3</v>
      </c>
      <c r="K127" t="s">
        <v>88</v>
      </c>
      <c r="L127" t="s">
        <v>89</v>
      </c>
      <c r="M127">
        <v>2</v>
      </c>
      <c r="N127" t="s">
        <v>90</v>
      </c>
      <c r="O127">
        <v>24</v>
      </c>
      <c r="P127" t="s">
        <v>89</v>
      </c>
      <c r="Q127" t="s">
        <v>112</v>
      </c>
      <c r="R127">
        <v>1</v>
      </c>
      <c r="S127" t="s">
        <v>101</v>
      </c>
      <c r="T127">
        <v>1</v>
      </c>
      <c r="U127" t="s">
        <v>89</v>
      </c>
      <c r="V127" t="s">
        <v>94</v>
      </c>
      <c r="W127">
        <v>1</v>
      </c>
      <c r="X127">
        <v>0</v>
      </c>
    </row>
    <row r="128" spans="2:24" x14ac:dyDescent="0.3">
      <c r="B128">
        <v>124</v>
      </c>
      <c r="C128" t="s">
        <v>11</v>
      </c>
      <c r="D128">
        <v>10</v>
      </c>
      <c r="E128" t="s">
        <v>84</v>
      </c>
      <c r="F128" t="s">
        <v>107</v>
      </c>
      <c r="G128">
        <v>781</v>
      </c>
      <c r="H128" t="s">
        <v>96</v>
      </c>
      <c r="I128" t="s">
        <v>87</v>
      </c>
      <c r="J128">
        <v>4</v>
      </c>
      <c r="K128" t="s">
        <v>88</v>
      </c>
      <c r="L128" t="s">
        <v>89</v>
      </c>
      <c r="M128">
        <v>4</v>
      </c>
      <c r="N128" t="s">
        <v>108</v>
      </c>
      <c r="O128">
        <v>63</v>
      </c>
      <c r="P128" t="s">
        <v>89</v>
      </c>
      <c r="Q128" t="s">
        <v>105</v>
      </c>
      <c r="R128">
        <v>2</v>
      </c>
      <c r="S128" t="s">
        <v>92</v>
      </c>
      <c r="T128">
        <v>1</v>
      </c>
      <c r="U128" t="s">
        <v>93</v>
      </c>
      <c r="V128" t="s">
        <v>94</v>
      </c>
      <c r="W128">
        <v>1</v>
      </c>
      <c r="X128">
        <v>0</v>
      </c>
    </row>
    <row r="129" spans="2:24" x14ac:dyDescent="0.3">
      <c r="B129">
        <v>125</v>
      </c>
      <c r="C129" t="s">
        <v>10</v>
      </c>
      <c r="D129">
        <v>18</v>
      </c>
      <c r="E129" t="s">
        <v>95</v>
      </c>
      <c r="F129" t="s">
        <v>102</v>
      </c>
      <c r="G129">
        <v>1924</v>
      </c>
      <c r="H129" t="s">
        <v>86</v>
      </c>
      <c r="I129" t="s">
        <v>118</v>
      </c>
      <c r="J129">
        <v>4</v>
      </c>
      <c r="K129" t="s">
        <v>98</v>
      </c>
      <c r="L129" t="s">
        <v>89</v>
      </c>
      <c r="M129">
        <v>3</v>
      </c>
      <c r="N129" t="s">
        <v>90</v>
      </c>
      <c r="O129">
        <v>27</v>
      </c>
      <c r="P129" t="s">
        <v>89</v>
      </c>
      <c r="Q129" t="s">
        <v>112</v>
      </c>
      <c r="R129">
        <v>1</v>
      </c>
      <c r="S129" t="s">
        <v>92</v>
      </c>
      <c r="T129">
        <v>1</v>
      </c>
      <c r="U129" t="s">
        <v>89</v>
      </c>
      <c r="V129" t="s">
        <v>94</v>
      </c>
      <c r="W129">
        <v>2</v>
      </c>
      <c r="X129">
        <v>1</v>
      </c>
    </row>
    <row r="130" spans="2:24" x14ac:dyDescent="0.3">
      <c r="B130">
        <v>126</v>
      </c>
      <c r="C130" t="s">
        <v>8</v>
      </c>
      <c r="D130">
        <v>12</v>
      </c>
      <c r="E130" t="s">
        <v>84</v>
      </c>
      <c r="F130" t="s">
        <v>107</v>
      </c>
      <c r="G130">
        <v>2121</v>
      </c>
      <c r="H130" t="s">
        <v>96</v>
      </c>
      <c r="I130" t="s">
        <v>97</v>
      </c>
      <c r="J130">
        <v>4</v>
      </c>
      <c r="K130" t="s">
        <v>88</v>
      </c>
      <c r="L130" t="s">
        <v>89</v>
      </c>
      <c r="M130">
        <v>2</v>
      </c>
      <c r="N130" t="s">
        <v>104</v>
      </c>
      <c r="O130">
        <v>30</v>
      </c>
      <c r="P130" t="s">
        <v>89</v>
      </c>
      <c r="Q130" t="s">
        <v>91</v>
      </c>
      <c r="R130">
        <v>2</v>
      </c>
      <c r="S130" t="s">
        <v>92</v>
      </c>
      <c r="T130">
        <v>1</v>
      </c>
      <c r="U130" t="s">
        <v>89</v>
      </c>
      <c r="V130" t="s">
        <v>94</v>
      </c>
      <c r="W130">
        <v>1</v>
      </c>
      <c r="X130">
        <v>0</v>
      </c>
    </row>
    <row r="131" spans="2:24" x14ac:dyDescent="0.3">
      <c r="B131">
        <v>127</v>
      </c>
      <c r="C131" t="s">
        <v>8</v>
      </c>
      <c r="D131">
        <v>12</v>
      </c>
      <c r="E131" t="s">
        <v>95</v>
      </c>
      <c r="F131" t="s">
        <v>85</v>
      </c>
      <c r="G131">
        <v>701</v>
      </c>
      <c r="H131" t="s">
        <v>96</v>
      </c>
      <c r="I131" t="s">
        <v>97</v>
      </c>
      <c r="J131">
        <v>4</v>
      </c>
      <c r="K131" t="s">
        <v>117</v>
      </c>
      <c r="L131" t="s">
        <v>89</v>
      </c>
      <c r="M131">
        <v>2</v>
      </c>
      <c r="N131" t="s">
        <v>90</v>
      </c>
      <c r="O131">
        <v>40</v>
      </c>
      <c r="P131" t="s">
        <v>89</v>
      </c>
      <c r="Q131" t="s">
        <v>91</v>
      </c>
      <c r="R131">
        <v>1</v>
      </c>
      <c r="S131" t="s">
        <v>101</v>
      </c>
      <c r="T131">
        <v>1</v>
      </c>
      <c r="U131" t="s">
        <v>89</v>
      </c>
      <c r="V131" t="s">
        <v>94</v>
      </c>
      <c r="W131">
        <v>1</v>
      </c>
      <c r="X131">
        <v>0</v>
      </c>
    </row>
    <row r="132" spans="2:24" x14ac:dyDescent="0.3">
      <c r="B132">
        <v>128</v>
      </c>
      <c r="C132" t="s">
        <v>10</v>
      </c>
      <c r="D132">
        <v>12</v>
      </c>
      <c r="E132" t="s">
        <v>95</v>
      </c>
      <c r="F132" t="s">
        <v>128</v>
      </c>
      <c r="G132">
        <v>639</v>
      </c>
      <c r="H132" t="s">
        <v>96</v>
      </c>
      <c r="I132" t="s">
        <v>97</v>
      </c>
      <c r="J132">
        <v>4</v>
      </c>
      <c r="K132" t="s">
        <v>88</v>
      </c>
      <c r="L132" t="s">
        <v>89</v>
      </c>
      <c r="M132">
        <v>2</v>
      </c>
      <c r="N132" t="s">
        <v>111</v>
      </c>
      <c r="O132">
        <v>30</v>
      </c>
      <c r="P132" t="s">
        <v>89</v>
      </c>
      <c r="Q132" t="s">
        <v>91</v>
      </c>
      <c r="R132">
        <v>1</v>
      </c>
      <c r="S132" t="s">
        <v>92</v>
      </c>
      <c r="T132">
        <v>1</v>
      </c>
      <c r="U132" t="s">
        <v>89</v>
      </c>
      <c r="V132" t="s">
        <v>94</v>
      </c>
      <c r="W132">
        <v>2</v>
      </c>
      <c r="X132">
        <v>1</v>
      </c>
    </row>
    <row r="133" spans="2:24" x14ac:dyDescent="0.3">
      <c r="B133">
        <v>129</v>
      </c>
      <c r="C133" t="s">
        <v>10</v>
      </c>
      <c r="D133">
        <v>12</v>
      </c>
      <c r="E133" t="s">
        <v>84</v>
      </c>
      <c r="F133" t="s">
        <v>110</v>
      </c>
      <c r="G133">
        <v>1860</v>
      </c>
      <c r="H133" t="s">
        <v>96</v>
      </c>
      <c r="I133" t="s">
        <v>116</v>
      </c>
      <c r="J133">
        <v>4</v>
      </c>
      <c r="K133" t="s">
        <v>88</v>
      </c>
      <c r="L133" t="s">
        <v>89</v>
      </c>
      <c r="M133">
        <v>2</v>
      </c>
      <c r="N133" t="s">
        <v>111</v>
      </c>
      <c r="O133">
        <v>34</v>
      </c>
      <c r="P133" t="s">
        <v>89</v>
      </c>
      <c r="Q133" t="s">
        <v>91</v>
      </c>
      <c r="R133">
        <v>2</v>
      </c>
      <c r="S133" t="s">
        <v>113</v>
      </c>
      <c r="T133">
        <v>1</v>
      </c>
      <c r="U133" t="s">
        <v>93</v>
      </c>
      <c r="V133" t="s">
        <v>94</v>
      </c>
      <c r="W133">
        <v>1</v>
      </c>
      <c r="X133">
        <v>0</v>
      </c>
    </row>
    <row r="134" spans="2:24" x14ac:dyDescent="0.3">
      <c r="B134">
        <v>130</v>
      </c>
      <c r="C134" t="s">
        <v>8</v>
      </c>
      <c r="D134">
        <v>12</v>
      </c>
      <c r="E134" t="s">
        <v>84</v>
      </c>
      <c r="F134" t="s">
        <v>107</v>
      </c>
      <c r="G134">
        <v>3499</v>
      </c>
      <c r="H134" t="s">
        <v>96</v>
      </c>
      <c r="I134" t="s">
        <v>97</v>
      </c>
      <c r="J134">
        <v>3</v>
      </c>
      <c r="K134" t="s">
        <v>98</v>
      </c>
      <c r="L134" t="s">
        <v>126</v>
      </c>
      <c r="M134">
        <v>2</v>
      </c>
      <c r="N134" t="s">
        <v>90</v>
      </c>
      <c r="O134">
        <v>29</v>
      </c>
      <c r="P134" t="s">
        <v>89</v>
      </c>
      <c r="Q134" t="s">
        <v>91</v>
      </c>
      <c r="R134">
        <v>2</v>
      </c>
      <c r="S134" t="s">
        <v>92</v>
      </c>
      <c r="T134">
        <v>1</v>
      </c>
      <c r="U134" t="s">
        <v>89</v>
      </c>
      <c r="V134" t="s">
        <v>94</v>
      </c>
      <c r="W134">
        <v>2</v>
      </c>
      <c r="X134">
        <v>1</v>
      </c>
    </row>
    <row r="135" spans="2:24" x14ac:dyDescent="0.3">
      <c r="B135">
        <v>131</v>
      </c>
      <c r="C135" t="s">
        <v>10</v>
      </c>
      <c r="D135">
        <v>48</v>
      </c>
      <c r="E135" t="s">
        <v>95</v>
      </c>
      <c r="F135" t="s">
        <v>107</v>
      </c>
      <c r="G135">
        <v>8487</v>
      </c>
      <c r="H135" t="s">
        <v>86</v>
      </c>
      <c r="I135" t="s">
        <v>100</v>
      </c>
      <c r="J135">
        <v>1</v>
      </c>
      <c r="K135" t="s">
        <v>98</v>
      </c>
      <c r="L135" t="s">
        <v>89</v>
      </c>
      <c r="M135">
        <v>2</v>
      </c>
      <c r="N135" t="s">
        <v>111</v>
      </c>
      <c r="O135">
        <v>24</v>
      </c>
      <c r="P135" t="s">
        <v>89</v>
      </c>
      <c r="Q135" t="s">
        <v>91</v>
      </c>
      <c r="R135">
        <v>1</v>
      </c>
      <c r="S135" t="s">
        <v>92</v>
      </c>
      <c r="T135">
        <v>1</v>
      </c>
      <c r="U135" t="s">
        <v>89</v>
      </c>
      <c r="V135" t="s">
        <v>94</v>
      </c>
      <c r="W135">
        <v>1</v>
      </c>
      <c r="X135">
        <v>0</v>
      </c>
    </row>
    <row r="136" spans="2:24" x14ac:dyDescent="0.3">
      <c r="B136">
        <v>132</v>
      </c>
      <c r="C136" t="s">
        <v>8</v>
      </c>
      <c r="D136">
        <v>36</v>
      </c>
      <c r="E136" t="s">
        <v>106</v>
      </c>
      <c r="F136" t="s">
        <v>99</v>
      </c>
      <c r="G136">
        <v>6887</v>
      </c>
      <c r="H136" t="s">
        <v>96</v>
      </c>
      <c r="I136" t="s">
        <v>97</v>
      </c>
      <c r="J136">
        <v>4</v>
      </c>
      <c r="K136" t="s">
        <v>88</v>
      </c>
      <c r="L136" t="s">
        <v>89</v>
      </c>
      <c r="M136">
        <v>3</v>
      </c>
      <c r="N136" t="s">
        <v>104</v>
      </c>
      <c r="O136">
        <v>29</v>
      </c>
      <c r="P136" t="s">
        <v>125</v>
      </c>
      <c r="Q136" t="s">
        <v>91</v>
      </c>
      <c r="R136">
        <v>1</v>
      </c>
      <c r="S136" t="s">
        <v>92</v>
      </c>
      <c r="T136">
        <v>1</v>
      </c>
      <c r="U136" t="s">
        <v>93</v>
      </c>
      <c r="V136" t="s">
        <v>94</v>
      </c>
      <c r="W136">
        <v>2</v>
      </c>
      <c r="X136">
        <v>1</v>
      </c>
    </row>
    <row r="137" spans="2:24" x14ac:dyDescent="0.3">
      <c r="B137">
        <v>133</v>
      </c>
      <c r="C137" t="s">
        <v>12</v>
      </c>
      <c r="D137">
        <v>15</v>
      </c>
      <c r="E137" t="s">
        <v>95</v>
      </c>
      <c r="F137" t="s">
        <v>102</v>
      </c>
      <c r="G137">
        <v>2708</v>
      </c>
      <c r="H137" t="s">
        <v>96</v>
      </c>
      <c r="I137" t="s">
        <v>118</v>
      </c>
      <c r="J137">
        <v>2</v>
      </c>
      <c r="K137" t="s">
        <v>88</v>
      </c>
      <c r="L137" t="s">
        <v>89</v>
      </c>
      <c r="M137">
        <v>3</v>
      </c>
      <c r="N137" t="s">
        <v>104</v>
      </c>
      <c r="O137">
        <v>27</v>
      </c>
      <c r="P137" t="s">
        <v>122</v>
      </c>
      <c r="Q137" t="s">
        <v>91</v>
      </c>
      <c r="R137">
        <v>2</v>
      </c>
      <c r="S137" t="s">
        <v>101</v>
      </c>
      <c r="T137">
        <v>1</v>
      </c>
      <c r="U137" t="s">
        <v>89</v>
      </c>
      <c r="V137" t="s">
        <v>94</v>
      </c>
      <c r="W137">
        <v>1</v>
      </c>
      <c r="X137">
        <v>0</v>
      </c>
    </row>
    <row r="138" spans="2:24" x14ac:dyDescent="0.3">
      <c r="B138">
        <v>134</v>
      </c>
      <c r="C138" t="s">
        <v>12</v>
      </c>
      <c r="D138">
        <v>18</v>
      </c>
      <c r="E138" t="s">
        <v>95</v>
      </c>
      <c r="F138" t="s">
        <v>102</v>
      </c>
      <c r="G138">
        <v>1984</v>
      </c>
      <c r="H138" t="s">
        <v>96</v>
      </c>
      <c r="I138" t="s">
        <v>97</v>
      </c>
      <c r="J138">
        <v>4</v>
      </c>
      <c r="K138" t="s">
        <v>88</v>
      </c>
      <c r="L138" t="s">
        <v>89</v>
      </c>
      <c r="M138">
        <v>4</v>
      </c>
      <c r="N138" t="s">
        <v>108</v>
      </c>
      <c r="O138">
        <v>47</v>
      </c>
      <c r="P138" t="s">
        <v>122</v>
      </c>
      <c r="Q138" t="s">
        <v>105</v>
      </c>
      <c r="R138">
        <v>2</v>
      </c>
      <c r="S138" t="s">
        <v>92</v>
      </c>
      <c r="T138">
        <v>1</v>
      </c>
      <c r="U138" t="s">
        <v>89</v>
      </c>
      <c r="V138" t="s">
        <v>94</v>
      </c>
      <c r="W138">
        <v>1</v>
      </c>
      <c r="X138">
        <v>0</v>
      </c>
    </row>
    <row r="139" spans="2:24" x14ac:dyDescent="0.3">
      <c r="B139">
        <v>135</v>
      </c>
      <c r="C139" t="s">
        <v>12</v>
      </c>
      <c r="D139">
        <v>60</v>
      </c>
      <c r="E139" t="s">
        <v>95</v>
      </c>
      <c r="F139" t="s">
        <v>85</v>
      </c>
      <c r="G139">
        <v>10144</v>
      </c>
      <c r="H139" t="s">
        <v>120</v>
      </c>
      <c r="I139" t="s">
        <v>100</v>
      </c>
      <c r="J139">
        <v>2</v>
      </c>
      <c r="K139" t="s">
        <v>98</v>
      </c>
      <c r="L139" t="s">
        <v>89</v>
      </c>
      <c r="M139">
        <v>4</v>
      </c>
      <c r="N139" t="s">
        <v>90</v>
      </c>
      <c r="O139">
        <v>21</v>
      </c>
      <c r="P139" t="s">
        <v>89</v>
      </c>
      <c r="Q139" t="s">
        <v>91</v>
      </c>
      <c r="R139">
        <v>1</v>
      </c>
      <c r="S139" t="s">
        <v>92</v>
      </c>
      <c r="T139">
        <v>1</v>
      </c>
      <c r="U139" t="s">
        <v>93</v>
      </c>
      <c r="V139" t="s">
        <v>94</v>
      </c>
      <c r="W139">
        <v>1</v>
      </c>
      <c r="X139">
        <v>0</v>
      </c>
    </row>
    <row r="140" spans="2:24" x14ac:dyDescent="0.3">
      <c r="B140">
        <v>136</v>
      </c>
      <c r="C140" t="s">
        <v>12</v>
      </c>
      <c r="D140">
        <v>12</v>
      </c>
      <c r="E140" t="s">
        <v>84</v>
      </c>
      <c r="F140" t="s">
        <v>85</v>
      </c>
      <c r="G140">
        <v>1240</v>
      </c>
      <c r="H140" t="s">
        <v>86</v>
      </c>
      <c r="I140" t="s">
        <v>87</v>
      </c>
      <c r="J140">
        <v>4</v>
      </c>
      <c r="K140" t="s">
        <v>98</v>
      </c>
      <c r="L140" t="s">
        <v>89</v>
      </c>
      <c r="M140">
        <v>2</v>
      </c>
      <c r="N140" t="s">
        <v>90</v>
      </c>
      <c r="O140">
        <v>38</v>
      </c>
      <c r="P140" t="s">
        <v>89</v>
      </c>
      <c r="Q140" t="s">
        <v>91</v>
      </c>
      <c r="R140">
        <v>2</v>
      </c>
      <c r="S140" t="s">
        <v>92</v>
      </c>
      <c r="T140">
        <v>1</v>
      </c>
      <c r="U140" t="s">
        <v>93</v>
      </c>
      <c r="V140" t="s">
        <v>94</v>
      </c>
      <c r="W140">
        <v>1</v>
      </c>
      <c r="X140">
        <v>0</v>
      </c>
    </row>
    <row r="141" spans="2:24" x14ac:dyDescent="0.3">
      <c r="B141">
        <v>137</v>
      </c>
      <c r="C141" t="s">
        <v>12</v>
      </c>
      <c r="D141">
        <v>27</v>
      </c>
      <c r="E141" t="s">
        <v>106</v>
      </c>
      <c r="F141" t="s">
        <v>110</v>
      </c>
      <c r="G141">
        <v>8613</v>
      </c>
      <c r="H141" t="s">
        <v>114</v>
      </c>
      <c r="I141" t="s">
        <v>97</v>
      </c>
      <c r="J141">
        <v>2</v>
      </c>
      <c r="K141" t="s">
        <v>88</v>
      </c>
      <c r="L141" t="s">
        <v>89</v>
      </c>
      <c r="M141">
        <v>2</v>
      </c>
      <c r="N141" t="s">
        <v>111</v>
      </c>
      <c r="O141">
        <v>27</v>
      </c>
      <c r="P141" t="s">
        <v>89</v>
      </c>
      <c r="Q141" t="s">
        <v>91</v>
      </c>
      <c r="R141">
        <v>2</v>
      </c>
      <c r="S141" t="s">
        <v>92</v>
      </c>
      <c r="T141">
        <v>1</v>
      </c>
      <c r="U141" t="s">
        <v>89</v>
      </c>
      <c r="V141" t="s">
        <v>94</v>
      </c>
      <c r="W141">
        <v>1</v>
      </c>
      <c r="X141">
        <v>0</v>
      </c>
    </row>
    <row r="142" spans="2:24" x14ac:dyDescent="0.3">
      <c r="B142">
        <v>138</v>
      </c>
      <c r="C142" t="s">
        <v>10</v>
      </c>
      <c r="D142">
        <v>12</v>
      </c>
      <c r="E142" t="s">
        <v>95</v>
      </c>
      <c r="F142" t="s">
        <v>85</v>
      </c>
      <c r="G142">
        <v>766</v>
      </c>
      <c r="H142" t="s">
        <v>109</v>
      </c>
      <c r="I142" t="s">
        <v>97</v>
      </c>
      <c r="J142">
        <v>4</v>
      </c>
      <c r="K142" t="s">
        <v>88</v>
      </c>
      <c r="L142" t="s">
        <v>89</v>
      </c>
      <c r="M142">
        <v>3</v>
      </c>
      <c r="N142" t="s">
        <v>90</v>
      </c>
      <c r="O142">
        <v>66</v>
      </c>
      <c r="P142" t="s">
        <v>89</v>
      </c>
      <c r="Q142" t="s">
        <v>91</v>
      </c>
      <c r="R142">
        <v>1</v>
      </c>
      <c r="S142" t="s">
        <v>101</v>
      </c>
      <c r="T142">
        <v>1</v>
      </c>
      <c r="U142" t="s">
        <v>89</v>
      </c>
      <c r="V142" t="s">
        <v>94</v>
      </c>
      <c r="W142">
        <v>2</v>
      </c>
      <c r="X142">
        <v>1</v>
      </c>
    </row>
    <row r="143" spans="2:24" x14ac:dyDescent="0.3">
      <c r="B143">
        <v>139</v>
      </c>
      <c r="C143" t="s">
        <v>10</v>
      </c>
      <c r="D143">
        <v>15</v>
      </c>
      <c r="E143" t="s">
        <v>84</v>
      </c>
      <c r="F143" t="s">
        <v>85</v>
      </c>
      <c r="G143">
        <v>2728</v>
      </c>
      <c r="H143" t="s">
        <v>86</v>
      </c>
      <c r="I143" t="s">
        <v>100</v>
      </c>
      <c r="J143">
        <v>4</v>
      </c>
      <c r="K143" t="s">
        <v>88</v>
      </c>
      <c r="L143" t="s">
        <v>103</v>
      </c>
      <c r="M143">
        <v>2</v>
      </c>
      <c r="N143" t="s">
        <v>90</v>
      </c>
      <c r="O143">
        <v>35</v>
      </c>
      <c r="P143" t="s">
        <v>122</v>
      </c>
      <c r="Q143" t="s">
        <v>91</v>
      </c>
      <c r="R143">
        <v>3</v>
      </c>
      <c r="S143" t="s">
        <v>92</v>
      </c>
      <c r="T143">
        <v>1</v>
      </c>
      <c r="U143" t="s">
        <v>93</v>
      </c>
      <c r="V143" t="s">
        <v>94</v>
      </c>
      <c r="W143">
        <v>1</v>
      </c>
      <c r="X143">
        <v>0</v>
      </c>
    </row>
    <row r="144" spans="2:24" x14ac:dyDescent="0.3">
      <c r="B144">
        <v>140</v>
      </c>
      <c r="C144" t="s">
        <v>11</v>
      </c>
      <c r="D144">
        <v>12</v>
      </c>
      <c r="E144" t="s">
        <v>95</v>
      </c>
      <c r="F144" t="s">
        <v>85</v>
      </c>
      <c r="G144">
        <v>1881</v>
      </c>
      <c r="H144" t="s">
        <v>96</v>
      </c>
      <c r="I144" t="s">
        <v>97</v>
      </c>
      <c r="J144">
        <v>2</v>
      </c>
      <c r="K144" t="s">
        <v>98</v>
      </c>
      <c r="L144" t="s">
        <v>89</v>
      </c>
      <c r="M144">
        <v>2</v>
      </c>
      <c r="N144" t="s">
        <v>111</v>
      </c>
      <c r="O144">
        <v>44</v>
      </c>
      <c r="P144" t="s">
        <v>89</v>
      </c>
      <c r="Q144" t="s">
        <v>112</v>
      </c>
      <c r="R144">
        <v>1</v>
      </c>
      <c r="S144" t="s">
        <v>101</v>
      </c>
      <c r="T144">
        <v>1</v>
      </c>
      <c r="U144" t="s">
        <v>93</v>
      </c>
      <c r="V144" t="s">
        <v>94</v>
      </c>
      <c r="W144">
        <v>1</v>
      </c>
      <c r="X144">
        <v>0</v>
      </c>
    </row>
    <row r="145" spans="2:24" x14ac:dyDescent="0.3">
      <c r="B145">
        <v>141</v>
      </c>
      <c r="C145" t="s">
        <v>11</v>
      </c>
      <c r="D145">
        <v>6</v>
      </c>
      <c r="E145" t="s">
        <v>95</v>
      </c>
      <c r="F145" t="s">
        <v>107</v>
      </c>
      <c r="G145">
        <v>709</v>
      </c>
      <c r="H145" t="s">
        <v>114</v>
      </c>
      <c r="I145" t="s">
        <v>118</v>
      </c>
      <c r="J145">
        <v>2</v>
      </c>
      <c r="K145" t="s">
        <v>117</v>
      </c>
      <c r="L145" t="s">
        <v>89</v>
      </c>
      <c r="M145">
        <v>2</v>
      </c>
      <c r="N145" t="s">
        <v>90</v>
      </c>
      <c r="O145">
        <v>27</v>
      </c>
      <c r="P145" t="s">
        <v>89</v>
      </c>
      <c r="Q145" t="s">
        <v>91</v>
      </c>
      <c r="R145">
        <v>1</v>
      </c>
      <c r="S145" t="s">
        <v>129</v>
      </c>
      <c r="T145">
        <v>1</v>
      </c>
      <c r="U145" t="s">
        <v>89</v>
      </c>
      <c r="V145" t="s">
        <v>123</v>
      </c>
      <c r="W145">
        <v>1</v>
      </c>
      <c r="X145">
        <v>0</v>
      </c>
    </row>
    <row r="146" spans="2:24" x14ac:dyDescent="0.3">
      <c r="B146">
        <v>142</v>
      </c>
      <c r="C146" t="s">
        <v>10</v>
      </c>
      <c r="D146">
        <v>36</v>
      </c>
      <c r="E146" t="s">
        <v>95</v>
      </c>
      <c r="F146" t="s">
        <v>85</v>
      </c>
      <c r="G146">
        <v>4795</v>
      </c>
      <c r="H146" t="s">
        <v>96</v>
      </c>
      <c r="I146" t="s">
        <v>118</v>
      </c>
      <c r="J146">
        <v>4</v>
      </c>
      <c r="K146" t="s">
        <v>98</v>
      </c>
      <c r="L146" t="s">
        <v>89</v>
      </c>
      <c r="M146">
        <v>1</v>
      </c>
      <c r="N146" t="s">
        <v>108</v>
      </c>
      <c r="O146">
        <v>30</v>
      </c>
      <c r="P146" t="s">
        <v>89</v>
      </c>
      <c r="Q146" t="s">
        <v>91</v>
      </c>
      <c r="R146">
        <v>1</v>
      </c>
      <c r="S146" t="s">
        <v>113</v>
      </c>
      <c r="T146">
        <v>1</v>
      </c>
      <c r="U146" t="s">
        <v>93</v>
      </c>
      <c r="V146" t="s">
        <v>94</v>
      </c>
      <c r="W146">
        <v>1</v>
      </c>
      <c r="X146">
        <v>0</v>
      </c>
    </row>
    <row r="147" spans="2:24" x14ac:dyDescent="0.3">
      <c r="B147">
        <v>143</v>
      </c>
      <c r="C147" t="s">
        <v>8</v>
      </c>
      <c r="D147">
        <v>27</v>
      </c>
      <c r="E147" t="s">
        <v>95</v>
      </c>
      <c r="F147" t="s">
        <v>85</v>
      </c>
      <c r="G147">
        <v>3416</v>
      </c>
      <c r="H147" t="s">
        <v>96</v>
      </c>
      <c r="I147" t="s">
        <v>97</v>
      </c>
      <c r="J147">
        <v>3</v>
      </c>
      <c r="K147" t="s">
        <v>88</v>
      </c>
      <c r="L147" t="s">
        <v>89</v>
      </c>
      <c r="M147">
        <v>2</v>
      </c>
      <c r="N147" t="s">
        <v>111</v>
      </c>
      <c r="O147">
        <v>27</v>
      </c>
      <c r="P147" t="s">
        <v>89</v>
      </c>
      <c r="Q147" t="s">
        <v>91</v>
      </c>
      <c r="R147">
        <v>1</v>
      </c>
      <c r="S147" t="s">
        <v>113</v>
      </c>
      <c r="T147">
        <v>1</v>
      </c>
      <c r="U147" t="s">
        <v>89</v>
      </c>
      <c r="V147" t="s">
        <v>94</v>
      </c>
      <c r="W147">
        <v>1</v>
      </c>
      <c r="X147">
        <v>0</v>
      </c>
    </row>
    <row r="148" spans="2:24" x14ac:dyDescent="0.3">
      <c r="B148">
        <v>144</v>
      </c>
      <c r="C148" t="s">
        <v>8</v>
      </c>
      <c r="D148">
        <v>18</v>
      </c>
      <c r="E148" t="s">
        <v>95</v>
      </c>
      <c r="F148" t="s">
        <v>102</v>
      </c>
      <c r="G148">
        <v>2462</v>
      </c>
      <c r="H148" t="s">
        <v>96</v>
      </c>
      <c r="I148" t="s">
        <v>97</v>
      </c>
      <c r="J148">
        <v>2</v>
      </c>
      <c r="K148" t="s">
        <v>88</v>
      </c>
      <c r="L148" t="s">
        <v>89</v>
      </c>
      <c r="M148">
        <v>2</v>
      </c>
      <c r="N148" t="s">
        <v>111</v>
      </c>
      <c r="O148">
        <v>22</v>
      </c>
      <c r="P148" t="s">
        <v>89</v>
      </c>
      <c r="Q148" t="s">
        <v>91</v>
      </c>
      <c r="R148">
        <v>1</v>
      </c>
      <c r="S148" t="s">
        <v>92</v>
      </c>
      <c r="T148">
        <v>1</v>
      </c>
      <c r="U148" t="s">
        <v>89</v>
      </c>
      <c r="V148" t="s">
        <v>94</v>
      </c>
      <c r="W148">
        <v>2</v>
      </c>
      <c r="X148">
        <v>1</v>
      </c>
    </row>
    <row r="149" spans="2:24" x14ac:dyDescent="0.3">
      <c r="B149">
        <v>145</v>
      </c>
      <c r="C149" t="s">
        <v>12</v>
      </c>
      <c r="D149">
        <v>21</v>
      </c>
      <c r="E149" t="s">
        <v>84</v>
      </c>
      <c r="F149" t="s">
        <v>102</v>
      </c>
      <c r="G149">
        <v>2288</v>
      </c>
      <c r="H149" t="s">
        <v>96</v>
      </c>
      <c r="I149" t="s">
        <v>118</v>
      </c>
      <c r="J149">
        <v>4</v>
      </c>
      <c r="K149" t="s">
        <v>98</v>
      </c>
      <c r="L149" t="s">
        <v>89</v>
      </c>
      <c r="M149">
        <v>4</v>
      </c>
      <c r="N149" t="s">
        <v>104</v>
      </c>
      <c r="O149">
        <v>23</v>
      </c>
      <c r="P149" t="s">
        <v>89</v>
      </c>
      <c r="Q149" t="s">
        <v>91</v>
      </c>
      <c r="R149">
        <v>1</v>
      </c>
      <c r="S149" t="s">
        <v>92</v>
      </c>
      <c r="T149">
        <v>1</v>
      </c>
      <c r="U149" t="s">
        <v>93</v>
      </c>
      <c r="V149" t="s">
        <v>94</v>
      </c>
      <c r="W149">
        <v>1</v>
      </c>
      <c r="X149">
        <v>0</v>
      </c>
    </row>
    <row r="150" spans="2:24" x14ac:dyDescent="0.3">
      <c r="B150">
        <v>146</v>
      </c>
      <c r="C150" t="s">
        <v>10</v>
      </c>
      <c r="D150">
        <v>48</v>
      </c>
      <c r="E150" t="s">
        <v>124</v>
      </c>
      <c r="F150" t="s">
        <v>119</v>
      </c>
      <c r="G150">
        <v>3566</v>
      </c>
      <c r="H150" t="s">
        <v>120</v>
      </c>
      <c r="I150" t="s">
        <v>100</v>
      </c>
      <c r="J150">
        <v>4</v>
      </c>
      <c r="K150" t="s">
        <v>88</v>
      </c>
      <c r="L150" t="s">
        <v>89</v>
      </c>
      <c r="M150">
        <v>2</v>
      </c>
      <c r="N150" t="s">
        <v>111</v>
      </c>
      <c r="O150">
        <v>30</v>
      </c>
      <c r="P150" t="s">
        <v>89</v>
      </c>
      <c r="Q150" t="s">
        <v>91</v>
      </c>
      <c r="R150">
        <v>1</v>
      </c>
      <c r="S150" t="s">
        <v>92</v>
      </c>
      <c r="T150">
        <v>1</v>
      </c>
      <c r="U150" t="s">
        <v>89</v>
      </c>
      <c r="V150" t="s">
        <v>94</v>
      </c>
      <c r="W150">
        <v>1</v>
      </c>
      <c r="X150">
        <v>0</v>
      </c>
    </row>
    <row r="151" spans="2:24" x14ac:dyDescent="0.3">
      <c r="B151">
        <v>147</v>
      </c>
      <c r="C151" t="s">
        <v>8</v>
      </c>
      <c r="D151">
        <v>6</v>
      </c>
      <c r="E151" t="s">
        <v>84</v>
      </c>
      <c r="F151" t="s">
        <v>107</v>
      </c>
      <c r="G151">
        <v>860</v>
      </c>
      <c r="H151" t="s">
        <v>96</v>
      </c>
      <c r="I151" t="s">
        <v>87</v>
      </c>
      <c r="J151">
        <v>1</v>
      </c>
      <c r="K151" t="s">
        <v>98</v>
      </c>
      <c r="L151" t="s">
        <v>89</v>
      </c>
      <c r="M151">
        <v>4</v>
      </c>
      <c r="N151" t="s">
        <v>108</v>
      </c>
      <c r="O151">
        <v>39</v>
      </c>
      <c r="P151" t="s">
        <v>89</v>
      </c>
      <c r="Q151" t="s">
        <v>91</v>
      </c>
      <c r="R151">
        <v>2</v>
      </c>
      <c r="S151" t="s">
        <v>92</v>
      </c>
      <c r="T151">
        <v>1</v>
      </c>
      <c r="U151" t="s">
        <v>93</v>
      </c>
      <c r="V151" t="s">
        <v>94</v>
      </c>
      <c r="W151">
        <v>1</v>
      </c>
      <c r="X151">
        <v>0</v>
      </c>
    </row>
    <row r="152" spans="2:24" x14ac:dyDescent="0.3">
      <c r="B152">
        <v>148</v>
      </c>
      <c r="C152" t="s">
        <v>12</v>
      </c>
      <c r="D152">
        <v>12</v>
      </c>
      <c r="E152" t="s">
        <v>84</v>
      </c>
      <c r="F152" t="s">
        <v>107</v>
      </c>
      <c r="G152">
        <v>682</v>
      </c>
      <c r="H152" t="s">
        <v>120</v>
      </c>
      <c r="I152" t="s">
        <v>100</v>
      </c>
      <c r="J152">
        <v>4</v>
      </c>
      <c r="K152" t="s">
        <v>98</v>
      </c>
      <c r="L152" t="s">
        <v>89</v>
      </c>
      <c r="M152">
        <v>3</v>
      </c>
      <c r="N152" t="s">
        <v>111</v>
      </c>
      <c r="O152">
        <v>51</v>
      </c>
      <c r="P152" t="s">
        <v>89</v>
      </c>
      <c r="Q152" t="s">
        <v>91</v>
      </c>
      <c r="R152">
        <v>2</v>
      </c>
      <c r="S152" t="s">
        <v>92</v>
      </c>
      <c r="T152">
        <v>1</v>
      </c>
      <c r="U152" t="s">
        <v>93</v>
      </c>
      <c r="V152" t="s">
        <v>94</v>
      </c>
      <c r="W152">
        <v>1</v>
      </c>
      <c r="X152">
        <v>0</v>
      </c>
    </row>
    <row r="153" spans="2:24" x14ac:dyDescent="0.3">
      <c r="B153">
        <v>149</v>
      </c>
      <c r="C153" t="s">
        <v>8</v>
      </c>
      <c r="D153">
        <v>36</v>
      </c>
      <c r="E153" t="s">
        <v>84</v>
      </c>
      <c r="F153" t="s">
        <v>102</v>
      </c>
      <c r="G153">
        <v>5371</v>
      </c>
      <c r="H153" t="s">
        <v>96</v>
      </c>
      <c r="I153" t="s">
        <v>97</v>
      </c>
      <c r="J153">
        <v>3</v>
      </c>
      <c r="K153" t="s">
        <v>88</v>
      </c>
      <c r="L153" t="s">
        <v>103</v>
      </c>
      <c r="M153">
        <v>2</v>
      </c>
      <c r="N153" t="s">
        <v>104</v>
      </c>
      <c r="O153">
        <v>28</v>
      </c>
      <c r="P153" t="s">
        <v>89</v>
      </c>
      <c r="Q153" t="s">
        <v>91</v>
      </c>
      <c r="R153">
        <v>2</v>
      </c>
      <c r="S153" t="s">
        <v>92</v>
      </c>
      <c r="T153">
        <v>1</v>
      </c>
      <c r="U153" t="s">
        <v>89</v>
      </c>
      <c r="V153" t="s">
        <v>94</v>
      </c>
      <c r="W153">
        <v>1</v>
      </c>
      <c r="X153">
        <v>0</v>
      </c>
    </row>
    <row r="154" spans="2:24" x14ac:dyDescent="0.3">
      <c r="B154">
        <v>150</v>
      </c>
      <c r="C154" t="s">
        <v>12</v>
      </c>
      <c r="D154">
        <v>18</v>
      </c>
      <c r="E154" t="s">
        <v>84</v>
      </c>
      <c r="F154" t="s">
        <v>85</v>
      </c>
      <c r="G154">
        <v>1582</v>
      </c>
      <c r="H154" t="s">
        <v>114</v>
      </c>
      <c r="I154" t="s">
        <v>87</v>
      </c>
      <c r="J154">
        <v>4</v>
      </c>
      <c r="K154" t="s">
        <v>88</v>
      </c>
      <c r="L154" t="s">
        <v>89</v>
      </c>
      <c r="M154">
        <v>4</v>
      </c>
      <c r="N154" t="s">
        <v>111</v>
      </c>
      <c r="O154">
        <v>46</v>
      </c>
      <c r="P154" t="s">
        <v>89</v>
      </c>
      <c r="Q154" t="s">
        <v>91</v>
      </c>
      <c r="R154">
        <v>2</v>
      </c>
      <c r="S154" t="s">
        <v>92</v>
      </c>
      <c r="T154">
        <v>1</v>
      </c>
      <c r="U154" t="s">
        <v>89</v>
      </c>
      <c r="V154" t="s">
        <v>94</v>
      </c>
      <c r="W154">
        <v>1</v>
      </c>
      <c r="X154">
        <v>0</v>
      </c>
    </row>
    <row r="155" spans="2:24" x14ac:dyDescent="0.3">
      <c r="B155">
        <v>151</v>
      </c>
      <c r="C155" t="s">
        <v>12</v>
      </c>
      <c r="D155">
        <v>6</v>
      </c>
      <c r="E155" t="s">
        <v>95</v>
      </c>
      <c r="F155" t="s">
        <v>85</v>
      </c>
      <c r="G155">
        <v>1346</v>
      </c>
      <c r="H155" t="s">
        <v>120</v>
      </c>
      <c r="I155" t="s">
        <v>87</v>
      </c>
      <c r="J155">
        <v>2</v>
      </c>
      <c r="K155" t="s">
        <v>88</v>
      </c>
      <c r="L155" t="s">
        <v>89</v>
      </c>
      <c r="M155">
        <v>4</v>
      </c>
      <c r="N155" t="s">
        <v>108</v>
      </c>
      <c r="O155">
        <v>42</v>
      </c>
      <c r="P155" t="s">
        <v>122</v>
      </c>
      <c r="Q155" t="s">
        <v>105</v>
      </c>
      <c r="R155">
        <v>1</v>
      </c>
      <c r="S155" t="s">
        <v>92</v>
      </c>
      <c r="T155">
        <v>2</v>
      </c>
      <c r="U155" t="s">
        <v>93</v>
      </c>
      <c r="V155" t="s">
        <v>94</v>
      </c>
      <c r="W155">
        <v>1</v>
      </c>
      <c r="X155">
        <v>0</v>
      </c>
    </row>
    <row r="156" spans="2:24" x14ac:dyDescent="0.3">
      <c r="B156">
        <v>152</v>
      </c>
      <c r="C156" t="s">
        <v>12</v>
      </c>
      <c r="D156">
        <v>10</v>
      </c>
      <c r="E156" t="s">
        <v>95</v>
      </c>
      <c r="F156" t="s">
        <v>85</v>
      </c>
      <c r="G156">
        <v>1924</v>
      </c>
      <c r="H156" t="s">
        <v>96</v>
      </c>
      <c r="I156" t="s">
        <v>97</v>
      </c>
      <c r="J156">
        <v>1</v>
      </c>
      <c r="K156" t="s">
        <v>88</v>
      </c>
      <c r="L156" t="s">
        <v>89</v>
      </c>
      <c r="M156">
        <v>4</v>
      </c>
      <c r="N156" t="s">
        <v>104</v>
      </c>
      <c r="O156">
        <v>38</v>
      </c>
      <c r="P156" t="s">
        <v>89</v>
      </c>
      <c r="Q156" t="s">
        <v>91</v>
      </c>
      <c r="R156">
        <v>1</v>
      </c>
      <c r="S156" t="s">
        <v>92</v>
      </c>
      <c r="T156">
        <v>1</v>
      </c>
      <c r="U156" t="s">
        <v>93</v>
      </c>
      <c r="V156" t="s">
        <v>123</v>
      </c>
      <c r="W156">
        <v>1</v>
      </c>
      <c r="X156">
        <v>0</v>
      </c>
    </row>
    <row r="157" spans="2:24" x14ac:dyDescent="0.3">
      <c r="B157">
        <v>153</v>
      </c>
      <c r="C157" t="s">
        <v>11</v>
      </c>
      <c r="D157">
        <v>36</v>
      </c>
      <c r="E157" t="s">
        <v>95</v>
      </c>
      <c r="F157" t="s">
        <v>85</v>
      </c>
      <c r="G157">
        <v>5848</v>
      </c>
      <c r="H157" t="s">
        <v>96</v>
      </c>
      <c r="I157" t="s">
        <v>97</v>
      </c>
      <c r="J157">
        <v>4</v>
      </c>
      <c r="K157" t="s">
        <v>88</v>
      </c>
      <c r="L157" t="s">
        <v>89</v>
      </c>
      <c r="M157">
        <v>1</v>
      </c>
      <c r="N157" t="s">
        <v>111</v>
      </c>
      <c r="O157">
        <v>24</v>
      </c>
      <c r="P157" t="s">
        <v>89</v>
      </c>
      <c r="Q157" t="s">
        <v>91</v>
      </c>
      <c r="R157">
        <v>1</v>
      </c>
      <c r="S157" t="s">
        <v>92</v>
      </c>
      <c r="T157">
        <v>1</v>
      </c>
      <c r="U157" t="s">
        <v>89</v>
      </c>
      <c r="V157" t="s">
        <v>94</v>
      </c>
      <c r="W157">
        <v>1</v>
      </c>
      <c r="X157">
        <v>0</v>
      </c>
    </row>
    <row r="158" spans="2:24" x14ac:dyDescent="0.3">
      <c r="B158">
        <v>154</v>
      </c>
      <c r="C158" t="s">
        <v>10</v>
      </c>
      <c r="D158">
        <v>24</v>
      </c>
      <c r="E158" t="s">
        <v>84</v>
      </c>
      <c r="F158" t="s">
        <v>110</v>
      </c>
      <c r="G158">
        <v>7758</v>
      </c>
      <c r="H158" t="s">
        <v>114</v>
      </c>
      <c r="I158" t="s">
        <v>87</v>
      </c>
      <c r="J158">
        <v>2</v>
      </c>
      <c r="K158" t="s">
        <v>98</v>
      </c>
      <c r="L158" t="s">
        <v>89</v>
      </c>
      <c r="M158">
        <v>4</v>
      </c>
      <c r="N158" t="s">
        <v>108</v>
      </c>
      <c r="O158">
        <v>29</v>
      </c>
      <c r="P158" t="s">
        <v>89</v>
      </c>
      <c r="Q158" t="s">
        <v>112</v>
      </c>
      <c r="R158">
        <v>1</v>
      </c>
      <c r="S158" t="s">
        <v>92</v>
      </c>
      <c r="T158">
        <v>1</v>
      </c>
      <c r="U158" t="s">
        <v>89</v>
      </c>
      <c r="V158" t="s">
        <v>94</v>
      </c>
      <c r="W158">
        <v>1</v>
      </c>
      <c r="X158">
        <v>0</v>
      </c>
    </row>
    <row r="159" spans="2:24" x14ac:dyDescent="0.3">
      <c r="B159">
        <v>155</v>
      </c>
      <c r="C159" t="s">
        <v>10</v>
      </c>
      <c r="D159">
        <v>24</v>
      </c>
      <c r="E159" t="s">
        <v>106</v>
      </c>
      <c r="F159" t="s">
        <v>119</v>
      </c>
      <c r="G159">
        <v>6967</v>
      </c>
      <c r="H159" t="s">
        <v>120</v>
      </c>
      <c r="I159" t="s">
        <v>100</v>
      </c>
      <c r="J159">
        <v>4</v>
      </c>
      <c r="K159" t="s">
        <v>88</v>
      </c>
      <c r="L159" t="s">
        <v>89</v>
      </c>
      <c r="M159">
        <v>4</v>
      </c>
      <c r="N159" t="s">
        <v>111</v>
      </c>
      <c r="O159">
        <v>36</v>
      </c>
      <c r="P159" t="s">
        <v>89</v>
      </c>
      <c r="Q159" t="s">
        <v>112</v>
      </c>
      <c r="R159">
        <v>1</v>
      </c>
      <c r="S159" t="s">
        <v>113</v>
      </c>
      <c r="T159">
        <v>1</v>
      </c>
      <c r="U159" t="s">
        <v>93</v>
      </c>
      <c r="V159" t="s">
        <v>94</v>
      </c>
      <c r="W159">
        <v>1</v>
      </c>
      <c r="X159">
        <v>0</v>
      </c>
    </row>
    <row r="160" spans="2:24" x14ac:dyDescent="0.3">
      <c r="B160">
        <v>156</v>
      </c>
      <c r="C160" t="s">
        <v>8</v>
      </c>
      <c r="D160">
        <v>12</v>
      </c>
      <c r="E160" t="s">
        <v>95</v>
      </c>
      <c r="F160" t="s">
        <v>102</v>
      </c>
      <c r="G160">
        <v>1282</v>
      </c>
      <c r="H160" t="s">
        <v>96</v>
      </c>
      <c r="I160" t="s">
        <v>97</v>
      </c>
      <c r="J160">
        <v>2</v>
      </c>
      <c r="K160" t="s">
        <v>98</v>
      </c>
      <c r="L160" t="s">
        <v>89</v>
      </c>
      <c r="M160">
        <v>4</v>
      </c>
      <c r="N160" t="s">
        <v>111</v>
      </c>
      <c r="O160">
        <v>20</v>
      </c>
      <c r="P160" t="s">
        <v>89</v>
      </c>
      <c r="Q160" t="s">
        <v>112</v>
      </c>
      <c r="R160">
        <v>1</v>
      </c>
      <c r="S160" t="s">
        <v>92</v>
      </c>
      <c r="T160">
        <v>1</v>
      </c>
      <c r="U160" t="s">
        <v>89</v>
      </c>
      <c r="V160" t="s">
        <v>94</v>
      </c>
      <c r="W160">
        <v>2</v>
      </c>
      <c r="X160">
        <v>1</v>
      </c>
    </row>
    <row r="161" spans="2:24" x14ac:dyDescent="0.3">
      <c r="B161">
        <v>157</v>
      </c>
      <c r="C161" t="s">
        <v>8</v>
      </c>
      <c r="D161">
        <v>9</v>
      </c>
      <c r="E161" t="s">
        <v>84</v>
      </c>
      <c r="F161" t="s">
        <v>128</v>
      </c>
      <c r="G161">
        <v>1288</v>
      </c>
      <c r="H161" t="s">
        <v>120</v>
      </c>
      <c r="I161" t="s">
        <v>87</v>
      </c>
      <c r="J161">
        <v>3</v>
      </c>
      <c r="K161" t="s">
        <v>88</v>
      </c>
      <c r="L161" t="s">
        <v>103</v>
      </c>
      <c r="M161">
        <v>4</v>
      </c>
      <c r="N161" t="s">
        <v>90</v>
      </c>
      <c r="O161">
        <v>48</v>
      </c>
      <c r="P161" t="s">
        <v>89</v>
      </c>
      <c r="Q161" t="s">
        <v>91</v>
      </c>
      <c r="R161">
        <v>2</v>
      </c>
      <c r="S161" t="s">
        <v>92</v>
      </c>
      <c r="T161">
        <v>2</v>
      </c>
      <c r="U161" t="s">
        <v>89</v>
      </c>
      <c r="V161" t="s">
        <v>123</v>
      </c>
      <c r="W161">
        <v>1</v>
      </c>
      <c r="X161">
        <v>0</v>
      </c>
    </row>
    <row r="162" spans="2:24" x14ac:dyDescent="0.3">
      <c r="B162">
        <v>158</v>
      </c>
      <c r="C162" t="s">
        <v>8</v>
      </c>
      <c r="D162">
        <v>12</v>
      </c>
      <c r="E162" t="s">
        <v>124</v>
      </c>
      <c r="F162" t="s">
        <v>131</v>
      </c>
      <c r="G162">
        <v>339</v>
      </c>
      <c r="H162" t="s">
        <v>96</v>
      </c>
      <c r="I162" t="s">
        <v>87</v>
      </c>
      <c r="J162">
        <v>4</v>
      </c>
      <c r="K162" t="s">
        <v>117</v>
      </c>
      <c r="L162" t="s">
        <v>89</v>
      </c>
      <c r="M162">
        <v>1</v>
      </c>
      <c r="N162" t="s">
        <v>111</v>
      </c>
      <c r="O162">
        <v>45</v>
      </c>
      <c r="P162" t="s">
        <v>122</v>
      </c>
      <c r="Q162" t="s">
        <v>91</v>
      </c>
      <c r="R162">
        <v>1</v>
      </c>
      <c r="S162" t="s">
        <v>101</v>
      </c>
      <c r="T162">
        <v>1</v>
      </c>
      <c r="U162" t="s">
        <v>89</v>
      </c>
      <c r="V162" t="s">
        <v>94</v>
      </c>
      <c r="W162">
        <v>1</v>
      </c>
      <c r="X162">
        <v>0</v>
      </c>
    </row>
    <row r="163" spans="2:24" x14ac:dyDescent="0.3">
      <c r="B163">
        <v>159</v>
      </c>
      <c r="C163" t="s">
        <v>10</v>
      </c>
      <c r="D163">
        <v>24</v>
      </c>
      <c r="E163" t="s">
        <v>95</v>
      </c>
      <c r="F163" t="s">
        <v>107</v>
      </c>
      <c r="G163">
        <v>3512</v>
      </c>
      <c r="H163" t="s">
        <v>120</v>
      </c>
      <c r="I163" t="s">
        <v>100</v>
      </c>
      <c r="J163">
        <v>2</v>
      </c>
      <c r="K163" t="s">
        <v>88</v>
      </c>
      <c r="L163" t="s">
        <v>89</v>
      </c>
      <c r="M163">
        <v>3</v>
      </c>
      <c r="N163" t="s">
        <v>111</v>
      </c>
      <c r="O163">
        <v>38</v>
      </c>
      <c r="P163" t="s">
        <v>122</v>
      </c>
      <c r="Q163" t="s">
        <v>91</v>
      </c>
      <c r="R163">
        <v>2</v>
      </c>
      <c r="S163" t="s">
        <v>92</v>
      </c>
      <c r="T163">
        <v>1</v>
      </c>
      <c r="U163" t="s">
        <v>93</v>
      </c>
      <c r="V163" t="s">
        <v>94</v>
      </c>
      <c r="W163">
        <v>1</v>
      </c>
      <c r="X163">
        <v>0</v>
      </c>
    </row>
    <row r="164" spans="2:24" x14ac:dyDescent="0.3">
      <c r="B164">
        <v>160</v>
      </c>
      <c r="C164" t="s">
        <v>12</v>
      </c>
      <c r="D164">
        <v>6</v>
      </c>
      <c r="E164" t="s">
        <v>84</v>
      </c>
      <c r="F164" t="s">
        <v>85</v>
      </c>
      <c r="G164">
        <v>1898</v>
      </c>
      <c r="H164" t="s">
        <v>86</v>
      </c>
      <c r="I164" t="s">
        <v>97</v>
      </c>
      <c r="J164">
        <v>1</v>
      </c>
      <c r="K164" t="s">
        <v>88</v>
      </c>
      <c r="L164" t="s">
        <v>89</v>
      </c>
      <c r="M164">
        <v>2</v>
      </c>
      <c r="N164" t="s">
        <v>90</v>
      </c>
      <c r="O164">
        <v>34</v>
      </c>
      <c r="P164" t="s">
        <v>89</v>
      </c>
      <c r="Q164" t="s">
        <v>91</v>
      </c>
      <c r="R164">
        <v>2</v>
      </c>
      <c r="S164" t="s">
        <v>101</v>
      </c>
      <c r="T164">
        <v>2</v>
      </c>
      <c r="U164" t="s">
        <v>89</v>
      </c>
      <c r="V164" t="s">
        <v>94</v>
      </c>
      <c r="W164">
        <v>1</v>
      </c>
      <c r="X164">
        <v>0</v>
      </c>
    </row>
    <row r="165" spans="2:24" x14ac:dyDescent="0.3">
      <c r="B165">
        <v>161</v>
      </c>
      <c r="C165" t="s">
        <v>12</v>
      </c>
      <c r="D165">
        <v>24</v>
      </c>
      <c r="E165" t="s">
        <v>84</v>
      </c>
      <c r="F165" t="s">
        <v>85</v>
      </c>
      <c r="G165">
        <v>2872</v>
      </c>
      <c r="H165" t="s">
        <v>120</v>
      </c>
      <c r="I165" t="s">
        <v>87</v>
      </c>
      <c r="J165">
        <v>3</v>
      </c>
      <c r="K165" t="s">
        <v>88</v>
      </c>
      <c r="L165" t="s">
        <v>89</v>
      </c>
      <c r="M165">
        <v>4</v>
      </c>
      <c r="N165" t="s">
        <v>90</v>
      </c>
      <c r="O165">
        <v>36</v>
      </c>
      <c r="P165" t="s">
        <v>89</v>
      </c>
      <c r="Q165" t="s">
        <v>91</v>
      </c>
      <c r="R165">
        <v>1</v>
      </c>
      <c r="S165" t="s">
        <v>92</v>
      </c>
      <c r="T165">
        <v>2</v>
      </c>
      <c r="U165" t="s">
        <v>93</v>
      </c>
      <c r="V165" t="s">
        <v>94</v>
      </c>
      <c r="W165">
        <v>1</v>
      </c>
      <c r="X165">
        <v>0</v>
      </c>
    </row>
    <row r="166" spans="2:24" x14ac:dyDescent="0.3">
      <c r="B166">
        <v>162</v>
      </c>
      <c r="C166" t="s">
        <v>12</v>
      </c>
      <c r="D166">
        <v>18</v>
      </c>
      <c r="E166" t="s">
        <v>84</v>
      </c>
      <c r="F166" t="s">
        <v>107</v>
      </c>
      <c r="G166">
        <v>1055</v>
      </c>
      <c r="H166" t="s">
        <v>96</v>
      </c>
      <c r="I166" t="s">
        <v>118</v>
      </c>
      <c r="J166">
        <v>4</v>
      </c>
      <c r="K166" t="s">
        <v>98</v>
      </c>
      <c r="L166" t="s">
        <v>89</v>
      </c>
      <c r="M166">
        <v>1</v>
      </c>
      <c r="N166" t="s">
        <v>104</v>
      </c>
      <c r="O166">
        <v>30</v>
      </c>
      <c r="P166" t="s">
        <v>89</v>
      </c>
      <c r="Q166" t="s">
        <v>91</v>
      </c>
      <c r="R166">
        <v>2</v>
      </c>
      <c r="S166" t="s">
        <v>92</v>
      </c>
      <c r="T166">
        <v>1</v>
      </c>
      <c r="U166" t="s">
        <v>89</v>
      </c>
      <c r="V166" t="s">
        <v>94</v>
      </c>
      <c r="W166">
        <v>1</v>
      </c>
      <c r="X166">
        <v>0</v>
      </c>
    </row>
    <row r="167" spans="2:24" x14ac:dyDescent="0.3">
      <c r="B167">
        <v>163</v>
      </c>
      <c r="C167" t="s">
        <v>12</v>
      </c>
      <c r="D167">
        <v>15</v>
      </c>
      <c r="E167" t="s">
        <v>95</v>
      </c>
      <c r="F167" t="s">
        <v>127</v>
      </c>
      <c r="G167">
        <v>1262</v>
      </c>
      <c r="H167" t="s">
        <v>109</v>
      </c>
      <c r="I167" t="s">
        <v>100</v>
      </c>
      <c r="J167">
        <v>4</v>
      </c>
      <c r="K167" t="s">
        <v>88</v>
      </c>
      <c r="L167" t="s">
        <v>89</v>
      </c>
      <c r="M167">
        <v>3</v>
      </c>
      <c r="N167" t="s">
        <v>104</v>
      </c>
      <c r="O167">
        <v>36</v>
      </c>
      <c r="P167" t="s">
        <v>89</v>
      </c>
      <c r="Q167" t="s">
        <v>91</v>
      </c>
      <c r="R167">
        <v>2</v>
      </c>
      <c r="S167" t="s">
        <v>92</v>
      </c>
      <c r="T167">
        <v>1</v>
      </c>
      <c r="U167" t="s">
        <v>93</v>
      </c>
      <c r="V167" t="s">
        <v>94</v>
      </c>
      <c r="W167">
        <v>1</v>
      </c>
      <c r="X167">
        <v>0</v>
      </c>
    </row>
    <row r="168" spans="2:24" x14ac:dyDescent="0.3">
      <c r="B168">
        <v>164</v>
      </c>
      <c r="C168" t="s">
        <v>10</v>
      </c>
      <c r="D168">
        <v>10</v>
      </c>
      <c r="E168" t="s">
        <v>95</v>
      </c>
      <c r="F168" t="s">
        <v>107</v>
      </c>
      <c r="G168">
        <v>7308</v>
      </c>
      <c r="H168" t="s">
        <v>96</v>
      </c>
      <c r="I168" t="s">
        <v>116</v>
      </c>
      <c r="J168">
        <v>2</v>
      </c>
      <c r="K168" t="s">
        <v>88</v>
      </c>
      <c r="L168" t="s">
        <v>89</v>
      </c>
      <c r="M168">
        <v>4</v>
      </c>
      <c r="N168" t="s">
        <v>108</v>
      </c>
      <c r="O168">
        <v>70</v>
      </c>
      <c r="P168" t="s">
        <v>122</v>
      </c>
      <c r="Q168" t="s">
        <v>105</v>
      </c>
      <c r="R168">
        <v>1</v>
      </c>
      <c r="S168" t="s">
        <v>113</v>
      </c>
      <c r="T168">
        <v>1</v>
      </c>
      <c r="U168" t="s">
        <v>93</v>
      </c>
      <c r="V168" t="s">
        <v>94</v>
      </c>
      <c r="W168">
        <v>1</v>
      </c>
      <c r="X168">
        <v>0</v>
      </c>
    </row>
    <row r="169" spans="2:24" x14ac:dyDescent="0.3">
      <c r="B169">
        <v>165</v>
      </c>
      <c r="C169" t="s">
        <v>12</v>
      </c>
      <c r="D169">
        <v>36</v>
      </c>
      <c r="E169" t="s">
        <v>95</v>
      </c>
      <c r="F169" t="s">
        <v>107</v>
      </c>
      <c r="G169">
        <v>909</v>
      </c>
      <c r="H169" t="s">
        <v>109</v>
      </c>
      <c r="I169" t="s">
        <v>87</v>
      </c>
      <c r="J169">
        <v>4</v>
      </c>
      <c r="K169" t="s">
        <v>88</v>
      </c>
      <c r="L169" t="s">
        <v>89</v>
      </c>
      <c r="M169">
        <v>4</v>
      </c>
      <c r="N169" t="s">
        <v>104</v>
      </c>
      <c r="O169">
        <v>36</v>
      </c>
      <c r="P169" t="s">
        <v>89</v>
      </c>
      <c r="Q169" t="s">
        <v>91</v>
      </c>
      <c r="R169">
        <v>1</v>
      </c>
      <c r="S169" t="s">
        <v>92</v>
      </c>
      <c r="T169">
        <v>1</v>
      </c>
      <c r="U169" t="s">
        <v>89</v>
      </c>
      <c r="V169" t="s">
        <v>94</v>
      </c>
      <c r="W169">
        <v>1</v>
      </c>
      <c r="X169">
        <v>0</v>
      </c>
    </row>
    <row r="170" spans="2:24" x14ac:dyDescent="0.3">
      <c r="B170">
        <v>166</v>
      </c>
      <c r="C170" t="s">
        <v>12</v>
      </c>
      <c r="D170">
        <v>6</v>
      </c>
      <c r="E170" t="s">
        <v>95</v>
      </c>
      <c r="F170" t="s">
        <v>102</v>
      </c>
      <c r="G170">
        <v>2978</v>
      </c>
      <c r="H170" t="s">
        <v>109</v>
      </c>
      <c r="I170" t="s">
        <v>97</v>
      </c>
      <c r="J170">
        <v>1</v>
      </c>
      <c r="K170" t="s">
        <v>88</v>
      </c>
      <c r="L170" t="s">
        <v>89</v>
      </c>
      <c r="M170">
        <v>2</v>
      </c>
      <c r="N170" t="s">
        <v>111</v>
      </c>
      <c r="O170">
        <v>32</v>
      </c>
      <c r="P170" t="s">
        <v>89</v>
      </c>
      <c r="Q170" t="s">
        <v>91</v>
      </c>
      <c r="R170">
        <v>1</v>
      </c>
      <c r="S170" t="s">
        <v>92</v>
      </c>
      <c r="T170">
        <v>1</v>
      </c>
      <c r="U170" t="s">
        <v>93</v>
      </c>
      <c r="V170" t="s">
        <v>94</v>
      </c>
      <c r="W170">
        <v>1</v>
      </c>
      <c r="X170">
        <v>0</v>
      </c>
    </row>
    <row r="171" spans="2:24" x14ac:dyDescent="0.3">
      <c r="B171">
        <v>167</v>
      </c>
      <c r="C171" t="s">
        <v>8</v>
      </c>
      <c r="D171">
        <v>18</v>
      </c>
      <c r="E171" t="s">
        <v>95</v>
      </c>
      <c r="F171" t="s">
        <v>102</v>
      </c>
      <c r="G171">
        <v>1131</v>
      </c>
      <c r="H171" t="s">
        <v>96</v>
      </c>
      <c r="I171" t="s">
        <v>116</v>
      </c>
      <c r="J171">
        <v>4</v>
      </c>
      <c r="K171" t="s">
        <v>98</v>
      </c>
      <c r="L171" t="s">
        <v>89</v>
      </c>
      <c r="M171">
        <v>2</v>
      </c>
      <c r="N171" t="s">
        <v>111</v>
      </c>
      <c r="O171">
        <v>33</v>
      </c>
      <c r="P171" t="s">
        <v>89</v>
      </c>
      <c r="Q171" t="s">
        <v>91</v>
      </c>
      <c r="R171">
        <v>1</v>
      </c>
      <c r="S171" t="s">
        <v>92</v>
      </c>
      <c r="T171">
        <v>1</v>
      </c>
      <c r="U171" t="s">
        <v>89</v>
      </c>
      <c r="V171" t="s">
        <v>94</v>
      </c>
      <c r="W171">
        <v>2</v>
      </c>
      <c r="X171">
        <v>1</v>
      </c>
    </row>
    <row r="172" spans="2:24" x14ac:dyDescent="0.3">
      <c r="B172">
        <v>168</v>
      </c>
      <c r="C172" t="s">
        <v>10</v>
      </c>
      <c r="D172">
        <v>11</v>
      </c>
      <c r="E172" t="s">
        <v>95</v>
      </c>
      <c r="F172" t="s">
        <v>102</v>
      </c>
      <c r="G172">
        <v>1577</v>
      </c>
      <c r="H172" t="s">
        <v>114</v>
      </c>
      <c r="I172" t="s">
        <v>118</v>
      </c>
      <c r="J172">
        <v>4</v>
      </c>
      <c r="K172" t="s">
        <v>98</v>
      </c>
      <c r="L172" t="s">
        <v>89</v>
      </c>
      <c r="M172">
        <v>1</v>
      </c>
      <c r="N172" t="s">
        <v>90</v>
      </c>
      <c r="O172">
        <v>20</v>
      </c>
      <c r="P172" t="s">
        <v>89</v>
      </c>
      <c r="Q172" t="s">
        <v>91</v>
      </c>
      <c r="R172">
        <v>1</v>
      </c>
      <c r="S172" t="s">
        <v>92</v>
      </c>
      <c r="T172">
        <v>1</v>
      </c>
      <c r="U172" t="s">
        <v>89</v>
      </c>
      <c r="V172" t="s">
        <v>94</v>
      </c>
      <c r="W172">
        <v>1</v>
      </c>
      <c r="X172">
        <v>0</v>
      </c>
    </row>
    <row r="173" spans="2:24" x14ac:dyDescent="0.3">
      <c r="B173">
        <v>169</v>
      </c>
      <c r="C173" t="s">
        <v>12</v>
      </c>
      <c r="D173">
        <v>24</v>
      </c>
      <c r="E173" t="s">
        <v>95</v>
      </c>
      <c r="F173" t="s">
        <v>102</v>
      </c>
      <c r="G173">
        <v>3972</v>
      </c>
      <c r="H173" t="s">
        <v>96</v>
      </c>
      <c r="I173" t="s">
        <v>100</v>
      </c>
      <c r="J173">
        <v>2</v>
      </c>
      <c r="K173" t="s">
        <v>98</v>
      </c>
      <c r="L173" t="s">
        <v>89</v>
      </c>
      <c r="M173">
        <v>4</v>
      </c>
      <c r="N173" t="s">
        <v>104</v>
      </c>
      <c r="O173">
        <v>25</v>
      </c>
      <c r="P173" t="s">
        <v>89</v>
      </c>
      <c r="Q173" t="s">
        <v>112</v>
      </c>
      <c r="R173">
        <v>1</v>
      </c>
      <c r="S173" t="s">
        <v>92</v>
      </c>
      <c r="T173">
        <v>1</v>
      </c>
      <c r="U173" t="s">
        <v>93</v>
      </c>
      <c r="V173" t="s">
        <v>94</v>
      </c>
      <c r="W173">
        <v>1</v>
      </c>
      <c r="X173">
        <v>0</v>
      </c>
    </row>
    <row r="174" spans="2:24" x14ac:dyDescent="0.3">
      <c r="B174">
        <v>170</v>
      </c>
      <c r="C174" t="s">
        <v>10</v>
      </c>
      <c r="D174">
        <v>24</v>
      </c>
      <c r="E174" t="s">
        <v>84</v>
      </c>
      <c r="F174" t="s">
        <v>119</v>
      </c>
      <c r="G174">
        <v>1935</v>
      </c>
      <c r="H174" t="s">
        <v>96</v>
      </c>
      <c r="I174" t="s">
        <v>87</v>
      </c>
      <c r="J174">
        <v>4</v>
      </c>
      <c r="K174" t="s">
        <v>115</v>
      </c>
      <c r="L174" t="s">
        <v>89</v>
      </c>
      <c r="M174">
        <v>4</v>
      </c>
      <c r="N174" t="s">
        <v>90</v>
      </c>
      <c r="O174">
        <v>31</v>
      </c>
      <c r="P174" t="s">
        <v>89</v>
      </c>
      <c r="Q174" t="s">
        <v>91</v>
      </c>
      <c r="R174">
        <v>2</v>
      </c>
      <c r="S174" t="s">
        <v>92</v>
      </c>
      <c r="T174">
        <v>1</v>
      </c>
      <c r="U174" t="s">
        <v>93</v>
      </c>
      <c r="V174" t="s">
        <v>94</v>
      </c>
      <c r="W174">
        <v>2</v>
      </c>
      <c r="X174">
        <v>1</v>
      </c>
    </row>
    <row r="175" spans="2:24" x14ac:dyDescent="0.3">
      <c r="B175">
        <v>171</v>
      </c>
      <c r="C175" t="s">
        <v>8</v>
      </c>
      <c r="D175">
        <v>15</v>
      </c>
      <c r="E175" t="s">
        <v>121</v>
      </c>
      <c r="F175" t="s">
        <v>107</v>
      </c>
      <c r="G175">
        <v>950</v>
      </c>
      <c r="H175" t="s">
        <v>96</v>
      </c>
      <c r="I175" t="s">
        <v>87</v>
      </c>
      <c r="J175">
        <v>4</v>
      </c>
      <c r="K175" t="s">
        <v>88</v>
      </c>
      <c r="L175" t="s">
        <v>89</v>
      </c>
      <c r="M175">
        <v>3</v>
      </c>
      <c r="N175" t="s">
        <v>111</v>
      </c>
      <c r="O175">
        <v>33</v>
      </c>
      <c r="P175" t="s">
        <v>89</v>
      </c>
      <c r="Q175" t="s">
        <v>112</v>
      </c>
      <c r="R175">
        <v>2</v>
      </c>
      <c r="S175" t="s">
        <v>92</v>
      </c>
      <c r="T175">
        <v>2</v>
      </c>
      <c r="U175" t="s">
        <v>89</v>
      </c>
      <c r="V175" t="s">
        <v>94</v>
      </c>
      <c r="W175">
        <v>2</v>
      </c>
      <c r="X175">
        <v>1</v>
      </c>
    </row>
    <row r="176" spans="2:24" x14ac:dyDescent="0.3">
      <c r="B176">
        <v>172</v>
      </c>
      <c r="C176" t="s">
        <v>12</v>
      </c>
      <c r="D176">
        <v>12</v>
      </c>
      <c r="E176" t="s">
        <v>95</v>
      </c>
      <c r="F176" t="s">
        <v>102</v>
      </c>
      <c r="G176">
        <v>763</v>
      </c>
      <c r="H176" t="s">
        <v>96</v>
      </c>
      <c r="I176" t="s">
        <v>97</v>
      </c>
      <c r="J176">
        <v>4</v>
      </c>
      <c r="K176" t="s">
        <v>98</v>
      </c>
      <c r="L176" t="s">
        <v>89</v>
      </c>
      <c r="M176">
        <v>1</v>
      </c>
      <c r="N176" t="s">
        <v>90</v>
      </c>
      <c r="O176">
        <v>26</v>
      </c>
      <c r="P176" t="s">
        <v>89</v>
      </c>
      <c r="Q176" t="s">
        <v>91</v>
      </c>
      <c r="R176">
        <v>1</v>
      </c>
      <c r="S176" t="s">
        <v>92</v>
      </c>
      <c r="T176">
        <v>1</v>
      </c>
      <c r="U176" t="s">
        <v>93</v>
      </c>
      <c r="V176" t="s">
        <v>94</v>
      </c>
      <c r="W176">
        <v>1</v>
      </c>
      <c r="X176">
        <v>0</v>
      </c>
    </row>
    <row r="177" spans="2:24" x14ac:dyDescent="0.3">
      <c r="B177">
        <v>173</v>
      </c>
      <c r="C177" t="s">
        <v>10</v>
      </c>
      <c r="D177">
        <v>24</v>
      </c>
      <c r="E177" t="s">
        <v>106</v>
      </c>
      <c r="F177" t="s">
        <v>102</v>
      </c>
      <c r="G177">
        <v>2064</v>
      </c>
      <c r="H177" t="s">
        <v>96</v>
      </c>
      <c r="I177" t="s">
        <v>116</v>
      </c>
      <c r="J177">
        <v>3</v>
      </c>
      <c r="K177" t="s">
        <v>98</v>
      </c>
      <c r="L177" t="s">
        <v>89</v>
      </c>
      <c r="M177">
        <v>2</v>
      </c>
      <c r="N177" t="s">
        <v>104</v>
      </c>
      <c r="O177">
        <v>34</v>
      </c>
      <c r="P177" t="s">
        <v>89</v>
      </c>
      <c r="Q177" t="s">
        <v>91</v>
      </c>
      <c r="R177">
        <v>1</v>
      </c>
      <c r="S177" t="s">
        <v>113</v>
      </c>
      <c r="T177">
        <v>1</v>
      </c>
      <c r="U177" t="s">
        <v>93</v>
      </c>
      <c r="V177" t="s">
        <v>94</v>
      </c>
      <c r="W177">
        <v>2</v>
      </c>
      <c r="X177">
        <v>1</v>
      </c>
    </row>
    <row r="178" spans="2:24" x14ac:dyDescent="0.3">
      <c r="B178">
        <v>174</v>
      </c>
      <c r="C178" t="s">
        <v>10</v>
      </c>
      <c r="D178">
        <v>8</v>
      </c>
      <c r="E178" t="s">
        <v>95</v>
      </c>
      <c r="F178" t="s">
        <v>85</v>
      </c>
      <c r="G178">
        <v>1414</v>
      </c>
      <c r="H178" t="s">
        <v>96</v>
      </c>
      <c r="I178" t="s">
        <v>97</v>
      </c>
      <c r="J178">
        <v>4</v>
      </c>
      <c r="K178" t="s">
        <v>88</v>
      </c>
      <c r="L178" t="s">
        <v>103</v>
      </c>
      <c r="M178">
        <v>2</v>
      </c>
      <c r="N178" t="s">
        <v>90</v>
      </c>
      <c r="O178">
        <v>33</v>
      </c>
      <c r="P178" t="s">
        <v>89</v>
      </c>
      <c r="Q178" t="s">
        <v>91</v>
      </c>
      <c r="R178">
        <v>1</v>
      </c>
      <c r="S178" t="s">
        <v>92</v>
      </c>
      <c r="T178">
        <v>1</v>
      </c>
      <c r="U178" t="s">
        <v>89</v>
      </c>
      <c r="V178" t="s">
        <v>123</v>
      </c>
      <c r="W178">
        <v>1</v>
      </c>
      <c r="X178">
        <v>0</v>
      </c>
    </row>
    <row r="179" spans="2:24" x14ac:dyDescent="0.3">
      <c r="B179">
        <v>175</v>
      </c>
      <c r="C179" t="s">
        <v>8</v>
      </c>
      <c r="D179">
        <v>21</v>
      </c>
      <c r="E179" t="s">
        <v>106</v>
      </c>
      <c r="F179" t="s">
        <v>99</v>
      </c>
      <c r="G179">
        <v>3414</v>
      </c>
      <c r="H179" t="s">
        <v>96</v>
      </c>
      <c r="I179" t="s">
        <v>118</v>
      </c>
      <c r="J179">
        <v>2</v>
      </c>
      <c r="K179" t="s">
        <v>88</v>
      </c>
      <c r="L179" t="s">
        <v>89</v>
      </c>
      <c r="M179">
        <v>1</v>
      </c>
      <c r="N179" t="s">
        <v>104</v>
      </c>
      <c r="O179">
        <v>26</v>
      </c>
      <c r="P179" t="s">
        <v>89</v>
      </c>
      <c r="Q179" t="s">
        <v>91</v>
      </c>
      <c r="R179">
        <v>2</v>
      </c>
      <c r="S179" t="s">
        <v>92</v>
      </c>
      <c r="T179">
        <v>1</v>
      </c>
      <c r="U179" t="s">
        <v>89</v>
      </c>
      <c r="V179" t="s">
        <v>94</v>
      </c>
      <c r="W179">
        <v>2</v>
      </c>
      <c r="X179">
        <v>1</v>
      </c>
    </row>
    <row r="180" spans="2:24" x14ac:dyDescent="0.3">
      <c r="B180">
        <v>176</v>
      </c>
      <c r="C180" t="s">
        <v>12</v>
      </c>
      <c r="D180">
        <v>30</v>
      </c>
      <c r="E180" t="s">
        <v>124</v>
      </c>
      <c r="F180" t="s">
        <v>110</v>
      </c>
      <c r="G180">
        <v>7485</v>
      </c>
      <c r="H180" t="s">
        <v>86</v>
      </c>
      <c r="I180" t="s">
        <v>116</v>
      </c>
      <c r="J180">
        <v>4</v>
      </c>
      <c r="K180" t="s">
        <v>98</v>
      </c>
      <c r="L180" t="s">
        <v>89</v>
      </c>
      <c r="M180">
        <v>1</v>
      </c>
      <c r="N180" t="s">
        <v>90</v>
      </c>
      <c r="O180">
        <v>53</v>
      </c>
      <c r="P180" t="s">
        <v>122</v>
      </c>
      <c r="Q180" t="s">
        <v>91</v>
      </c>
      <c r="R180">
        <v>1</v>
      </c>
      <c r="S180" t="s">
        <v>113</v>
      </c>
      <c r="T180">
        <v>1</v>
      </c>
      <c r="U180" t="s">
        <v>93</v>
      </c>
      <c r="V180" t="s">
        <v>94</v>
      </c>
      <c r="W180">
        <v>2</v>
      </c>
      <c r="X180">
        <v>1</v>
      </c>
    </row>
    <row r="181" spans="2:24" x14ac:dyDescent="0.3">
      <c r="B181">
        <v>177</v>
      </c>
      <c r="C181" t="s">
        <v>8</v>
      </c>
      <c r="D181">
        <v>12</v>
      </c>
      <c r="E181" t="s">
        <v>95</v>
      </c>
      <c r="F181" t="s">
        <v>102</v>
      </c>
      <c r="G181">
        <v>2577</v>
      </c>
      <c r="H181" t="s">
        <v>96</v>
      </c>
      <c r="I181" t="s">
        <v>97</v>
      </c>
      <c r="J181">
        <v>2</v>
      </c>
      <c r="K181" t="s">
        <v>115</v>
      </c>
      <c r="L181" t="s">
        <v>89</v>
      </c>
      <c r="M181">
        <v>1</v>
      </c>
      <c r="N181" t="s">
        <v>111</v>
      </c>
      <c r="O181">
        <v>42</v>
      </c>
      <c r="P181" t="s">
        <v>89</v>
      </c>
      <c r="Q181" t="s">
        <v>91</v>
      </c>
      <c r="R181">
        <v>1</v>
      </c>
      <c r="S181" t="s">
        <v>92</v>
      </c>
      <c r="T181">
        <v>1</v>
      </c>
      <c r="U181" t="s">
        <v>89</v>
      </c>
      <c r="V181" t="s">
        <v>94</v>
      </c>
      <c r="W181">
        <v>1</v>
      </c>
      <c r="X181">
        <v>0</v>
      </c>
    </row>
    <row r="182" spans="2:24" x14ac:dyDescent="0.3">
      <c r="B182">
        <v>178</v>
      </c>
      <c r="C182" t="s">
        <v>8</v>
      </c>
      <c r="D182">
        <v>6</v>
      </c>
      <c r="E182" t="s">
        <v>84</v>
      </c>
      <c r="F182" t="s">
        <v>85</v>
      </c>
      <c r="G182">
        <v>338</v>
      </c>
      <c r="H182" t="s">
        <v>109</v>
      </c>
      <c r="I182" t="s">
        <v>87</v>
      </c>
      <c r="J182">
        <v>4</v>
      </c>
      <c r="K182" t="s">
        <v>88</v>
      </c>
      <c r="L182" t="s">
        <v>89</v>
      </c>
      <c r="M182">
        <v>4</v>
      </c>
      <c r="N182" t="s">
        <v>111</v>
      </c>
      <c r="O182">
        <v>52</v>
      </c>
      <c r="P182" t="s">
        <v>89</v>
      </c>
      <c r="Q182" t="s">
        <v>91</v>
      </c>
      <c r="R182">
        <v>2</v>
      </c>
      <c r="S182" t="s">
        <v>92</v>
      </c>
      <c r="T182">
        <v>1</v>
      </c>
      <c r="U182" t="s">
        <v>89</v>
      </c>
      <c r="V182" t="s">
        <v>94</v>
      </c>
      <c r="W182">
        <v>1</v>
      </c>
      <c r="X182">
        <v>0</v>
      </c>
    </row>
    <row r="183" spans="2:24" x14ac:dyDescent="0.3">
      <c r="B183">
        <v>179</v>
      </c>
      <c r="C183" t="s">
        <v>12</v>
      </c>
      <c r="D183">
        <v>12</v>
      </c>
      <c r="E183" t="s">
        <v>95</v>
      </c>
      <c r="F183" t="s">
        <v>85</v>
      </c>
      <c r="G183">
        <v>1963</v>
      </c>
      <c r="H183" t="s">
        <v>96</v>
      </c>
      <c r="I183" t="s">
        <v>100</v>
      </c>
      <c r="J183">
        <v>4</v>
      </c>
      <c r="K183" t="s">
        <v>88</v>
      </c>
      <c r="L183" t="s">
        <v>89</v>
      </c>
      <c r="M183">
        <v>2</v>
      </c>
      <c r="N183" t="s">
        <v>111</v>
      </c>
      <c r="O183">
        <v>31</v>
      </c>
      <c r="P183" t="s">
        <v>89</v>
      </c>
      <c r="Q183" t="s">
        <v>112</v>
      </c>
      <c r="R183">
        <v>2</v>
      </c>
      <c r="S183" t="s">
        <v>113</v>
      </c>
      <c r="T183">
        <v>2</v>
      </c>
      <c r="U183" t="s">
        <v>93</v>
      </c>
      <c r="V183" t="s">
        <v>94</v>
      </c>
      <c r="W183">
        <v>1</v>
      </c>
      <c r="X183">
        <v>0</v>
      </c>
    </row>
    <row r="184" spans="2:24" x14ac:dyDescent="0.3">
      <c r="B184">
        <v>180</v>
      </c>
      <c r="C184" t="s">
        <v>8</v>
      </c>
      <c r="D184">
        <v>21</v>
      </c>
      <c r="E184" t="s">
        <v>84</v>
      </c>
      <c r="F184" t="s">
        <v>107</v>
      </c>
      <c r="G184">
        <v>571</v>
      </c>
      <c r="H184" t="s">
        <v>96</v>
      </c>
      <c r="I184" t="s">
        <v>87</v>
      </c>
      <c r="J184">
        <v>4</v>
      </c>
      <c r="K184" t="s">
        <v>88</v>
      </c>
      <c r="L184" t="s">
        <v>89</v>
      </c>
      <c r="M184">
        <v>4</v>
      </c>
      <c r="N184" t="s">
        <v>90</v>
      </c>
      <c r="O184">
        <v>65</v>
      </c>
      <c r="P184" t="s">
        <v>89</v>
      </c>
      <c r="Q184" t="s">
        <v>91</v>
      </c>
      <c r="R184">
        <v>2</v>
      </c>
      <c r="S184" t="s">
        <v>92</v>
      </c>
      <c r="T184">
        <v>1</v>
      </c>
      <c r="U184" t="s">
        <v>89</v>
      </c>
      <c r="V184" t="s">
        <v>94</v>
      </c>
      <c r="W184">
        <v>1</v>
      </c>
      <c r="X184">
        <v>0</v>
      </c>
    </row>
    <row r="185" spans="2:24" x14ac:dyDescent="0.3">
      <c r="B185">
        <v>181</v>
      </c>
      <c r="C185" t="s">
        <v>12</v>
      </c>
      <c r="D185">
        <v>36</v>
      </c>
      <c r="E185" t="s">
        <v>106</v>
      </c>
      <c r="F185" t="s">
        <v>119</v>
      </c>
      <c r="G185">
        <v>9572</v>
      </c>
      <c r="H185" t="s">
        <v>96</v>
      </c>
      <c r="I185" t="s">
        <v>118</v>
      </c>
      <c r="J185">
        <v>1</v>
      </c>
      <c r="K185" t="s">
        <v>115</v>
      </c>
      <c r="L185" t="s">
        <v>89</v>
      </c>
      <c r="M185">
        <v>1</v>
      </c>
      <c r="N185" t="s">
        <v>111</v>
      </c>
      <c r="O185">
        <v>28</v>
      </c>
      <c r="P185" t="s">
        <v>89</v>
      </c>
      <c r="Q185" t="s">
        <v>91</v>
      </c>
      <c r="R185">
        <v>2</v>
      </c>
      <c r="S185" t="s">
        <v>92</v>
      </c>
      <c r="T185">
        <v>1</v>
      </c>
      <c r="U185" t="s">
        <v>89</v>
      </c>
      <c r="V185" t="s">
        <v>94</v>
      </c>
      <c r="W185">
        <v>2</v>
      </c>
      <c r="X185">
        <v>1</v>
      </c>
    </row>
    <row r="186" spans="2:24" x14ac:dyDescent="0.3">
      <c r="B186">
        <v>182</v>
      </c>
      <c r="C186" t="s">
        <v>10</v>
      </c>
      <c r="D186">
        <v>36</v>
      </c>
      <c r="E186" t="s">
        <v>106</v>
      </c>
      <c r="F186" t="s">
        <v>119</v>
      </c>
      <c r="G186">
        <v>4455</v>
      </c>
      <c r="H186" t="s">
        <v>96</v>
      </c>
      <c r="I186" t="s">
        <v>97</v>
      </c>
      <c r="J186">
        <v>2</v>
      </c>
      <c r="K186" t="s">
        <v>115</v>
      </c>
      <c r="L186" t="s">
        <v>89</v>
      </c>
      <c r="M186">
        <v>2</v>
      </c>
      <c r="N186" t="s">
        <v>90</v>
      </c>
      <c r="O186">
        <v>30</v>
      </c>
      <c r="P186" t="s">
        <v>125</v>
      </c>
      <c r="Q186" t="s">
        <v>91</v>
      </c>
      <c r="R186">
        <v>2</v>
      </c>
      <c r="S186" t="s">
        <v>113</v>
      </c>
      <c r="T186">
        <v>1</v>
      </c>
      <c r="U186" t="s">
        <v>93</v>
      </c>
      <c r="V186" t="s">
        <v>94</v>
      </c>
      <c r="W186">
        <v>2</v>
      </c>
      <c r="X186">
        <v>1</v>
      </c>
    </row>
    <row r="187" spans="2:24" x14ac:dyDescent="0.3">
      <c r="B187">
        <v>183</v>
      </c>
      <c r="C187" t="s">
        <v>8</v>
      </c>
      <c r="D187">
        <v>21</v>
      </c>
      <c r="E187" t="s">
        <v>124</v>
      </c>
      <c r="F187" t="s">
        <v>107</v>
      </c>
      <c r="G187">
        <v>1647</v>
      </c>
      <c r="H187" t="s">
        <v>86</v>
      </c>
      <c r="I187" t="s">
        <v>97</v>
      </c>
      <c r="J187">
        <v>4</v>
      </c>
      <c r="K187" t="s">
        <v>88</v>
      </c>
      <c r="L187" t="s">
        <v>89</v>
      </c>
      <c r="M187">
        <v>2</v>
      </c>
      <c r="N187" t="s">
        <v>104</v>
      </c>
      <c r="O187">
        <v>40</v>
      </c>
      <c r="P187" t="s">
        <v>89</v>
      </c>
      <c r="Q187" t="s">
        <v>91</v>
      </c>
      <c r="R187">
        <v>2</v>
      </c>
      <c r="S187" t="s">
        <v>101</v>
      </c>
      <c r="T187">
        <v>2</v>
      </c>
      <c r="U187" t="s">
        <v>89</v>
      </c>
      <c r="V187" t="s">
        <v>94</v>
      </c>
      <c r="W187">
        <v>2</v>
      </c>
      <c r="X187">
        <v>1</v>
      </c>
    </row>
    <row r="188" spans="2:24" x14ac:dyDescent="0.3">
      <c r="B188">
        <v>184</v>
      </c>
      <c r="C188" t="s">
        <v>12</v>
      </c>
      <c r="D188">
        <v>24</v>
      </c>
      <c r="E188" t="s">
        <v>84</v>
      </c>
      <c r="F188" t="s">
        <v>102</v>
      </c>
      <c r="G188">
        <v>3777</v>
      </c>
      <c r="H188" t="s">
        <v>114</v>
      </c>
      <c r="I188" t="s">
        <v>97</v>
      </c>
      <c r="J188">
        <v>4</v>
      </c>
      <c r="K188" t="s">
        <v>88</v>
      </c>
      <c r="L188" t="s">
        <v>89</v>
      </c>
      <c r="M188">
        <v>4</v>
      </c>
      <c r="N188" t="s">
        <v>90</v>
      </c>
      <c r="O188">
        <v>50</v>
      </c>
      <c r="P188" t="s">
        <v>89</v>
      </c>
      <c r="Q188" t="s">
        <v>91</v>
      </c>
      <c r="R188">
        <v>1</v>
      </c>
      <c r="S188" t="s">
        <v>92</v>
      </c>
      <c r="T188">
        <v>1</v>
      </c>
      <c r="U188" t="s">
        <v>93</v>
      </c>
      <c r="V188" t="s">
        <v>94</v>
      </c>
      <c r="W188">
        <v>1</v>
      </c>
      <c r="X188">
        <v>0</v>
      </c>
    </row>
    <row r="189" spans="2:24" x14ac:dyDescent="0.3">
      <c r="B189">
        <v>185</v>
      </c>
      <c r="C189" t="s">
        <v>10</v>
      </c>
      <c r="D189">
        <v>18</v>
      </c>
      <c r="E189" t="s">
        <v>84</v>
      </c>
      <c r="F189" t="s">
        <v>107</v>
      </c>
      <c r="G189">
        <v>884</v>
      </c>
      <c r="H189" t="s">
        <v>96</v>
      </c>
      <c r="I189" t="s">
        <v>87</v>
      </c>
      <c r="J189">
        <v>4</v>
      </c>
      <c r="K189" t="s">
        <v>88</v>
      </c>
      <c r="L189" t="s">
        <v>89</v>
      </c>
      <c r="M189">
        <v>4</v>
      </c>
      <c r="N189" t="s">
        <v>111</v>
      </c>
      <c r="O189">
        <v>36</v>
      </c>
      <c r="P189" t="s">
        <v>122</v>
      </c>
      <c r="Q189" t="s">
        <v>91</v>
      </c>
      <c r="R189">
        <v>1</v>
      </c>
      <c r="S189" t="s">
        <v>92</v>
      </c>
      <c r="T189">
        <v>2</v>
      </c>
      <c r="U189" t="s">
        <v>93</v>
      </c>
      <c r="V189" t="s">
        <v>94</v>
      </c>
      <c r="W189">
        <v>2</v>
      </c>
      <c r="X189">
        <v>1</v>
      </c>
    </row>
    <row r="190" spans="2:24" x14ac:dyDescent="0.3">
      <c r="B190">
        <v>186</v>
      </c>
      <c r="C190" t="s">
        <v>12</v>
      </c>
      <c r="D190">
        <v>15</v>
      </c>
      <c r="E190" t="s">
        <v>84</v>
      </c>
      <c r="F190" t="s">
        <v>85</v>
      </c>
      <c r="G190">
        <v>1360</v>
      </c>
      <c r="H190" t="s">
        <v>96</v>
      </c>
      <c r="I190" t="s">
        <v>97</v>
      </c>
      <c r="J190">
        <v>4</v>
      </c>
      <c r="K190" t="s">
        <v>88</v>
      </c>
      <c r="L190" t="s">
        <v>89</v>
      </c>
      <c r="M190">
        <v>2</v>
      </c>
      <c r="N190" t="s">
        <v>104</v>
      </c>
      <c r="O190">
        <v>31</v>
      </c>
      <c r="P190" t="s">
        <v>89</v>
      </c>
      <c r="Q190" t="s">
        <v>91</v>
      </c>
      <c r="R190">
        <v>2</v>
      </c>
      <c r="S190" t="s">
        <v>92</v>
      </c>
      <c r="T190">
        <v>1</v>
      </c>
      <c r="U190" t="s">
        <v>89</v>
      </c>
      <c r="V190" t="s">
        <v>94</v>
      </c>
      <c r="W190">
        <v>1</v>
      </c>
      <c r="X190">
        <v>0</v>
      </c>
    </row>
    <row r="191" spans="2:24" x14ac:dyDescent="0.3">
      <c r="B191">
        <v>187</v>
      </c>
      <c r="C191" t="s">
        <v>10</v>
      </c>
      <c r="D191">
        <v>9</v>
      </c>
      <c r="E191" t="s">
        <v>124</v>
      </c>
      <c r="F191" t="s">
        <v>110</v>
      </c>
      <c r="G191">
        <v>5129</v>
      </c>
      <c r="H191" t="s">
        <v>96</v>
      </c>
      <c r="I191" t="s">
        <v>87</v>
      </c>
      <c r="J191">
        <v>2</v>
      </c>
      <c r="K191" t="s">
        <v>98</v>
      </c>
      <c r="L191" t="s">
        <v>89</v>
      </c>
      <c r="M191">
        <v>4</v>
      </c>
      <c r="N191" t="s">
        <v>108</v>
      </c>
      <c r="O191">
        <v>74</v>
      </c>
      <c r="P191" t="s">
        <v>122</v>
      </c>
      <c r="Q191" t="s">
        <v>105</v>
      </c>
      <c r="R191">
        <v>1</v>
      </c>
      <c r="S191" t="s">
        <v>113</v>
      </c>
      <c r="T191">
        <v>2</v>
      </c>
      <c r="U191" t="s">
        <v>93</v>
      </c>
      <c r="V191" t="s">
        <v>94</v>
      </c>
      <c r="W191">
        <v>2</v>
      </c>
      <c r="X191">
        <v>1</v>
      </c>
    </row>
    <row r="192" spans="2:24" x14ac:dyDescent="0.3">
      <c r="B192">
        <v>188</v>
      </c>
      <c r="C192" t="s">
        <v>10</v>
      </c>
      <c r="D192">
        <v>16</v>
      </c>
      <c r="E192" t="s">
        <v>84</v>
      </c>
      <c r="F192" t="s">
        <v>107</v>
      </c>
      <c r="G192">
        <v>1175</v>
      </c>
      <c r="H192" t="s">
        <v>96</v>
      </c>
      <c r="I192" t="s">
        <v>116</v>
      </c>
      <c r="J192">
        <v>2</v>
      </c>
      <c r="K192" t="s">
        <v>88</v>
      </c>
      <c r="L192" t="s">
        <v>89</v>
      </c>
      <c r="M192">
        <v>3</v>
      </c>
      <c r="N192" t="s">
        <v>111</v>
      </c>
      <c r="O192">
        <v>68</v>
      </c>
      <c r="P192" t="s">
        <v>89</v>
      </c>
      <c r="Q192" t="s">
        <v>105</v>
      </c>
      <c r="R192">
        <v>3</v>
      </c>
      <c r="S192" t="s">
        <v>129</v>
      </c>
      <c r="T192">
        <v>1</v>
      </c>
      <c r="U192" t="s">
        <v>93</v>
      </c>
      <c r="V192" t="s">
        <v>94</v>
      </c>
      <c r="W192">
        <v>1</v>
      </c>
      <c r="X192">
        <v>0</v>
      </c>
    </row>
    <row r="193" spans="2:24" x14ac:dyDescent="0.3">
      <c r="B193">
        <v>189</v>
      </c>
      <c r="C193" t="s">
        <v>8</v>
      </c>
      <c r="D193">
        <v>12</v>
      </c>
      <c r="E193" t="s">
        <v>95</v>
      </c>
      <c r="F193" t="s">
        <v>85</v>
      </c>
      <c r="G193">
        <v>674</v>
      </c>
      <c r="H193" t="s">
        <v>120</v>
      </c>
      <c r="I193" t="s">
        <v>100</v>
      </c>
      <c r="J193">
        <v>4</v>
      </c>
      <c r="K193" t="s">
        <v>117</v>
      </c>
      <c r="L193" t="s">
        <v>89</v>
      </c>
      <c r="M193">
        <v>1</v>
      </c>
      <c r="N193" t="s">
        <v>104</v>
      </c>
      <c r="O193">
        <v>20</v>
      </c>
      <c r="P193" t="s">
        <v>89</v>
      </c>
      <c r="Q193" t="s">
        <v>91</v>
      </c>
      <c r="R193">
        <v>1</v>
      </c>
      <c r="S193" t="s">
        <v>92</v>
      </c>
      <c r="T193">
        <v>1</v>
      </c>
      <c r="U193" t="s">
        <v>89</v>
      </c>
      <c r="V193" t="s">
        <v>94</v>
      </c>
      <c r="W193">
        <v>2</v>
      </c>
      <c r="X193">
        <v>1</v>
      </c>
    </row>
    <row r="194" spans="2:24" x14ac:dyDescent="0.3">
      <c r="B194">
        <v>190</v>
      </c>
      <c r="C194" t="s">
        <v>10</v>
      </c>
      <c r="D194">
        <v>18</v>
      </c>
      <c r="E194" t="s">
        <v>121</v>
      </c>
      <c r="F194" t="s">
        <v>102</v>
      </c>
      <c r="G194">
        <v>3244</v>
      </c>
      <c r="H194" t="s">
        <v>96</v>
      </c>
      <c r="I194" t="s">
        <v>97</v>
      </c>
      <c r="J194">
        <v>1</v>
      </c>
      <c r="K194" t="s">
        <v>98</v>
      </c>
      <c r="L194" t="s">
        <v>89</v>
      </c>
      <c r="M194">
        <v>4</v>
      </c>
      <c r="N194" t="s">
        <v>111</v>
      </c>
      <c r="O194">
        <v>33</v>
      </c>
      <c r="P194" t="s">
        <v>122</v>
      </c>
      <c r="Q194" t="s">
        <v>91</v>
      </c>
      <c r="R194">
        <v>2</v>
      </c>
      <c r="S194" t="s">
        <v>92</v>
      </c>
      <c r="T194">
        <v>1</v>
      </c>
      <c r="U194" t="s">
        <v>93</v>
      </c>
      <c r="V194" t="s">
        <v>94</v>
      </c>
      <c r="W194">
        <v>1</v>
      </c>
      <c r="X194">
        <v>0</v>
      </c>
    </row>
    <row r="195" spans="2:24" x14ac:dyDescent="0.3">
      <c r="B195">
        <v>191</v>
      </c>
      <c r="C195" t="s">
        <v>12</v>
      </c>
      <c r="D195">
        <v>24</v>
      </c>
      <c r="E195" t="s">
        <v>95</v>
      </c>
      <c r="F195" t="s">
        <v>119</v>
      </c>
      <c r="G195">
        <v>4591</v>
      </c>
      <c r="H195" t="s">
        <v>114</v>
      </c>
      <c r="I195" t="s">
        <v>97</v>
      </c>
      <c r="J195">
        <v>2</v>
      </c>
      <c r="K195" t="s">
        <v>88</v>
      </c>
      <c r="L195" t="s">
        <v>89</v>
      </c>
      <c r="M195">
        <v>3</v>
      </c>
      <c r="N195" t="s">
        <v>104</v>
      </c>
      <c r="O195">
        <v>54</v>
      </c>
      <c r="P195" t="s">
        <v>89</v>
      </c>
      <c r="Q195" t="s">
        <v>91</v>
      </c>
      <c r="R195">
        <v>3</v>
      </c>
      <c r="S195" t="s">
        <v>113</v>
      </c>
      <c r="T195">
        <v>1</v>
      </c>
      <c r="U195" t="s">
        <v>93</v>
      </c>
      <c r="V195" t="s">
        <v>94</v>
      </c>
      <c r="W195">
        <v>2</v>
      </c>
      <c r="X195">
        <v>1</v>
      </c>
    </row>
    <row r="196" spans="2:24" x14ac:dyDescent="0.3">
      <c r="B196">
        <v>192</v>
      </c>
      <c r="C196" t="s">
        <v>10</v>
      </c>
      <c r="D196">
        <v>48</v>
      </c>
      <c r="E196" t="s">
        <v>121</v>
      </c>
      <c r="F196" t="s">
        <v>119</v>
      </c>
      <c r="G196">
        <v>3844</v>
      </c>
      <c r="H196" t="s">
        <v>120</v>
      </c>
      <c r="I196" t="s">
        <v>100</v>
      </c>
      <c r="J196">
        <v>4</v>
      </c>
      <c r="K196" t="s">
        <v>88</v>
      </c>
      <c r="L196" t="s">
        <v>89</v>
      </c>
      <c r="M196">
        <v>4</v>
      </c>
      <c r="N196" t="s">
        <v>108</v>
      </c>
      <c r="O196">
        <v>34</v>
      </c>
      <c r="P196" t="s">
        <v>89</v>
      </c>
      <c r="Q196" t="s">
        <v>105</v>
      </c>
      <c r="R196">
        <v>1</v>
      </c>
      <c r="S196" t="s">
        <v>101</v>
      </c>
      <c r="T196">
        <v>2</v>
      </c>
      <c r="U196" t="s">
        <v>89</v>
      </c>
      <c r="V196" t="s">
        <v>94</v>
      </c>
      <c r="W196">
        <v>2</v>
      </c>
      <c r="X196">
        <v>1</v>
      </c>
    </row>
    <row r="197" spans="2:24" x14ac:dyDescent="0.3">
      <c r="B197">
        <v>193</v>
      </c>
      <c r="C197" t="s">
        <v>10</v>
      </c>
      <c r="D197">
        <v>27</v>
      </c>
      <c r="E197" t="s">
        <v>95</v>
      </c>
      <c r="F197" t="s">
        <v>119</v>
      </c>
      <c r="G197">
        <v>3915</v>
      </c>
      <c r="H197" t="s">
        <v>96</v>
      </c>
      <c r="I197" t="s">
        <v>97</v>
      </c>
      <c r="J197">
        <v>4</v>
      </c>
      <c r="K197" t="s">
        <v>88</v>
      </c>
      <c r="L197" t="s">
        <v>89</v>
      </c>
      <c r="M197">
        <v>2</v>
      </c>
      <c r="N197" t="s">
        <v>111</v>
      </c>
      <c r="O197">
        <v>36</v>
      </c>
      <c r="P197" t="s">
        <v>89</v>
      </c>
      <c r="Q197" t="s">
        <v>91</v>
      </c>
      <c r="R197">
        <v>1</v>
      </c>
      <c r="S197" t="s">
        <v>92</v>
      </c>
      <c r="T197">
        <v>2</v>
      </c>
      <c r="U197" t="s">
        <v>93</v>
      </c>
      <c r="V197" t="s">
        <v>94</v>
      </c>
      <c r="W197">
        <v>2</v>
      </c>
      <c r="X197">
        <v>1</v>
      </c>
    </row>
    <row r="198" spans="2:24" x14ac:dyDescent="0.3">
      <c r="B198">
        <v>194</v>
      </c>
      <c r="C198" t="s">
        <v>12</v>
      </c>
      <c r="D198">
        <v>6</v>
      </c>
      <c r="E198" t="s">
        <v>95</v>
      </c>
      <c r="F198" t="s">
        <v>85</v>
      </c>
      <c r="G198">
        <v>2108</v>
      </c>
      <c r="H198" t="s">
        <v>96</v>
      </c>
      <c r="I198" t="s">
        <v>100</v>
      </c>
      <c r="J198">
        <v>2</v>
      </c>
      <c r="K198" t="s">
        <v>117</v>
      </c>
      <c r="L198" t="s">
        <v>89</v>
      </c>
      <c r="M198">
        <v>2</v>
      </c>
      <c r="N198" t="s">
        <v>90</v>
      </c>
      <c r="O198">
        <v>29</v>
      </c>
      <c r="P198" t="s">
        <v>89</v>
      </c>
      <c r="Q198" t="s">
        <v>112</v>
      </c>
      <c r="R198">
        <v>1</v>
      </c>
      <c r="S198" t="s">
        <v>92</v>
      </c>
      <c r="T198">
        <v>1</v>
      </c>
      <c r="U198" t="s">
        <v>89</v>
      </c>
      <c r="V198" t="s">
        <v>94</v>
      </c>
      <c r="W198">
        <v>1</v>
      </c>
      <c r="X198">
        <v>0</v>
      </c>
    </row>
    <row r="199" spans="2:24" x14ac:dyDescent="0.3">
      <c r="B199">
        <v>195</v>
      </c>
      <c r="C199" t="s">
        <v>10</v>
      </c>
      <c r="D199">
        <v>45</v>
      </c>
      <c r="E199" t="s">
        <v>95</v>
      </c>
      <c r="F199" t="s">
        <v>85</v>
      </c>
      <c r="G199">
        <v>3031</v>
      </c>
      <c r="H199" t="s">
        <v>120</v>
      </c>
      <c r="I199" t="s">
        <v>97</v>
      </c>
      <c r="J199">
        <v>4</v>
      </c>
      <c r="K199" t="s">
        <v>88</v>
      </c>
      <c r="L199" t="s">
        <v>103</v>
      </c>
      <c r="M199">
        <v>4</v>
      </c>
      <c r="N199" t="s">
        <v>104</v>
      </c>
      <c r="O199">
        <v>21</v>
      </c>
      <c r="P199" t="s">
        <v>89</v>
      </c>
      <c r="Q199" t="s">
        <v>112</v>
      </c>
      <c r="R199">
        <v>1</v>
      </c>
      <c r="S199" t="s">
        <v>92</v>
      </c>
      <c r="T199">
        <v>1</v>
      </c>
      <c r="U199" t="s">
        <v>89</v>
      </c>
      <c r="V199" t="s">
        <v>94</v>
      </c>
      <c r="W199">
        <v>2</v>
      </c>
      <c r="X199">
        <v>1</v>
      </c>
    </row>
    <row r="200" spans="2:24" x14ac:dyDescent="0.3">
      <c r="B200">
        <v>196</v>
      </c>
      <c r="C200" t="s">
        <v>10</v>
      </c>
      <c r="D200">
        <v>9</v>
      </c>
      <c r="E200" t="s">
        <v>84</v>
      </c>
      <c r="F200" t="s">
        <v>99</v>
      </c>
      <c r="G200">
        <v>1501</v>
      </c>
      <c r="H200" t="s">
        <v>96</v>
      </c>
      <c r="I200" t="s">
        <v>87</v>
      </c>
      <c r="J200">
        <v>2</v>
      </c>
      <c r="K200" t="s">
        <v>98</v>
      </c>
      <c r="L200" t="s">
        <v>89</v>
      </c>
      <c r="M200">
        <v>3</v>
      </c>
      <c r="N200" t="s">
        <v>111</v>
      </c>
      <c r="O200">
        <v>34</v>
      </c>
      <c r="P200" t="s">
        <v>89</v>
      </c>
      <c r="Q200" t="s">
        <v>91</v>
      </c>
      <c r="R200">
        <v>2</v>
      </c>
      <c r="S200" t="s">
        <v>113</v>
      </c>
      <c r="T200">
        <v>1</v>
      </c>
      <c r="U200" t="s">
        <v>93</v>
      </c>
      <c r="V200" t="s">
        <v>94</v>
      </c>
      <c r="W200">
        <v>2</v>
      </c>
      <c r="X200">
        <v>1</v>
      </c>
    </row>
    <row r="201" spans="2:24" x14ac:dyDescent="0.3">
      <c r="B201">
        <v>197</v>
      </c>
      <c r="C201" t="s">
        <v>12</v>
      </c>
      <c r="D201">
        <v>6</v>
      </c>
      <c r="E201" t="s">
        <v>84</v>
      </c>
      <c r="F201" t="s">
        <v>85</v>
      </c>
      <c r="G201">
        <v>1382</v>
      </c>
      <c r="H201" t="s">
        <v>96</v>
      </c>
      <c r="I201" t="s">
        <v>97</v>
      </c>
      <c r="J201">
        <v>1</v>
      </c>
      <c r="K201" t="s">
        <v>98</v>
      </c>
      <c r="L201" t="s">
        <v>89</v>
      </c>
      <c r="M201">
        <v>1</v>
      </c>
      <c r="N201" t="s">
        <v>111</v>
      </c>
      <c r="O201">
        <v>28</v>
      </c>
      <c r="P201" t="s">
        <v>89</v>
      </c>
      <c r="Q201" t="s">
        <v>91</v>
      </c>
      <c r="R201">
        <v>2</v>
      </c>
      <c r="S201" t="s">
        <v>92</v>
      </c>
      <c r="T201">
        <v>1</v>
      </c>
      <c r="U201" t="s">
        <v>93</v>
      </c>
      <c r="V201" t="s">
        <v>94</v>
      </c>
      <c r="W201">
        <v>1</v>
      </c>
      <c r="X201">
        <v>0</v>
      </c>
    </row>
    <row r="202" spans="2:24" x14ac:dyDescent="0.3">
      <c r="B202">
        <v>198</v>
      </c>
      <c r="C202" t="s">
        <v>10</v>
      </c>
      <c r="D202">
        <v>12</v>
      </c>
      <c r="E202" t="s">
        <v>95</v>
      </c>
      <c r="F202" t="s">
        <v>102</v>
      </c>
      <c r="G202">
        <v>951</v>
      </c>
      <c r="H202" t="s">
        <v>120</v>
      </c>
      <c r="I202" t="s">
        <v>118</v>
      </c>
      <c r="J202">
        <v>4</v>
      </c>
      <c r="K202" t="s">
        <v>98</v>
      </c>
      <c r="L202" t="s">
        <v>89</v>
      </c>
      <c r="M202">
        <v>4</v>
      </c>
      <c r="N202" t="s">
        <v>111</v>
      </c>
      <c r="O202">
        <v>27</v>
      </c>
      <c r="P202" t="s">
        <v>122</v>
      </c>
      <c r="Q202" t="s">
        <v>112</v>
      </c>
      <c r="R202">
        <v>4</v>
      </c>
      <c r="S202" t="s">
        <v>92</v>
      </c>
      <c r="T202">
        <v>1</v>
      </c>
      <c r="U202" t="s">
        <v>89</v>
      </c>
      <c r="V202" t="s">
        <v>94</v>
      </c>
      <c r="W202">
        <v>2</v>
      </c>
      <c r="X202">
        <v>1</v>
      </c>
    </row>
    <row r="203" spans="2:24" x14ac:dyDescent="0.3">
      <c r="B203">
        <v>199</v>
      </c>
      <c r="C203" t="s">
        <v>10</v>
      </c>
      <c r="D203">
        <v>24</v>
      </c>
      <c r="E203" t="s">
        <v>95</v>
      </c>
      <c r="F203" t="s">
        <v>110</v>
      </c>
      <c r="G203">
        <v>2760</v>
      </c>
      <c r="H203" t="s">
        <v>86</v>
      </c>
      <c r="I203" t="s">
        <v>87</v>
      </c>
      <c r="J203">
        <v>4</v>
      </c>
      <c r="K203" t="s">
        <v>88</v>
      </c>
      <c r="L203" t="s">
        <v>89</v>
      </c>
      <c r="M203">
        <v>4</v>
      </c>
      <c r="N203" t="s">
        <v>108</v>
      </c>
      <c r="O203">
        <v>36</v>
      </c>
      <c r="P203" t="s">
        <v>122</v>
      </c>
      <c r="Q203" t="s">
        <v>105</v>
      </c>
      <c r="R203">
        <v>1</v>
      </c>
      <c r="S203" t="s">
        <v>92</v>
      </c>
      <c r="T203">
        <v>1</v>
      </c>
      <c r="U203" t="s">
        <v>93</v>
      </c>
      <c r="V203" t="s">
        <v>94</v>
      </c>
      <c r="W203">
        <v>1</v>
      </c>
      <c r="X203">
        <v>0</v>
      </c>
    </row>
    <row r="204" spans="2:24" x14ac:dyDescent="0.3">
      <c r="B204">
        <v>200</v>
      </c>
      <c r="C204" t="s">
        <v>10</v>
      </c>
      <c r="D204">
        <v>18</v>
      </c>
      <c r="E204" t="s">
        <v>106</v>
      </c>
      <c r="F204" t="s">
        <v>102</v>
      </c>
      <c r="G204">
        <v>4297</v>
      </c>
      <c r="H204" t="s">
        <v>96</v>
      </c>
      <c r="I204" t="s">
        <v>87</v>
      </c>
      <c r="J204">
        <v>4</v>
      </c>
      <c r="K204" t="s">
        <v>115</v>
      </c>
      <c r="L204" t="s">
        <v>89</v>
      </c>
      <c r="M204">
        <v>3</v>
      </c>
      <c r="N204" t="s">
        <v>108</v>
      </c>
      <c r="O204">
        <v>40</v>
      </c>
      <c r="P204" t="s">
        <v>89</v>
      </c>
      <c r="Q204" t="s">
        <v>91</v>
      </c>
      <c r="R204">
        <v>1</v>
      </c>
      <c r="S204" t="s">
        <v>113</v>
      </c>
      <c r="T204">
        <v>1</v>
      </c>
      <c r="U204" t="s">
        <v>93</v>
      </c>
      <c r="V204" t="s">
        <v>94</v>
      </c>
      <c r="W204">
        <v>2</v>
      </c>
      <c r="X204">
        <v>1</v>
      </c>
    </row>
    <row r="205" spans="2:24" x14ac:dyDescent="0.3">
      <c r="B205">
        <v>201</v>
      </c>
      <c r="C205" t="s">
        <v>12</v>
      </c>
      <c r="D205">
        <v>9</v>
      </c>
      <c r="E205" t="s">
        <v>84</v>
      </c>
      <c r="F205" t="s">
        <v>99</v>
      </c>
      <c r="G205">
        <v>936</v>
      </c>
      <c r="H205" t="s">
        <v>109</v>
      </c>
      <c r="I205" t="s">
        <v>87</v>
      </c>
      <c r="J205">
        <v>4</v>
      </c>
      <c r="K205" t="s">
        <v>88</v>
      </c>
      <c r="L205" t="s">
        <v>89</v>
      </c>
      <c r="M205">
        <v>2</v>
      </c>
      <c r="N205" t="s">
        <v>111</v>
      </c>
      <c r="O205">
        <v>52</v>
      </c>
      <c r="P205" t="s">
        <v>89</v>
      </c>
      <c r="Q205" t="s">
        <v>91</v>
      </c>
      <c r="R205">
        <v>2</v>
      </c>
      <c r="S205" t="s">
        <v>92</v>
      </c>
      <c r="T205">
        <v>1</v>
      </c>
      <c r="U205" t="s">
        <v>93</v>
      </c>
      <c r="V205" t="s">
        <v>94</v>
      </c>
      <c r="W205">
        <v>1</v>
      </c>
      <c r="X205">
        <v>0</v>
      </c>
    </row>
    <row r="206" spans="2:24" x14ac:dyDescent="0.3">
      <c r="B206">
        <v>202</v>
      </c>
      <c r="C206" t="s">
        <v>8</v>
      </c>
      <c r="D206">
        <v>12</v>
      </c>
      <c r="E206" t="s">
        <v>95</v>
      </c>
      <c r="F206" t="s">
        <v>107</v>
      </c>
      <c r="G206">
        <v>1168</v>
      </c>
      <c r="H206" t="s">
        <v>96</v>
      </c>
      <c r="I206" t="s">
        <v>97</v>
      </c>
      <c r="J206">
        <v>4</v>
      </c>
      <c r="K206" t="s">
        <v>117</v>
      </c>
      <c r="L206" t="s">
        <v>89</v>
      </c>
      <c r="M206">
        <v>3</v>
      </c>
      <c r="N206" t="s">
        <v>90</v>
      </c>
      <c r="O206">
        <v>27</v>
      </c>
      <c r="P206" t="s">
        <v>89</v>
      </c>
      <c r="Q206" t="s">
        <v>91</v>
      </c>
      <c r="R206">
        <v>1</v>
      </c>
      <c r="S206" t="s">
        <v>101</v>
      </c>
      <c r="T206">
        <v>1</v>
      </c>
      <c r="U206" t="s">
        <v>89</v>
      </c>
      <c r="V206" t="s">
        <v>94</v>
      </c>
      <c r="W206">
        <v>1</v>
      </c>
      <c r="X206">
        <v>0</v>
      </c>
    </row>
    <row r="207" spans="2:24" x14ac:dyDescent="0.3">
      <c r="B207">
        <v>203</v>
      </c>
      <c r="C207" t="s">
        <v>12</v>
      </c>
      <c r="D207">
        <v>27</v>
      </c>
      <c r="E207" t="s">
        <v>106</v>
      </c>
      <c r="F207" t="s">
        <v>119</v>
      </c>
      <c r="G207">
        <v>5117</v>
      </c>
      <c r="H207" t="s">
        <v>96</v>
      </c>
      <c r="I207" t="s">
        <v>100</v>
      </c>
      <c r="J207">
        <v>3</v>
      </c>
      <c r="K207" t="s">
        <v>88</v>
      </c>
      <c r="L207" t="s">
        <v>89</v>
      </c>
      <c r="M207">
        <v>4</v>
      </c>
      <c r="N207" t="s">
        <v>111</v>
      </c>
      <c r="O207">
        <v>26</v>
      </c>
      <c r="P207" t="s">
        <v>89</v>
      </c>
      <c r="Q207" t="s">
        <v>91</v>
      </c>
      <c r="R207">
        <v>2</v>
      </c>
      <c r="S207" t="s">
        <v>92</v>
      </c>
      <c r="T207">
        <v>1</v>
      </c>
      <c r="U207" t="s">
        <v>89</v>
      </c>
      <c r="V207" t="s">
        <v>94</v>
      </c>
      <c r="W207">
        <v>1</v>
      </c>
      <c r="X207">
        <v>0</v>
      </c>
    </row>
    <row r="208" spans="2:24" x14ac:dyDescent="0.3">
      <c r="B208">
        <v>204</v>
      </c>
      <c r="C208" t="s">
        <v>8</v>
      </c>
      <c r="D208">
        <v>12</v>
      </c>
      <c r="E208" t="s">
        <v>95</v>
      </c>
      <c r="F208" t="s">
        <v>131</v>
      </c>
      <c r="G208">
        <v>902</v>
      </c>
      <c r="H208" t="s">
        <v>96</v>
      </c>
      <c r="I208" t="s">
        <v>100</v>
      </c>
      <c r="J208">
        <v>4</v>
      </c>
      <c r="K208" t="s">
        <v>117</v>
      </c>
      <c r="L208" t="s">
        <v>89</v>
      </c>
      <c r="M208">
        <v>4</v>
      </c>
      <c r="N208" t="s">
        <v>104</v>
      </c>
      <c r="O208">
        <v>21</v>
      </c>
      <c r="P208" t="s">
        <v>89</v>
      </c>
      <c r="Q208" t="s">
        <v>112</v>
      </c>
      <c r="R208">
        <v>1</v>
      </c>
      <c r="S208" t="s">
        <v>92</v>
      </c>
      <c r="T208">
        <v>1</v>
      </c>
      <c r="U208" t="s">
        <v>89</v>
      </c>
      <c r="V208" t="s">
        <v>94</v>
      </c>
      <c r="W208">
        <v>2</v>
      </c>
      <c r="X208">
        <v>1</v>
      </c>
    </row>
    <row r="209" spans="2:24" x14ac:dyDescent="0.3">
      <c r="B209">
        <v>205</v>
      </c>
      <c r="C209" t="s">
        <v>12</v>
      </c>
      <c r="D209">
        <v>12</v>
      </c>
      <c r="E209" t="s">
        <v>84</v>
      </c>
      <c r="F209" t="s">
        <v>107</v>
      </c>
      <c r="G209">
        <v>1495</v>
      </c>
      <c r="H209" t="s">
        <v>96</v>
      </c>
      <c r="I209" t="s">
        <v>87</v>
      </c>
      <c r="J209">
        <v>4</v>
      </c>
      <c r="K209" t="s">
        <v>88</v>
      </c>
      <c r="L209" t="s">
        <v>89</v>
      </c>
      <c r="M209">
        <v>1</v>
      </c>
      <c r="N209" t="s">
        <v>90</v>
      </c>
      <c r="O209">
        <v>38</v>
      </c>
      <c r="P209" t="s">
        <v>89</v>
      </c>
      <c r="Q209" t="s">
        <v>91</v>
      </c>
      <c r="R209">
        <v>2</v>
      </c>
      <c r="S209" t="s">
        <v>101</v>
      </c>
      <c r="T209">
        <v>2</v>
      </c>
      <c r="U209" t="s">
        <v>89</v>
      </c>
      <c r="V209" t="s">
        <v>94</v>
      </c>
      <c r="W209">
        <v>1</v>
      </c>
      <c r="X209">
        <v>0</v>
      </c>
    </row>
    <row r="210" spans="2:24" x14ac:dyDescent="0.3">
      <c r="B210">
        <v>206</v>
      </c>
      <c r="C210" t="s">
        <v>8</v>
      </c>
      <c r="D210">
        <v>30</v>
      </c>
      <c r="E210" t="s">
        <v>84</v>
      </c>
      <c r="F210" t="s">
        <v>110</v>
      </c>
      <c r="G210">
        <v>10623</v>
      </c>
      <c r="H210" t="s">
        <v>96</v>
      </c>
      <c r="I210" t="s">
        <v>87</v>
      </c>
      <c r="J210">
        <v>3</v>
      </c>
      <c r="K210" t="s">
        <v>88</v>
      </c>
      <c r="L210" t="s">
        <v>89</v>
      </c>
      <c r="M210">
        <v>4</v>
      </c>
      <c r="N210" t="s">
        <v>108</v>
      </c>
      <c r="O210">
        <v>38</v>
      </c>
      <c r="P210" t="s">
        <v>89</v>
      </c>
      <c r="Q210" t="s">
        <v>105</v>
      </c>
      <c r="R210">
        <v>3</v>
      </c>
      <c r="S210" t="s">
        <v>113</v>
      </c>
      <c r="T210">
        <v>2</v>
      </c>
      <c r="U210" t="s">
        <v>93</v>
      </c>
      <c r="V210" t="s">
        <v>94</v>
      </c>
      <c r="W210">
        <v>1</v>
      </c>
      <c r="X210">
        <v>0</v>
      </c>
    </row>
    <row r="211" spans="2:24" x14ac:dyDescent="0.3">
      <c r="B211">
        <v>207</v>
      </c>
      <c r="C211" t="s">
        <v>12</v>
      </c>
      <c r="D211">
        <v>12</v>
      </c>
      <c r="E211" t="s">
        <v>84</v>
      </c>
      <c r="F211" t="s">
        <v>102</v>
      </c>
      <c r="G211">
        <v>1935</v>
      </c>
      <c r="H211" t="s">
        <v>96</v>
      </c>
      <c r="I211" t="s">
        <v>87</v>
      </c>
      <c r="J211">
        <v>4</v>
      </c>
      <c r="K211" t="s">
        <v>88</v>
      </c>
      <c r="L211" t="s">
        <v>89</v>
      </c>
      <c r="M211">
        <v>4</v>
      </c>
      <c r="N211" t="s">
        <v>90</v>
      </c>
      <c r="O211">
        <v>43</v>
      </c>
      <c r="P211" t="s">
        <v>89</v>
      </c>
      <c r="Q211" t="s">
        <v>91</v>
      </c>
      <c r="R211">
        <v>3</v>
      </c>
      <c r="S211" t="s">
        <v>92</v>
      </c>
      <c r="T211">
        <v>1</v>
      </c>
      <c r="U211" t="s">
        <v>93</v>
      </c>
      <c r="V211" t="s">
        <v>94</v>
      </c>
      <c r="W211">
        <v>1</v>
      </c>
      <c r="X211">
        <v>0</v>
      </c>
    </row>
    <row r="212" spans="2:24" x14ac:dyDescent="0.3">
      <c r="B212">
        <v>208</v>
      </c>
      <c r="C212" t="s">
        <v>10</v>
      </c>
      <c r="D212">
        <v>12</v>
      </c>
      <c r="E212" t="s">
        <v>84</v>
      </c>
      <c r="F212" t="s">
        <v>127</v>
      </c>
      <c r="G212">
        <v>1424</v>
      </c>
      <c r="H212" t="s">
        <v>96</v>
      </c>
      <c r="I212" t="s">
        <v>100</v>
      </c>
      <c r="J212">
        <v>4</v>
      </c>
      <c r="K212" t="s">
        <v>88</v>
      </c>
      <c r="L212" t="s">
        <v>89</v>
      </c>
      <c r="M212">
        <v>3</v>
      </c>
      <c r="N212" t="s">
        <v>104</v>
      </c>
      <c r="O212">
        <v>26</v>
      </c>
      <c r="P212" t="s">
        <v>89</v>
      </c>
      <c r="Q212" t="s">
        <v>91</v>
      </c>
      <c r="R212">
        <v>1</v>
      </c>
      <c r="S212" t="s">
        <v>92</v>
      </c>
      <c r="T212">
        <v>1</v>
      </c>
      <c r="U212" t="s">
        <v>89</v>
      </c>
      <c r="V212" t="s">
        <v>94</v>
      </c>
      <c r="W212">
        <v>1</v>
      </c>
      <c r="X212">
        <v>0</v>
      </c>
    </row>
    <row r="213" spans="2:24" x14ac:dyDescent="0.3">
      <c r="B213">
        <v>209</v>
      </c>
      <c r="C213" t="s">
        <v>8</v>
      </c>
      <c r="D213">
        <v>24</v>
      </c>
      <c r="E213" t="s">
        <v>95</v>
      </c>
      <c r="F213" t="s">
        <v>119</v>
      </c>
      <c r="G213">
        <v>6568</v>
      </c>
      <c r="H213" t="s">
        <v>96</v>
      </c>
      <c r="I213" t="s">
        <v>97</v>
      </c>
      <c r="J213">
        <v>2</v>
      </c>
      <c r="K213" t="s">
        <v>117</v>
      </c>
      <c r="L213" t="s">
        <v>89</v>
      </c>
      <c r="M213">
        <v>2</v>
      </c>
      <c r="N213" t="s">
        <v>111</v>
      </c>
      <c r="O213">
        <v>21</v>
      </c>
      <c r="P213" t="s">
        <v>125</v>
      </c>
      <c r="Q213" t="s">
        <v>91</v>
      </c>
      <c r="R213">
        <v>1</v>
      </c>
      <c r="S213" t="s">
        <v>101</v>
      </c>
      <c r="T213">
        <v>1</v>
      </c>
      <c r="U213" t="s">
        <v>89</v>
      </c>
      <c r="V213" t="s">
        <v>94</v>
      </c>
      <c r="W213">
        <v>1</v>
      </c>
      <c r="X213">
        <v>0</v>
      </c>
    </row>
    <row r="214" spans="2:24" x14ac:dyDescent="0.3">
      <c r="B214">
        <v>210</v>
      </c>
      <c r="C214" t="s">
        <v>12</v>
      </c>
      <c r="D214">
        <v>12</v>
      </c>
      <c r="E214" t="s">
        <v>95</v>
      </c>
      <c r="F214" t="s">
        <v>110</v>
      </c>
      <c r="G214">
        <v>1413</v>
      </c>
      <c r="H214" t="s">
        <v>114</v>
      </c>
      <c r="I214" t="s">
        <v>100</v>
      </c>
      <c r="J214">
        <v>3</v>
      </c>
      <c r="K214" t="s">
        <v>88</v>
      </c>
      <c r="L214" t="s">
        <v>89</v>
      </c>
      <c r="M214">
        <v>2</v>
      </c>
      <c r="N214" t="s">
        <v>104</v>
      </c>
      <c r="O214">
        <v>55</v>
      </c>
      <c r="P214" t="s">
        <v>89</v>
      </c>
      <c r="Q214" t="s">
        <v>91</v>
      </c>
      <c r="R214">
        <v>1</v>
      </c>
      <c r="S214" t="s">
        <v>92</v>
      </c>
      <c r="T214">
        <v>1</v>
      </c>
      <c r="U214" t="s">
        <v>89</v>
      </c>
      <c r="V214" t="s">
        <v>123</v>
      </c>
      <c r="W214">
        <v>1</v>
      </c>
      <c r="X214">
        <v>0</v>
      </c>
    </row>
    <row r="215" spans="2:24" x14ac:dyDescent="0.3">
      <c r="B215">
        <v>211</v>
      </c>
      <c r="C215" t="s">
        <v>12</v>
      </c>
      <c r="D215">
        <v>9</v>
      </c>
      <c r="E215" t="s">
        <v>84</v>
      </c>
      <c r="F215" t="s">
        <v>85</v>
      </c>
      <c r="G215">
        <v>3074</v>
      </c>
      <c r="H215" t="s">
        <v>86</v>
      </c>
      <c r="I215" t="s">
        <v>97</v>
      </c>
      <c r="J215">
        <v>1</v>
      </c>
      <c r="K215" t="s">
        <v>88</v>
      </c>
      <c r="L215" t="s">
        <v>89</v>
      </c>
      <c r="M215">
        <v>2</v>
      </c>
      <c r="N215" t="s">
        <v>90</v>
      </c>
      <c r="O215">
        <v>33</v>
      </c>
      <c r="P215" t="s">
        <v>89</v>
      </c>
      <c r="Q215" t="s">
        <v>91</v>
      </c>
      <c r="R215">
        <v>2</v>
      </c>
      <c r="S215" t="s">
        <v>92</v>
      </c>
      <c r="T215">
        <v>2</v>
      </c>
      <c r="U215" t="s">
        <v>89</v>
      </c>
      <c r="V215" t="s">
        <v>94</v>
      </c>
      <c r="W215">
        <v>1</v>
      </c>
      <c r="X215">
        <v>0</v>
      </c>
    </row>
    <row r="216" spans="2:24" x14ac:dyDescent="0.3">
      <c r="B216">
        <v>212</v>
      </c>
      <c r="C216" t="s">
        <v>12</v>
      </c>
      <c r="D216">
        <v>36</v>
      </c>
      <c r="E216" t="s">
        <v>95</v>
      </c>
      <c r="F216" t="s">
        <v>85</v>
      </c>
      <c r="G216">
        <v>3835</v>
      </c>
      <c r="H216" t="s">
        <v>86</v>
      </c>
      <c r="I216" t="s">
        <v>87</v>
      </c>
      <c r="J216">
        <v>2</v>
      </c>
      <c r="K216" t="s">
        <v>98</v>
      </c>
      <c r="L216" t="s">
        <v>89</v>
      </c>
      <c r="M216">
        <v>4</v>
      </c>
      <c r="N216" t="s">
        <v>90</v>
      </c>
      <c r="O216">
        <v>45</v>
      </c>
      <c r="P216" t="s">
        <v>89</v>
      </c>
      <c r="Q216" t="s">
        <v>91</v>
      </c>
      <c r="R216">
        <v>1</v>
      </c>
      <c r="S216" t="s">
        <v>101</v>
      </c>
      <c r="T216">
        <v>1</v>
      </c>
      <c r="U216" t="s">
        <v>93</v>
      </c>
      <c r="V216" t="s">
        <v>94</v>
      </c>
      <c r="W216">
        <v>1</v>
      </c>
      <c r="X216">
        <v>0</v>
      </c>
    </row>
    <row r="217" spans="2:24" x14ac:dyDescent="0.3">
      <c r="B217">
        <v>213</v>
      </c>
      <c r="C217" t="s">
        <v>8</v>
      </c>
      <c r="D217">
        <v>27</v>
      </c>
      <c r="E217" t="s">
        <v>121</v>
      </c>
      <c r="F217" t="s">
        <v>119</v>
      </c>
      <c r="G217">
        <v>5293</v>
      </c>
      <c r="H217" t="s">
        <v>96</v>
      </c>
      <c r="I217" t="s">
        <v>116</v>
      </c>
      <c r="J217">
        <v>2</v>
      </c>
      <c r="K217" t="s">
        <v>88</v>
      </c>
      <c r="L217" t="s">
        <v>89</v>
      </c>
      <c r="M217">
        <v>4</v>
      </c>
      <c r="N217" t="s">
        <v>104</v>
      </c>
      <c r="O217">
        <v>50</v>
      </c>
      <c r="P217" t="s">
        <v>125</v>
      </c>
      <c r="Q217" t="s">
        <v>91</v>
      </c>
      <c r="R217">
        <v>2</v>
      </c>
      <c r="S217" t="s">
        <v>92</v>
      </c>
      <c r="T217">
        <v>1</v>
      </c>
      <c r="U217" t="s">
        <v>93</v>
      </c>
      <c r="V217" t="s">
        <v>94</v>
      </c>
      <c r="W217">
        <v>2</v>
      </c>
      <c r="X217">
        <v>1</v>
      </c>
    </row>
    <row r="218" spans="2:24" x14ac:dyDescent="0.3">
      <c r="B218">
        <v>214</v>
      </c>
      <c r="C218" t="s">
        <v>11</v>
      </c>
      <c r="D218">
        <v>30</v>
      </c>
      <c r="E218" t="s">
        <v>106</v>
      </c>
      <c r="F218" t="s">
        <v>119</v>
      </c>
      <c r="G218">
        <v>1908</v>
      </c>
      <c r="H218" t="s">
        <v>96</v>
      </c>
      <c r="I218" t="s">
        <v>87</v>
      </c>
      <c r="J218">
        <v>4</v>
      </c>
      <c r="K218" t="s">
        <v>88</v>
      </c>
      <c r="L218" t="s">
        <v>89</v>
      </c>
      <c r="M218">
        <v>4</v>
      </c>
      <c r="N218" t="s">
        <v>90</v>
      </c>
      <c r="O218">
        <v>66</v>
      </c>
      <c r="P218" t="s">
        <v>89</v>
      </c>
      <c r="Q218" t="s">
        <v>91</v>
      </c>
      <c r="R218">
        <v>1</v>
      </c>
      <c r="S218" t="s">
        <v>113</v>
      </c>
      <c r="T218">
        <v>1</v>
      </c>
      <c r="U218" t="s">
        <v>93</v>
      </c>
      <c r="V218" t="s">
        <v>94</v>
      </c>
      <c r="W218">
        <v>2</v>
      </c>
      <c r="X218">
        <v>1</v>
      </c>
    </row>
    <row r="219" spans="2:24" x14ac:dyDescent="0.3">
      <c r="B219">
        <v>215</v>
      </c>
      <c r="C219" t="s">
        <v>12</v>
      </c>
      <c r="D219">
        <v>36</v>
      </c>
      <c r="E219" t="s">
        <v>84</v>
      </c>
      <c r="F219" t="s">
        <v>85</v>
      </c>
      <c r="G219">
        <v>3342</v>
      </c>
      <c r="H219" t="s">
        <v>86</v>
      </c>
      <c r="I219" t="s">
        <v>87</v>
      </c>
      <c r="J219">
        <v>4</v>
      </c>
      <c r="K219" t="s">
        <v>88</v>
      </c>
      <c r="L219" t="s">
        <v>89</v>
      </c>
      <c r="M219">
        <v>2</v>
      </c>
      <c r="N219" t="s">
        <v>111</v>
      </c>
      <c r="O219">
        <v>51</v>
      </c>
      <c r="P219" t="s">
        <v>89</v>
      </c>
      <c r="Q219" t="s">
        <v>91</v>
      </c>
      <c r="R219">
        <v>1</v>
      </c>
      <c r="S219" t="s">
        <v>92</v>
      </c>
      <c r="T219">
        <v>1</v>
      </c>
      <c r="U219" t="s">
        <v>93</v>
      </c>
      <c r="V219" t="s">
        <v>94</v>
      </c>
      <c r="W219">
        <v>1</v>
      </c>
      <c r="X219">
        <v>0</v>
      </c>
    </row>
    <row r="220" spans="2:24" x14ac:dyDescent="0.3">
      <c r="B220">
        <v>216</v>
      </c>
      <c r="C220" t="s">
        <v>10</v>
      </c>
      <c r="D220">
        <v>6</v>
      </c>
      <c r="E220" t="s">
        <v>84</v>
      </c>
      <c r="F220" t="s">
        <v>131</v>
      </c>
      <c r="G220">
        <v>932</v>
      </c>
      <c r="H220" t="s">
        <v>86</v>
      </c>
      <c r="I220" t="s">
        <v>100</v>
      </c>
      <c r="J220">
        <v>1</v>
      </c>
      <c r="K220" t="s">
        <v>98</v>
      </c>
      <c r="L220" t="s">
        <v>89</v>
      </c>
      <c r="M220">
        <v>3</v>
      </c>
      <c r="N220" t="s">
        <v>104</v>
      </c>
      <c r="O220">
        <v>39</v>
      </c>
      <c r="P220" t="s">
        <v>89</v>
      </c>
      <c r="Q220" t="s">
        <v>91</v>
      </c>
      <c r="R220">
        <v>2</v>
      </c>
      <c r="S220" t="s">
        <v>101</v>
      </c>
      <c r="T220">
        <v>1</v>
      </c>
      <c r="U220" t="s">
        <v>89</v>
      </c>
      <c r="V220" t="s">
        <v>94</v>
      </c>
      <c r="W220">
        <v>1</v>
      </c>
      <c r="X220">
        <v>0</v>
      </c>
    </row>
    <row r="221" spans="2:24" x14ac:dyDescent="0.3">
      <c r="B221">
        <v>217</v>
      </c>
      <c r="C221" t="s">
        <v>8</v>
      </c>
      <c r="D221">
        <v>18</v>
      </c>
      <c r="E221" t="s">
        <v>121</v>
      </c>
      <c r="F221" t="s">
        <v>119</v>
      </c>
      <c r="G221">
        <v>3104</v>
      </c>
      <c r="H221" t="s">
        <v>96</v>
      </c>
      <c r="I221" t="s">
        <v>100</v>
      </c>
      <c r="J221">
        <v>3</v>
      </c>
      <c r="K221" t="s">
        <v>88</v>
      </c>
      <c r="L221" t="s">
        <v>89</v>
      </c>
      <c r="M221">
        <v>1</v>
      </c>
      <c r="N221" t="s">
        <v>104</v>
      </c>
      <c r="O221">
        <v>31</v>
      </c>
      <c r="P221" t="s">
        <v>122</v>
      </c>
      <c r="Q221" t="s">
        <v>91</v>
      </c>
      <c r="R221">
        <v>1</v>
      </c>
      <c r="S221" t="s">
        <v>92</v>
      </c>
      <c r="T221">
        <v>1</v>
      </c>
      <c r="U221" t="s">
        <v>93</v>
      </c>
      <c r="V221" t="s">
        <v>94</v>
      </c>
      <c r="W221">
        <v>1</v>
      </c>
      <c r="X221">
        <v>0</v>
      </c>
    </row>
    <row r="222" spans="2:24" x14ac:dyDescent="0.3">
      <c r="B222">
        <v>218</v>
      </c>
      <c r="C222" t="s">
        <v>11</v>
      </c>
      <c r="D222">
        <v>36</v>
      </c>
      <c r="E222" t="s">
        <v>95</v>
      </c>
      <c r="F222" t="s">
        <v>85</v>
      </c>
      <c r="G222">
        <v>3913</v>
      </c>
      <c r="H222" t="s">
        <v>96</v>
      </c>
      <c r="I222" t="s">
        <v>97</v>
      </c>
      <c r="J222">
        <v>2</v>
      </c>
      <c r="K222" t="s">
        <v>88</v>
      </c>
      <c r="L222" t="s">
        <v>89</v>
      </c>
      <c r="M222">
        <v>2</v>
      </c>
      <c r="N222" t="s">
        <v>90</v>
      </c>
      <c r="O222">
        <v>23</v>
      </c>
      <c r="P222" t="s">
        <v>89</v>
      </c>
      <c r="Q222" t="s">
        <v>91</v>
      </c>
      <c r="R222">
        <v>1</v>
      </c>
      <c r="S222" t="s">
        <v>92</v>
      </c>
      <c r="T222">
        <v>1</v>
      </c>
      <c r="U222" t="s">
        <v>93</v>
      </c>
      <c r="V222" t="s">
        <v>94</v>
      </c>
      <c r="W222">
        <v>1</v>
      </c>
      <c r="X222">
        <v>0</v>
      </c>
    </row>
    <row r="223" spans="2:24" x14ac:dyDescent="0.3">
      <c r="B223">
        <v>219</v>
      </c>
      <c r="C223" t="s">
        <v>8</v>
      </c>
      <c r="D223">
        <v>24</v>
      </c>
      <c r="E223" t="s">
        <v>95</v>
      </c>
      <c r="F223" t="s">
        <v>102</v>
      </c>
      <c r="G223">
        <v>3021</v>
      </c>
      <c r="H223" t="s">
        <v>96</v>
      </c>
      <c r="I223" t="s">
        <v>97</v>
      </c>
      <c r="J223">
        <v>2</v>
      </c>
      <c r="K223" t="s">
        <v>115</v>
      </c>
      <c r="L223" t="s">
        <v>89</v>
      </c>
      <c r="M223">
        <v>2</v>
      </c>
      <c r="N223" t="s">
        <v>90</v>
      </c>
      <c r="O223">
        <v>24</v>
      </c>
      <c r="P223" t="s">
        <v>89</v>
      </c>
      <c r="Q223" t="s">
        <v>112</v>
      </c>
      <c r="R223">
        <v>1</v>
      </c>
      <c r="S223" t="s">
        <v>101</v>
      </c>
      <c r="T223">
        <v>1</v>
      </c>
      <c r="U223" t="s">
        <v>89</v>
      </c>
      <c r="V223" t="s">
        <v>94</v>
      </c>
      <c r="W223">
        <v>1</v>
      </c>
      <c r="X223">
        <v>0</v>
      </c>
    </row>
    <row r="224" spans="2:24" x14ac:dyDescent="0.3">
      <c r="B224">
        <v>220</v>
      </c>
      <c r="C224" t="s">
        <v>12</v>
      </c>
      <c r="D224">
        <v>10</v>
      </c>
      <c r="E224" t="s">
        <v>95</v>
      </c>
      <c r="F224" t="s">
        <v>107</v>
      </c>
      <c r="G224">
        <v>1364</v>
      </c>
      <c r="H224" t="s">
        <v>96</v>
      </c>
      <c r="I224" t="s">
        <v>97</v>
      </c>
      <c r="J224">
        <v>2</v>
      </c>
      <c r="K224" t="s">
        <v>98</v>
      </c>
      <c r="L224" t="s">
        <v>89</v>
      </c>
      <c r="M224">
        <v>4</v>
      </c>
      <c r="N224" t="s">
        <v>111</v>
      </c>
      <c r="O224">
        <v>64</v>
      </c>
      <c r="P224" t="s">
        <v>89</v>
      </c>
      <c r="Q224" t="s">
        <v>91</v>
      </c>
      <c r="R224">
        <v>1</v>
      </c>
      <c r="S224" t="s">
        <v>92</v>
      </c>
      <c r="T224">
        <v>1</v>
      </c>
      <c r="U224" t="s">
        <v>93</v>
      </c>
      <c r="V224" t="s">
        <v>94</v>
      </c>
      <c r="W224">
        <v>1</v>
      </c>
      <c r="X224">
        <v>0</v>
      </c>
    </row>
    <row r="225" spans="2:24" x14ac:dyDescent="0.3">
      <c r="B225">
        <v>221</v>
      </c>
      <c r="C225" t="s">
        <v>10</v>
      </c>
      <c r="D225">
        <v>12</v>
      </c>
      <c r="E225" t="s">
        <v>95</v>
      </c>
      <c r="F225" t="s">
        <v>85</v>
      </c>
      <c r="G225">
        <v>625</v>
      </c>
      <c r="H225" t="s">
        <v>96</v>
      </c>
      <c r="I225" t="s">
        <v>118</v>
      </c>
      <c r="J225">
        <v>4</v>
      </c>
      <c r="K225" t="s">
        <v>117</v>
      </c>
      <c r="L225" t="s">
        <v>103</v>
      </c>
      <c r="M225">
        <v>1</v>
      </c>
      <c r="N225" t="s">
        <v>90</v>
      </c>
      <c r="O225">
        <v>26</v>
      </c>
      <c r="P225" t="s">
        <v>122</v>
      </c>
      <c r="Q225" t="s">
        <v>91</v>
      </c>
      <c r="R225">
        <v>1</v>
      </c>
      <c r="S225" t="s">
        <v>101</v>
      </c>
      <c r="T225">
        <v>1</v>
      </c>
      <c r="U225" t="s">
        <v>89</v>
      </c>
      <c r="V225" t="s">
        <v>94</v>
      </c>
      <c r="W225">
        <v>1</v>
      </c>
      <c r="X225">
        <v>0</v>
      </c>
    </row>
    <row r="226" spans="2:24" x14ac:dyDescent="0.3">
      <c r="B226">
        <v>222</v>
      </c>
      <c r="C226" t="s">
        <v>8</v>
      </c>
      <c r="D226">
        <v>12</v>
      </c>
      <c r="E226" t="s">
        <v>95</v>
      </c>
      <c r="F226" t="s">
        <v>99</v>
      </c>
      <c r="G226">
        <v>1200</v>
      </c>
      <c r="H226" t="s">
        <v>86</v>
      </c>
      <c r="I226" t="s">
        <v>97</v>
      </c>
      <c r="J226">
        <v>4</v>
      </c>
      <c r="K226" t="s">
        <v>98</v>
      </c>
      <c r="L226" t="s">
        <v>89</v>
      </c>
      <c r="M226">
        <v>4</v>
      </c>
      <c r="N226" t="s">
        <v>104</v>
      </c>
      <c r="O226">
        <v>23</v>
      </c>
      <c r="P226" t="s">
        <v>122</v>
      </c>
      <c r="Q226" t="s">
        <v>112</v>
      </c>
      <c r="R226">
        <v>1</v>
      </c>
      <c r="S226" t="s">
        <v>92</v>
      </c>
      <c r="T226">
        <v>1</v>
      </c>
      <c r="U226" t="s">
        <v>93</v>
      </c>
      <c r="V226" t="s">
        <v>94</v>
      </c>
      <c r="W226">
        <v>1</v>
      </c>
      <c r="X226">
        <v>0</v>
      </c>
    </row>
    <row r="227" spans="2:24" x14ac:dyDescent="0.3">
      <c r="B227">
        <v>223</v>
      </c>
      <c r="C227" t="s">
        <v>12</v>
      </c>
      <c r="D227">
        <v>12</v>
      </c>
      <c r="E227" t="s">
        <v>95</v>
      </c>
      <c r="F227" t="s">
        <v>85</v>
      </c>
      <c r="G227">
        <v>707</v>
      </c>
      <c r="H227" t="s">
        <v>96</v>
      </c>
      <c r="I227" t="s">
        <v>97</v>
      </c>
      <c r="J227">
        <v>4</v>
      </c>
      <c r="K227" t="s">
        <v>88</v>
      </c>
      <c r="L227" t="s">
        <v>89</v>
      </c>
      <c r="M227">
        <v>2</v>
      </c>
      <c r="N227" t="s">
        <v>90</v>
      </c>
      <c r="O227">
        <v>30</v>
      </c>
      <c r="P227" t="s">
        <v>122</v>
      </c>
      <c r="Q227" t="s">
        <v>91</v>
      </c>
      <c r="R227">
        <v>2</v>
      </c>
      <c r="S227" t="s">
        <v>92</v>
      </c>
      <c r="T227">
        <v>1</v>
      </c>
      <c r="U227" t="s">
        <v>89</v>
      </c>
      <c r="V227" t="s">
        <v>94</v>
      </c>
      <c r="W227">
        <v>1</v>
      </c>
      <c r="X227">
        <v>0</v>
      </c>
    </row>
    <row r="228" spans="2:24" x14ac:dyDescent="0.3">
      <c r="B228">
        <v>224</v>
      </c>
      <c r="C228" t="s">
        <v>12</v>
      </c>
      <c r="D228">
        <v>24</v>
      </c>
      <c r="E228" t="s">
        <v>106</v>
      </c>
      <c r="F228" t="s">
        <v>119</v>
      </c>
      <c r="G228">
        <v>2978</v>
      </c>
      <c r="H228" t="s">
        <v>86</v>
      </c>
      <c r="I228" t="s">
        <v>97</v>
      </c>
      <c r="J228">
        <v>4</v>
      </c>
      <c r="K228" t="s">
        <v>88</v>
      </c>
      <c r="L228" t="s">
        <v>89</v>
      </c>
      <c r="M228">
        <v>4</v>
      </c>
      <c r="N228" t="s">
        <v>90</v>
      </c>
      <c r="O228">
        <v>32</v>
      </c>
      <c r="P228" t="s">
        <v>89</v>
      </c>
      <c r="Q228" t="s">
        <v>91</v>
      </c>
      <c r="R228">
        <v>2</v>
      </c>
      <c r="S228" t="s">
        <v>92</v>
      </c>
      <c r="T228">
        <v>2</v>
      </c>
      <c r="U228" t="s">
        <v>93</v>
      </c>
      <c r="V228" t="s">
        <v>94</v>
      </c>
      <c r="W228">
        <v>1</v>
      </c>
      <c r="X228">
        <v>0</v>
      </c>
    </row>
    <row r="229" spans="2:24" x14ac:dyDescent="0.3">
      <c r="B229">
        <v>225</v>
      </c>
      <c r="C229" t="s">
        <v>12</v>
      </c>
      <c r="D229">
        <v>15</v>
      </c>
      <c r="E229" t="s">
        <v>95</v>
      </c>
      <c r="F229" t="s">
        <v>110</v>
      </c>
      <c r="G229">
        <v>4657</v>
      </c>
      <c r="H229" t="s">
        <v>96</v>
      </c>
      <c r="I229" t="s">
        <v>97</v>
      </c>
      <c r="J229">
        <v>3</v>
      </c>
      <c r="K229" t="s">
        <v>88</v>
      </c>
      <c r="L229" t="s">
        <v>89</v>
      </c>
      <c r="M229">
        <v>2</v>
      </c>
      <c r="N229" t="s">
        <v>111</v>
      </c>
      <c r="O229">
        <v>30</v>
      </c>
      <c r="P229" t="s">
        <v>89</v>
      </c>
      <c r="Q229" t="s">
        <v>91</v>
      </c>
      <c r="R229">
        <v>1</v>
      </c>
      <c r="S229" t="s">
        <v>92</v>
      </c>
      <c r="T229">
        <v>1</v>
      </c>
      <c r="U229" t="s">
        <v>93</v>
      </c>
      <c r="V229" t="s">
        <v>94</v>
      </c>
      <c r="W229">
        <v>1</v>
      </c>
      <c r="X229">
        <v>0</v>
      </c>
    </row>
    <row r="230" spans="2:24" x14ac:dyDescent="0.3">
      <c r="B230">
        <v>226</v>
      </c>
      <c r="C230" t="s">
        <v>12</v>
      </c>
      <c r="D230">
        <v>36</v>
      </c>
      <c r="E230" t="s">
        <v>121</v>
      </c>
      <c r="F230" t="s">
        <v>128</v>
      </c>
      <c r="G230">
        <v>2613</v>
      </c>
      <c r="H230" t="s">
        <v>96</v>
      </c>
      <c r="I230" t="s">
        <v>97</v>
      </c>
      <c r="J230">
        <v>4</v>
      </c>
      <c r="K230" t="s">
        <v>88</v>
      </c>
      <c r="L230" t="s">
        <v>89</v>
      </c>
      <c r="M230">
        <v>2</v>
      </c>
      <c r="N230" t="s">
        <v>111</v>
      </c>
      <c r="O230">
        <v>27</v>
      </c>
      <c r="P230" t="s">
        <v>89</v>
      </c>
      <c r="Q230" t="s">
        <v>91</v>
      </c>
      <c r="R230">
        <v>2</v>
      </c>
      <c r="S230" t="s">
        <v>92</v>
      </c>
      <c r="T230">
        <v>1</v>
      </c>
      <c r="U230" t="s">
        <v>89</v>
      </c>
      <c r="V230" t="s">
        <v>94</v>
      </c>
      <c r="W230">
        <v>1</v>
      </c>
      <c r="X230">
        <v>0</v>
      </c>
    </row>
    <row r="231" spans="2:24" x14ac:dyDescent="0.3">
      <c r="B231">
        <v>227</v>
      </c>
      <c r="C231" t="s">
        <v>10</v>
      </c>
      <c r="D231">
        <v>48</v>
      </c>
      <c r="E231" t="s">
        <v>95</v>
      </c>
      <c r="F231" t="s">
        <v>85</v>
      </c>
      <c r="G231">
        <v>10961</v>
      </c>
      <c r="H231" t="s">
        <v>114</v>
      </c>
      <c r="I231" t="s">
        <v>100</v>
      </c>
      <c r="J231">
        <v>1</v>
      </c>
      <c r="K231" t="s">
        <v>88</v>
      </c>
      <c r="L231" t="s">
        <v>126</v>
      </c>
      <c r="M231">
        <v>2</v>
      </c>
      <c r="N231" t="s">
        <v>108</v>
      </c>
      <c r="O231">
        <v>27</v>
      </c>
      <c r="P231" t="s">
        <v>122</v>
      </c>
      <c r="Q231" t="s">
        <v>91</v>
      </c>
      <c r="R231">
        <v>2</v>
      </c>
      <c r="S231" t="s">
        <v>92</v>
      </c>
      <c r="T231">
        <v>1</v>
      </c>
      <c r="U231" t="s">
        <v>93</v>
      </c>
      <c r="V231" t="s">
        <v>94</v>
      </c>
      <c r="W231">
        <v>2</v>
      </c>
      <c r="X231">
        <v>1</v>
      </c>
    </row>
    <row r="232" spans="2:24" x14ac:dyDescent="0.3">
      <c r="B232">
        <v>228</v>
      </c>
      <c r="C232" t="s">
        <v>8</v>
      </c>
      <c r="D232">
        <v>12</v>
      </c>
      <c r="E232" t="s">
        <v>95</v>
      </c>
      <c r="F232" t="s">
        <v>102</v>
      </c>
      <c r="G232">
        <v>7865</v>
      </c>
      <c r="H232" t="s">
        <v>96</v>
      </c>
      <c r="I232" t="s">
        <v>87</v>
      </c>
      <c r="J232">
        <v>4</v>
      </c>
      <c r="K232" t="s">
        <v>88</v>
      </c>
      <c r="L232" t="s">
        <v>89</v>
      </c>
      <c r="M232">
        <v>4</v>
      </c>
      <c r="N232" t="s">
        <v>108</v>
      </c>
      <c r="O232">
        <v>53</v>
      </c>
      <c r="P232" t="s">
        <v>89</v>
      </c>
      <c r="Q232" t="s">
        <v>105</v>
      </c>
      <c r="R232">
        <v>1</v>
      </c>
      <c r="S232" t="s">
        <v>113</v>
      </c>
      <c r="T232">
        <v>1</v>
      </c>
      <c r="U232" t="s">
        <v>93</v>
      </c>
      <c r="V232" t="s">
        <v>94</v>
      </c>
      <c r="W232">
        <v>2</v>
      </c>
      <c r="X232">
        <v>1</v>
      </c>
    </row>
    <row r="233" spans="2:24" x14ac:dyDescent="0.3">
      <c r="B233">
        <v>229</v>
      </c>
      <c r="C233" t="s">
        <v>12</v>
      </c>
      <c r="D233">
        <v>9</v>
      </c>
      <c r="E233" t="s">
        <v>95</v>
      </c>
      <c r="F233" t="s">
        <v>85</v>
      </c>
      <c r="G233">
        <v>1478</v>
      </c>
      <c r="H233" t="s">
        <v>96</v>
      </c>
      <c r="I233" t="s">
        <v>100</v>
      </c>
      <c r="J233">
        <v>4</v>
      </c>
      <c r="K233" t="s">
        <v>88</v>
      </c>
      <c r="L233" t="s">
        <v>89</v>
      </c>
      <c r="M233">
        <v>2</v>
      </c>
      <c r="N233" t="s">
        <v>111</v>
      </c>
      <c r="O233">
        <v>22</v>
      </c>
      <c r="P233" t="s">
        <v>89</v>
      </c>
      <c r="Q233" t="s">
        <v>91</v>
      </c>
      <c r="R233">
        <v>1</v>
      </c>
      <c r="S233" t="s">
        <v>92</v>
      </c>
      <c r="T233">
        <v>1</v>
      </c>
      <c r="U233" t="s">
        <v>89</v>
      </c>
      <c r="V233" t="s">
        <v>94</v>
      </c>
      <c r="W233">
        <v>2</v>
      </c>
      <c r="X233">
        <v>1</v>
      </c>
    </row>
    <row r="234" spans="2:24" x14ac:dyDescent="0.3">
      <c r="B234">
        <v>230</v>
      </c>
      <c r="C234" t="s">
        <v>8</v>
      </c>
      <c r="D234">
        <v>24</v>
      </c>
      <c r="E234" t="s">
        <v>95</v>
      </c>
      <c r="F234" t="s">
        <v>102</v>
      </c>
      <c r="G234">
        <v>3149</v>
      </c>
      <c r="H234" t="s">
        <v>96</v>
      </c>
      <c r="I234" t="s">
        <v>118</v>
      </c>
      <c r="J234">
        <v>4</v>
      </c>
      <c r="K234" t="s">
        <v>88</v>
      </c>
      <c r="L234" t="s">
        <v>89</v>
      </c>
      <c r="M234">
        <v>1</v>
      </c>
      <c r="N234" t="s">
        <v>108</v>
      </c>
      <c r="O234">
        <v>22</v>
      </c>
      <c r="P234" t="s">
        <v>122</v>
      </c>
      <c r="Q234" t="s">
        <v>105</v>
      </c>
      <c r="R234">
        <v>1</v>
      </c>
      <c r="S234" t="s">
        <v>92</v>
      </c>
      <c r="T234">
        <v>1</v>
      </c>
      <c r="U234" t="s">
        <v>89</v>
      </c>
      <c r="V234" t="s">
        <v>94</v>
      </c>
      <c r="W234">
        <v>1</v>
      </c>
      <c r="X234">
        <v>0</v>
      </c>
    </row>
    <row r="235" spans="2:24" x14ac:dyDescent="0.3">
      <c r="B235">
        <v>231</v>
      </c>
      <c r="C235" t="s">
        <v>11</v>
      </c>
      <c r="D235">
        <v>36</v>
      </c>
      <c r="E235" t="s">
        <v>95</v>
      </c>
      <c r="F235" t="s">
        <v>85</v>
      </c>
      <c r="G235">
        <v>4210</v>
      </c>
      <c r="H235" t="s">
        <v>96</v>
      </c>
      <c r="I235" t="s">
        <v>97</v>
      </c>
      <c r="J235">
        <v>4</v>
      </c>
      <c r="K235" t="s">
        <v>88</v>
      </c>
      <c r="L235" t="s">
        <v>89</v>
      </c>
      <c r="M235">
        <v>2</v>
      </c>
      <c r="N235" t="s">
        <v>111</v>
      </c>
      <c r="O235">
        <v>26</v>
      </c>
      <c r="P235" t="s">
        <v>89</v>
      </c>
      <c r="Q235" t="s">
        <v>91</v>
      </c>
      <c r="R235">
        <v>1</v>
      </c>
      <c r="S235" t="s">
        <v>92</v>
      </c>
      <c r="T235">
        <v>1</v>
      </c>
      <c r="U235" t="s">
        <v>89</v>
      </c>
      <c r="V235" t="s">
        <v>94</v>
      </c>
      <c r="W235">
        <v>2</v>
      </c>
      <c r="X235">
        <v>1</v>
      </c>
    </row>
    <row r="236" spans="2:24" x14ac:dyDescent="0.3">
      <c r="B236">
        <v>232</v>
      </c>
      <c r="C236" t="s">
        <v>12</v>
      </c>
      <c r="D236">
        <v>9</v>
      </c>
      <c r="E236" t="s">
        <v>95</v>
      </c>
      <c r="F236" t="s">
        <v>107</v>
      </c>
      <c r="G236">
        <v>2507</v>
      </c>
      <c r="H236" t="s">
        <v>109</v>
      </c>
      <c r="I236" t="s">
        <v>87</v>
      </c>
      <c r="J236">
        <v>2</v>
      </c>
      <c r="K236" t="s">
        <v>88</v>
      </c>
      <c r="L236" t="s">
        <v>89</v>
      </c>
      <c r="M236">
        <v>4</v>
      </c>
      <c r="N236" t="s">
        <v>108</v>
      </c>
      <c r="O236">
        <v>51</v>
      </c>
      <c r="P236" t="s">
        <v>89</v>
      </c>
      <c r="Q236" t="s">
        <v>105</v>
      </c>
      <c r="R236">
        <v>1</v>
      </c>
      <c r="S236" t="s">
        <v>101</v>
      </c>
      <c r="T236">
        <v>1</v>
      </c>
      <c r="U236" t="s">
        <v>89</v>
      </c>
      <c r="V236" t="s">
        <v>94</v>
      </c>
      <c r="W236">
        <v>1</v>
      </c>
      <c r="X236">
        <v>0</v>
      </c>
    </row>
    <row r="237" spans="2:24" x14ac:dyDescent="0.3">
      <c r="B237">
        <v>233</v>
      </c>
      <c r="C237" t="s">
        <v>12</v>
      </c>
      <c r="D237">
        <v>12</v>
      </c>
      <c r="E237" t="s">
        <v>95</v>
      </c>
      <c r="F237" t="s">
        <v>85</v>
      </c>
      <c r="G237">
        <v>2141</v>
      </c>
      <c r="H237" t="s">
        <v>120</v>
      </c>
      <c r="I237" t="s">
        <v>100</v>
      </c>
      <c r="J237">
        <v>3</v>
      </c>
      <c r="K237" t="s">
        <v>88</v>
      </c>
      <c r="L237" t="s">
        <v>89</v>
      </c>
      <c r="M237">
        <v>1</v>
      </c>
      <c r="N237" t="s">
        <v>108</v>
      </c>
      <c r="O237">
        <v>35</v>
      </c>
      <c r="P237" t="s">
        <v>89</v>
      </c>
      <c r="Q237" t="s">
        <v>91</v>
      </c>
      <c r="R237">
        <v>1</v>
      </c>
      <c r="S237" t="s">
        <v>92</v>
      </c>
      <c r="T237">
        <v>1</v>
      </c>
      <c r="U237" t="s">
        <v>89</v>
      </c>
      <c r="V237" t="s">
        <v>94</v>
      </c>
      <c r="W237">
        <v>1</v>
      </c>
      <c r="X237">
        <v>0</v>
      </c>
    </row>
    <row r="238" spans="2:24" x14ac:dyDescent="0.3">
      <c r="B238">
        <v>234</v>
      </c>
      <c r="C238" t="s">
        <v>10</v>
      </c>
      <c r="D238">
        <v>18</v>
      </c>
      <c r="E238" t="s">
        <v>95</v>
      </c>
      <c r="F238" t="s">
        <v>85</v>
      </c>
      <c r="G238">
        <v>866</v>
      </c>
      <c r="H238" t="s">
        <v>96</v>
      </c>
      <c r="I238" t="s">
        <v>97</v>
      </c>
      <c r="J238">
        <v>4</v>
      </c>
      <c r="K238" t="s">
        <v>117</v>
      </c>
      <c r="L238" t="s">
        <v>103</v>
      </c>
      <c r="M238">
        <v>2</v>
      </c>
      <c r="N238" t="s">
        <v>90</v>
      </c>
      <c r="O238">
        <v>25</v>
      </c>
      <c r="P238" t="s">
        <v>89</v>
      </c>
      <c r="Q238" t="s">
        <v>91</v>
      </c>
      <c r="R238">
        <v>1</v>
      </c>
      <c r="S238" t="s">
        <v>101</v>
      </c>
      <c r="T238">
        <v>1</v>
      </c>
      <c r="U238" t="s">
        <v>89</v>
      </c>
      <c r="V238" t="s">
        <v>94</v>
      </c>
      <c r="W238">
        <v>1</v>
      </c>
      <c r="X238">
        <v>0</v>
      </c>
    </row>
    <row r="239" spans="2:24" x14ac:dyDescent="0.3">
      <c r="B239">
        <v>235</v>
      </c>
      <c r="C239" t="s">
        <v>12</v>
      </c>
      <c r="D239">
        <v>4</v>
      </c>
      <c r="E239" t="s">
        <v>84</v>
      </c>
      <c r="F239" t="s">
        <v>85</v>
      </c>
      <c r="G239">
        <v>1544</v>
      </c>
      <c r="H239" t="s">
        <v>96</v>
      </c>
      <c r="I239" t="s">
        <v>100</v>
      </c>
      <c r="J239">
        <v>2</v>
      </c>
      <c r="K239" t="s">
        <v>88</v>
      </c>
      <c r="L239" t="s">
        <v>89</v>
      </c>
      <c r="M239">
        <v>1</v>
      </c>
      <c r="N239" t="s">
        <v>90</v>
      </c>
      <c r="O239">
        <v>42</v>
      </c>
      <c r="P239" t="s">
        <v>89</v>
      </c>
      <c r="Q239" t="s">
        <v>91</v>
      </c>
      <c r="R239">
        <v>3</v>
      </c>
      <c r="S239" t="s">
        <v>101</v>
      </c>
      <c r="T239">
        <v>2</v>
      </c>
      <c r="U239" t="s">
        <v>89</v>
      </c>
      <c r="V239" t="s">
        <v>94</v>
      </c>
      <c r="W239">
        <v>1</v>
      </c>
      <c r="X239">
        <v>0</v>
      </c>
    </row>
    <row r="240" spans="2:24" x14ac:dyDescent="0.3">
      <c r="B240">
        <v>236</v>
      </c>
      <c r="C240" t="s">
        <v>8</v>
      </c>
      <c r="D240">
        <v>24</v>
      </c>
      <c r="E240" t="s">
        <v>95</v>
      </c>
      <c r="F240" t="s">
        <v>85</v>
      </c>
      <c r="G240">
        <v>1823</v>
      </c>
      <c r="H240" t="s">
        <v>96</v>
      </c>
      <c r="I240" t="s">
        <v>116</v>
      </c>
      <c r="J240">
        <v>4</v>
      </c>
      <c r="K240" t="s">
        <v>88</v>
      </c>
      <c r="L240" t="s">
        <v>89</v>
      </c>
      <c r="M240">
        <v>2</v>
      </c>
      <c r="N240" t="s">
        <v>111</v>
      </c>
      <c r="O240">
        <v>30</v>
      </c>
      <c r="P240" t="s">
        <v>125</v>
      </c>
      <c r="Q240" t="s">
        <v>91</v>
      </c>
      <c r="R240">
        <v>1</v>
      </c>
      <c r="S240" t="s">
        <v>113</v>
      </c>
      <c r="T240">
        <v>2</v>
      </c>
      <c r="U240" t="s">
        <v>89</v>
      </c>
      <c r="V240" t="s">
        <v>94</v>
      </c>
      <c r="W240">
        <v>2</v>
      </c>
      <c r="X240">
        <v>1</v>
      </c>
    </row>
    <row r="241" spans="2:24" x14ac:dyDescent="0.3">
      <c r="B241">
        <v>237</v>
      </c>
      <c r="C241" t="s">
        <v>10</v>
      </c>
      <c r="D241">
        <v>6</v>
      </c>
      <c r="E241" t="s">
        <v>95</v>
      </c>
      <c r="F241" t="s">
        <v>107</v>
      </c>
      <c r="G241">
        <v>14555</v>
      </c>
      <c r="H241" t="s">
        <v>86</v>
      </c>
      <c r="I241" t="s">
        <v>116</v>
      </c>
      <c r="J241">
        <v>1</v>
      </c>
      <c r="K241" t="s">
        <v>88</v>
      </c>
      <c r="L241" t="s">
        <v>89</v>
      </c>
      <c r="M241">
        <v>2</v>
      </c>
      <c r="N241" t="s">
        <v>104</v>
      </c>
      <c r="O241">
        <v>23</v>
      </c>
      <c r="P241" t="s">
        <v>89</v>
      </c>
      <c r="Q241" t="s">
        <v>91</v>
      </c>
      <c r="R241">
        <v>1</v>
      </c>
      <c r="S241" t="s">
        <v>129</v>
      </c>
      <c r="T241">
        <v>1</v>
      </c>
      <c r="U241" t="s">
        <v>93</v>
      </c>
      <c r="V241" t="s">
        <v>94</v>
      </c>
      <c r="W241">
        <v>2</v>
      </c>
      <c r="X241">
        <v>1</v>
      </c>
    </row>
    <row r="242" spans="2:24" x14ac:dyDescent="0.3">
      <c r="B242">
        <v>238</v>
      </c>
      <c r="C242" t="s">
        <v>10</v>
      </c>
      <c r="D242">
        <v>21</v>
      </c>
      <c r="E242" t="s">
        <v>95</v>
      </c>
      <c r="F242" t="s">
        <v>119</v>
      </c>
      <c r="G242">
        <v>2767</v>
      </c>
      <c r="H242" t="s">
        <v>120</v>
      </c>
      <c r="I242" t="s">
        <v>87</v>
      </c>
      <c r="J242">
        <v>4</v>
      </c>
      <c r="K242" t="s">
        <v>115</v>
      </c>
      <c r="L242" t="s">
        <v>89</v>
      </c>
      <c r="M242">
        <v>2</v>
      </c>
      <c r="N242" t="s">
        <v>111</v>
      </c>
      <c r="O242">
        <v>61</v>
      </c>
      <c r="P242" t="s">
        <v>122</v>
      </c>
      <c r="Q242" t="s">
        <v>112</v>
      </c>
      <c r="R242">
        <v>2</v>
      </c>
      <c r="S242" t="s">
        <v>101</v>
      </c>
      <c r="T242">
        <v>1</v>
      </c>
      <c r="U242" t="s">
        <v>89</v>
      </c>
      <c r="V242" t="s">
        <v>94</v>
      </c>
      <c r="W242">
        <v>2</v>
      </c>
      <c r="X242">
        <v>1</v>
      </c>
    </row>
    <row r="243" spans="2:24" x14ac:dyDescent="0.3">
      <c r="B243">
        <v>239</v>
      </c>
      <c r="C243" t="s">
        <v>12</v>
      </c>
      <c r="D243">
        <v>12</v>
      </c>
      <c r="E243" t="s">
        <v>84</v>
      </c>
      <c r="F243" t="s">
        <v>85</v>
      </c>
      <c r="G243">
        <v>1291</v>
      </c>
      <c r="H243" t="s">
        <v>96</v>
      </c>
      <c r="I243" t="s">
        <v>97</v>
      </c>
      <c r="J243">
        <v>4</v>
      </c>
      <c r="K243" t="s">
        <v>98</v>
      </c>
      <c r="L243" t="s">
        <v>89</v>
      </c>
      <c r="M243">
        <v>2</v>
      </c>
      <c r="N243" t="s">
        <v>104</v>
      </c>
      <c r="O243">
        <v>35</v>
      </c>
      <c r="P243" t="s">
        <v>89</v>
      </c>
      <c r="Q243" t="s">
        <v>91</v>
      </c>
      <c r="R243">
        <v>2</v>
      </c>
      <c r="S243" t="s">
        <v>92</v>
      </c>
      <c r="T243">
        <v>1</v>
      </c>
      <c r="U243" t="s">
        <v>89</v>
      </c>
      <c r="V243" t="s">
        <v>94</v>
      </c>
      <c r="W243">
        <v>1</v>
      </c>
      <c r="X243">
        <v>0</v>
      </c>
    </row>
    <row r="244" spans="2:24" x14ac:dyDescent="0.3">
      <c r="B244">
        <v>240</v>
      </c>
      <c r="C244" t="s">
        <v>8</v>
      </c>
      <c r="D244">
        <v>30</v>
      </c>
      <c r="E244" t="s">
        <v>95</v>
      </c>
      <c r="F244" t="s">
        <v>85</v>
      </c>
      <c r="G244">
        <v>2522</v>
      </c>
      <c r="H244" t="s">
        <v>96</v>
      </c>
      <c r="I244" t="s">
        <v>87</v>
      </c>
      <c r="J244">
        <v>1</v>
      </c>
      <c r="K244" t="s">
        <v>88</v>
      </c>
      <c r="L244" t="s">
        <v>103</v>
      </c>
      <c r="M244">
        <v>3</v>
      </c>
      <c r="N244" t="s">
        <v>104</v>
      </c>
      <c r="O244">
        <v>39</v>
      </c>
      <c r="P244" t="s">
        <v>89</v>
      </c>
      <c r="Q244" t="s">
        <v>91</v>
      </c>
      <c r="R244">
        <v>1</v>
      </c>
      <c r="S244" t="s">
        <v>92</v>
      </c>
      <c r="T244">
        <v>2</v>
      </c>
      <c r="U244" t="s">
        <v>89</v>
      </c>
      <c r="V244" t="s">
        <v>94</v>
      </c>
      <c r="W244">
        <v>1</v>
      </c>
      <c r="X244">
        <v>0</v>
      </c>
    </row>
    <row r="245" spans="2:24" x14ac:dyDescent="0.3">
      <c r="B245">
        <v>241</v>
      </c>
      <c r="C245" t="s">
        <v>8</v>
      </c>
      <c r="D245">
        <v>24</v>
      </c>
      <c r="E245" t="s">
        <v>95</v>
      </c>
      <c r="F245" t="s">
        <v>107</v>
      </c>
      <c r="G245">
        <v>915</v>
      </c>
      <c r="H245" t="s">
        <v>86</v>
      </c>
      <c r="I245" t="s">
        <v>87</v>
      </c>
      <c r="J245">
        <v>4</v>
      </c>
      <c r="K245" t="s">
        <v>98</v>
      </c>
      <c r="L245" t="s">
        <v>89</v>
      </c>
      <c r="M245">
        <v>2</v>
      </c>
      <c r="N245" t="s">
        <v>111</v>
      </c>
      <c r="O245">
        <v>29</v>
      </c>
      <c r="P245" t="s">
        <v>122</v>
      </c>
      <c r="Q245" t="s">
        <v>91</v>
      </c>
      <c r="R245">
        <v>1</v>
      </c>
      <c r="S245" t="s">
        <v>92</v>
      </c>
      <c r="T245">
        <v>1</v>
      </c>
      <c r="U245" t="s">
        <v>89</v>
      </c>
      <c r="V245" t="s">
        <v>94</v>
      </c>
      <c r="W245">
        <v>2</v>
      </c>
      <c r="X245">
        <v>1</v>
      </c>
    </row>
    <row r="246" spans="2:24" x14ac:dyDescent="0.3">
      <c r="B246">
        <v>242</v>
      </c>
      <c r="C246" t="s">
        <v>12</v>
      </c>
      <c r="D246">
        <v>6</v>
      </c>
      <c r="E246" t="s">
        <v>95</v>
      </c>
      <c r="F246" t="s">
        <v>85</v>
      </c>
      <c r="G246">
        <v>1595</v>
      </c>
      <c r="H246" t="s">
        <v>96</v>
      </c>
      <c r="I246" t="s">
        <v>100</v>
      </c>
      <c r="J246">
        <v>3</v>
      </c>
      <c r="K246" t="s">
        <v>88</v>
      </c>
      <c r="L246" t="s">
        <v>89</v>
      </c>
      <c r="M246">
        <v>2</v>
      </c>
      <c r="N246" t="s">
        <v>104</v>
      </c>
      <c r="O246">
        <v>51</v>
      </c>
      <c r="P246" t="s">
        <v>89</v>
      </c>
      <c r="Q246" t="s">
        <v>91</v>
      </c>
      <c r="R246">
        <v>1</v>
      </c>
      <c r="S246" t="s">
        <v>92</v>
      </c>
      <c r="T246">
        <v>2</v>
      </c>
      <c r="U246" t="s">
        <v>89</v>
      </c>
      <c r="V246" t="s">
        <v>94</v>
      </c>
      <c r="W246">
        <v>1</v>
      </c>
      <c r="X246">
        <v>0</v>
      </c>
    </row>
    <row r="247" spans="2:24" x14ac:dyDescent="0.3">
      <c r="B247">
        <v>243</v>
      </c>
      <c r="C247" t="s">
        <v>8</v>
      </c>
      <c r="D247">
        <v>48</v>
      </c>
      <c r="E247" t="s">
        <v>121</v>
      </c>
      <c r="F247" t="s">
        <v>110</v>
      </c>
      <c r="G247">
        <v>4605</v>
      </c>
      <c r="H247" t="s">
        <v>96</v>
      </c>
      <c r="I247" t="s">
        <v>87</v>
      </c>
      <c r="J247">
        <v>3</v>
      </c>
      <c r="K247" t="s">
        <v>88</v>
      </c>
      <c r="L247" t="s">
        <v>89</v>
      </c>
      <c r="M247">
        <v>4</v>
      </c>
      <c r="N247" t="s">
        <v>108</v>
      </c>
      <c r="O247">
        <v>24</v>
      </c>
      <c r="P247" t="s">
        <v>89</v>
      </c>
      <c r="Q247" t="s">
        <v>105</v>
      </c>
      <c r="R247">
        <v>2</v>
      </c>
      <c r="S247" t="s">
        <v>92</v>
      </c>
      <c r="T247">
        <v>2</v>
      </c>
      <c r="U247" t="s">
        <v>89</v>
      </c>
      <c r="V247" t="s">
        <v>94</v>
      </c>
      <c r="W247">
        <v>2</v>
      </c>
      <c r="X247">
        <v>1</v>
      </c>
    </row>
    <row r="248" spans="2:24" x14ac:dyDescent="0.3">
      <c r="B248">
        <v>244</v>
      </c>
      <c r="C248" t="s">
        <v>12</v>
      </c>
      <c r="D248">
        <v>12</v>
      </c>
      <c r="E248" t="s">
        <v>84</v>
      </c>
      <c r="F248" t="s">
        <v>119</v>
      </c>
      <c r="G248">
        <v>1185</v>
      </c>
      <c r="H248" t="s">
        <v>96</v>
      </c>
      <c r="I248" t="s">
        <v>97</v>
      </c>
      <c r="J248">
        <v>3</v>
      </c>
      <c r="K248" t="s">
        <v>98</v>
      </c>
      <c r="L248" t="s">
        <v>89</v>
      </c>
      <c r="M248">
        <v>2</v>
      </c>
      <c r="N248" t="s">
        <v>90</v>
      </c>
      <c r="O248">
        <v>27</v>
      </c>
      <c r="P248" t="s">
        <v>89</v>
      </c>
      <c r="Q248" t="s">
        <v>91</v>
      </c>
      <c r="R248">
        <v>2</v>
      </c>
      <c r="S248" t="s">
        <v>92</v>
      </c>
      <c r="T248">
        <v>1</v>
      </c>
      <c r="U248" t="s">
        <v>89</v>
      </c>
      <c r="V248" t="s">
        <v>94</v>
      </c>
      <c r="W248">
        <v>1</v>
      </c>
      <c r="X248">
        <v>0</v>
      </c>
    </row>
    <row r="249" spans="2:24" x14ac:dyDescent="0.3">
      <c r="B249">
        <v>245</v>
      </c>
      <c r="C249" t="s">
        <v>12</v>
      </c>
      <c r="D249">
        <v>12</v>
      </c>
      <c r="E249" t="s">
        <v>124</v>
      </c>
      <c r="F249" t="s">
        <v>131</v>
      </c>
      <c r="G249">
        <v>3447</v>
      </c>
      <c r="H249" t="s">
        <v>109</v>
      </c>
      <c r="I249" t="s">
        <v>97</v>
      </c>
      <c r="J249">
        <v>4</v>
      </c>
      <c r="K249" t="s">
        <v>98</v>
      </c>
      <c r="L249" t="s">
        <v>89</v>
      </c>
      <c r="M249">
        <v>3</v>
      </c>
      <c r="N249" t="s">
        <v>90</v>
      </c>
      <c r="O249">
        <v>35</v>
      </c>
      <c r="P249" t="s">
        <v>89</v>
      </c>
      <c r="Q249" t="s">
        <v>91</v>
      </c>
      <c r="R249">
        <v>1</v>
      </c>
      <c r="S249" t="s">
        <v>101</v>
      </c>
      <c r="T249">
        <v>2</v>
      </c>
      <c r="U249" t="s">
        <v>89</v>
      </c>
      <c r="V249" t="s">
        <v>94</v>
      </c>
      <c r="W249">
        <v>1</v>
      </c>
      <c r="X249">
        <v>0</v>
      </c>
    </row>
    <row r="250" spans="2:24" x14ac:dyDescent="0.3">
      <c r="B250">
        <v>246</v>
      </c>
      <c r="C250" t="s">
        <v>12</v>
      </c>
      <c r="D250">
        <v>24</v>
      </c>
      <c r="E250" t="s">
        <v>95</v>
      </c>
      <c r="F250" t="s">
        <v>119</v>
      </c>
      <c r="G250">
        <v>1258</v>
      </c>
      <c r="H250" t="s">
        <v>96</v>
      </c>
      <c r="I250" t="s">
        <v>100</v>
      </c>
      <c r="J250">
        <v>4</v>
      </c>
      <c r="K250" t="s">
        <v>88</v>
      </c>
      <c r="L250" t="s">
        <v>89</v>
      </c>
      <c r="M250">
        <v>1</v>
      </c>
      <c r="N250" t="s">
        <v>90</v>
      </c>
      <c r="O250">
        <v>25</v>
      </c>
      <c r="P250" t="s">
        <v>89</v>
      </c>
      <c r="Q250" t="s">
        <v>91</v>
      </c>
      <c r="R250">
        <v>1</v>
      </c>
      <c r="S250" t="s">
        <v>92</v>
      </c>
      <c r="T250">
        <v>1</v>
      </c>
      <c r="U250" t="s">
        <v>93</v>
      </c>
      <c r="V250" t="s">
        <v>94</v>
      </c>
      <c r="W250">
        <v>1</v>
      </c>
      <c r="X250">
        <v>0</v>
      </c>
    </row>
    <row r="251" spans="2:24" x14ac:dyDescent="0.3">
      <c r="B251">
        <v>247</v>
      </c>
      <c r="C251" t="s">
        <v>12</v>
      </c>
      <c r="D251">
        <v>12</v>
      </c>
      <c r="E251" t="s">
        <v>84</v>
      </c>
      <c r="F251" t="s">
        <v>85</v>
      </c>
      <c r="G251">
        <v>717</v>
      </c>
      <c r="H251" t="s">
        <v>96</v>
      </c>
      <c r="I251" t="s">
        <v>87</v>
      </c>
      <c r="J251">
        <v>4</v>
      </c>
      <c r="K251" t="s">
        <v>88</v>
      </c>
      <c r="L251" t="s">
        <v>89</v>
      </c>
      <c r="M251">
        <v>4</v>
      </c>
      <c r="N251" t="s">
        <v>90</v>
      </c>
      <c r="O251">
        <v>52</v>
      </c>
      <c r="P251" t="s">
        <v>89</v>
      </c>
      <c r="Q251" t="s">
        <v>91</v>
      </c>
      <c r="R251">
        <v>3</v>
      </c>
      <c r="S251" t="s">
        <v>92</v>
      </c>
      <c r="T251">
        <v>1</v>
      </c>
      <c r="U251" t="s">
        <v>89</v>
      </c>
      <c r="V251" t="s">
        <v>94</v>
      </c>
      <c r="W251">
        <v>1</v>
      </c>
      <c r="X251">
        <v>0</v>
      </c>
    </row>
    <row r="252" spans="2:24" x14ac:dyDescent="0.3">
      <c r="B252">
        <v>248</v>
      </c>
      <c r="C252" t="s">
        <v>12</v>
      </c>
      <c r="D252">
        <v>6</v>
      </c>
      <c r="E252" t="s">
        <v>121</v>
      </c>
      <c r="F252" t="s">
        <v>107</v>
      </c>
      <c r="G252">
        <v>1204</v>
      </c>
      <c r="H252" t="s">
        <v>120</v>
      </c>
      <c r="I252" t="s">
        <v>97</v>
      </c>
      <c r="J252">
        <v>4</v>
      </c>
      <c r="K252" t="s">
        <v>88</v>
      </c>
      <c r="L252" t="s">
        <v>89</v>
      </c>
      <c r="M252">
        <v>1</v>
      </c>
      <c r="N252" t="s">
        <v>108</v>
      </c>
      <c r="O252">
        <v>35</v>
      </c>
      <c r="P252" t="s">
        <v>122</v>
      </c>
      <c r="Q252" t="s">
        <v>112</v>
      </c>
      <c r="R252">
        <v>1</v>
      </c>
      <c r="S252" t="s">
        <v>92</v>
      </c>
      <c r="T252">
        <v>1</v>
      </c>
      <c r="U252" t="s">
        <v>89</v>
      </c>
      <c r="V252" t="s">
        <v>123</v>
      </c>
      <c r="W252">
        <v>1</v>
      </c>
      <c r="X252">
        <v>0</v>
      </c>
    </row>
    <row r="253" spans="2:24" x14ac:dyDescent="0.3">
      <c r="B253">
        <v>249</v>
      </c>
      <c r="C253" t="s">
        <v>11</v>
      </c>
      <c r="D253">
        <v>24</v>
      </c>
      <c r="E253" t="s">
        <v>95</v>
      </c>
      <c r="F253" t="s">
        <v>102</v>
      </c>
      <c r="G253">
        <v>1925</v>
      </c>
      <c r="H253" t="s">
        <v>96</v>
      </c>
      <c r="I253" t="s">
        <v>97</v>
      </c>
      <c r="J253">
        <v>2</v>
      </c>
      <c r="K253" t="s">
        <v>88</v>
      </c>
      <c r="L253" t="s">
        <v>89</v>
      </c>
      <c r="M253">
        <v>2</v>
      </c>
      <c r="N253" t="s">
        <v>90</v>
      </c>
      <c r="O253">
        <v>26</v>
      </c>
      <c r="P253" t="s">
        <v>89</v>
      </c>
      <c r="Q253" t="s">
        <v>91</v>
      </c>
      <c r="R253">
        <v>1</v>
      </c>
      <c r="S253" t="s">
        <v>92</v>
      </c>
      <c r="T253">
        <v>1</v>
      </c>
      <c r="U253" t="s">
        <v>89</v>
      </c>
      <c r="V253" t="s">
        <v>94</v>
      </c>
      <c r="W253">
        <v>1</v>
      </c>
      <c r="X253">
        <v>0</v>
      </c>
    </row>
    <row r="254" spans="2:24" x14ac:dyDescent="0.3">
      <c r="B254">
        <v>250</v>
      </c>
      <c r="C254" t="s">
        <v>12</v>
      </c>
      <c r="D254">
        <v>18</v>
      </c>
      <c r="E254" t="s">
        <v>95</v>
      </c>
      <c r="F254" t="s">
        <v>85</v>
      </c>
      <c r="G254">
        <v>433</v>
      </c>
      <c r="H254" t="s">
        <v>96</v>
      </c>
      <c r="I254" t="s">
        <v>116</v>
      </c>
      <c r="J254">
        <v>3</v>
      </c>
      <c r="K254" t="s">
        <v>98</v>
      </c>
      <c r="L254" t="s">
        <v>126</v>
      </c>
      <c r="M254">
        <v>4</v>
      </c>
      <c r="N254" t="s">
        <v>90</v>
      </c>
      <c r="O254">
        <v>22</v>
      </c>
      <c r="P254" t="s">
        <v>89</v>
      </c>
      <c r="Q254" t="s">
        <v>112</v>
      </c>
      <c r="R254">
        <v>1</v>
      </c>
      <c r="S254" t="s">
        <v>92</v>
      </c>
      <c r="T254">
        <v>1</v>
      </c>
      <c r="U254" t="s">
        <v>89</v>
      </c>
      <c r="V254" t="s">
        <v>94</v>
      </c>
      <c r="W254">
        <v>2</v>
      </c>
      <c r="X254">
        <v>1</v>
      </c>
    </row>
    <row r="255" spans="2:24" x14ac:dyDescent="0.3">
      <c r="B255">
        <v>251</v>
      </c>
      <c r="C255" t="s">
        <v>8</v>
      </c>
      <c r="D255">
        <v>6</v>
      </c>
      <c r="E255" t="s">
        <v>84</v>
      </c>
      <c r="F255" t="s">
        <v>107</v>
      </c>
      <c r="G255">
        <v>666</v>
      </c>
      <c r="H255" t="s">
        <v>114</v>
      </c>
      <c r="I255" t="s">
        <v>100</v>
      </c>
      <c r="J255">
        <v>3</v>
      </c>
      <c r="K255" t="s">
        <v>98</v>
      </c>
      <c r="L255" t="s">
        <v>89</v>
      </c>
      <c r="M255">
        <v>4</v>
      </c>
      <c r="N255" t="s">
        <v>90</v>
      </c>
      <c r="O255">
        <v>39</v>
      </c>
      <c r="P255" t="s">
        <v>89</v>
      </c>
      <c r="Q255" t="s">
        <v>91</v>
      </c>
      <c r="R255">
        <v>2</v>
      </c>
      <c r="S255" t="s">
        <v>101</v>
      </c>
      <c r="T255">
        <v>1</v>
      </c>
      <c r="U255" t="s">
        <v>93</v>
      </c>
      <c r="V255" t="s">
        <v>94</v>
      </c>
      <c r="W255">
        <v>1</v>
      </c>
      <c r="X255">
        <v>0</v>
      </c>
    </row>
    <row r="256" spans="2:24" x14ac:dyDescent="0.3">
      <c r="B256">
        <v>252</v>
      </c>
      <c r="C256" t="s">
        <v>11</v>
      </c>
      <c r="D256">
        <v>12</v>
      </c>
      <c r="E256" t="s">
        <v>95</v>
      </c>
      <c r="F256" t="s">
        <v>102</v>
      </c>
      <c r="G256">
        <v>2251</v>
      </c>
      <c r="H256" t="s">
        <v>96</v>
      </c>
      <c r="I256" t="s">
        <v>97</v>
      </c>
      <c r="J256">
        <v>1</v>
      </c>
      <c r="K256" t="s">
        <v>98</v>
      </c>
      <c r="L256" t="s">
        <v>89</v>
      </c>
      <c r="M256">
        <v>2</v>
      </c>
      <c r="N256" t="s">
        <v>111</v>
      </c>
      <c r="O256">
        <v>46</v>
      </c>
      <c r="P256" t="s">
        <v>89</v>
      </c>
      <c r="Q256" t="s">
        <v>91</v>
      </c>
      <c r="R256">
        <v>1</v>
      </c>
      <c r="S256" t="s">
        <v>101</v>
      </c>
      <c r="T256">
        <v>1</v>
      </c>
      <c r="U256" t="s">
        <v>89</v>
      </c>
      <c r="V256" t="s">
        <v>94</v>
      </c>
      <c r="W256">
        <v>1</v>
      </c>
      <c r="X256">
        <v>0</v>
      </c>
    </row>
    <row r="257" spans="2:24" x14ac:dyDescent="0.3">
      <c r="B257">
        <v>253</v>
      </c>
      <c r="C257" t="s">
        <v>10</v>
      </c>
      <c r="D257">
        <v>30</v>
      </c>
      <c r="E257" t="s">
        <v>95</v>
      </c>
      <c r="F257" t="s">
        <v>107</v>
      </c>
      <c r="G257">
        <v>2150</v>
      </c>
      <c r="H257" t="s">
        <v>96</v>
      </c>
      <c r="I257" t="s">
        <v>97</v>
      </c>
      <c r="J257">
        <v>4</v>
      </c>
      <c r="K257" t="s">
        <v>98</v>
      </c>
      <c r="L257" t="s">
        <v>103</v>
      </c>
      <c r="M257">
        <v>2</v>
      </c>
      <c r="N257" t="s">
        <v>108</v>
      </c>
      <c r="O257">
        <v>24</v>
      </c>
      <c r="P257" t="s">
        <v>122</v>
      </c>
      <c r="Q257" t="s">
        <v>91</v>
      </c>
      <c r="R257">
        <v>1</v>
      </c>
      <c r="S257" t="s">
        <v>92</v>
      </c>
      <c r="T257">
        <v>1</v>
      </c>
      <c r="U257" t="s">
        <v>89</v>
      </c>
      <c r="V257" t="s">
        <v>94</v>
      </c>
      <c r="W257">
        <v>2</v>
      </c>
      <c r="X257">
        <v>1</v>
      </c>
    </row>
    <row r="258" spans="2:24" x14ac:dyDescent="0.3">
      <c r="B258">
        <v>254</v>
      </c>
      <c r="C258" t="s">
        <v>12</v>
      </c>
      <c r="D258">
        <v>24</v>
      </c>
      <c r="E258" t="s">
        <v>106</v>
      </c>
      <c r="F258" t="s">
        <v>102</v>
      </c>
      <c r="G258">
        <v>4151</v>
      </c>
      <c r="H258" t="s">
        <v>120</v>
      </c>
      <c r="I258" t="s">
        <v>97</v>
      </c>
      <c r="J258">
        <v>2</v>
      </c>
      <c r="K258" t="s">
        <v>88</v>
      </c>
      <c r="L258" t="s">
        <v>89</v>
      </c>
      <c r="M258">
        <v>3</v>
      </c>
      <c r="N258" t="s">
        <v>104</v>
      </c>
      <c r="O258">
        <v>35</v>
      </c>
      <c r="P258" t="s">
        <v>89</v>
      </c>
      <c r="Q258" t="s">
        <v>91</v>
      </c>
      <c r="R258">
        <v>2</v>
      </c>
      <c r="S258" t="s">
        <v>92</v>
      </c>
      <c r="T258">
        <v>1</v>
      </c>
      <c r="U258" t="s">
        <v>89</v>
      </c>
      <c r="V258" t="s">
        <v>94</v>
      </c>
      <c r="W258">
        <v>1</v>
      </c>
      <c r="X258">
        <v>0</v>
      </c>
    </row>
    <row r="259" spans="2:24" x14ac:dyDescent="0.3">
      <c r="B259">
        <v>255</v>
      </c>
      <c r="C259" t="s">
        <v>10</v>
      </c>
      <c r="D259">
        <v>9</v>
      </c>
      <c r="E259" t="s">
        <v>95</v>
      </c>
      <c r="F259" t="s">
        <v>102</v>
      </c>
      <c r="G259">
        <v>2030</v>
      </c>
      <c r="H259" t="s">
        <v>86</v>
      </c>
      <c r="I259" t="s">
        <v>100</v>
      </c>
      <c r="J259">
        <v>2</v>
      </c>
      <c r="K259" t="s">
        <v>88</v>
      </c>
      <c r="L259" t="s">
        <v>89</v>
      </c>
      <c r="M259">
        <v>1</v>
      </c>
      <c r="N259" t="s">
        <v>111</v>
      </c>
      <c r="O259">
        <v>24</v>
      </c>
      <c r="P259" t="s">
        <v>89</v>
      </c>
      <c r="Q259" t="s">
        <v>91</v>
      </c>
      <c r="R259">
        <v>1</v>
      </c>
      <c r="S259" t="s">
        <v>92</v>
      </c>
      <c r="T259">
        <v>1</v>
      </c>
      <c r="U259" t="s">
        <v>93</v>
      </c>
      <c r="V259" t="s">
        <v>94</v>
      </c>
      <c r="W259">
        <v>1</v>
      </c>
      <c r="X259">
        <v>0</v>
      </c>
    </row>
    <row r="260" spans="2:24" x14ac:dyDescent="0.3">
      <c r="B260">
        <v>256</v>
      </c>
      <c r="C260" t="s">
        <v>10</v>
      </c>
      <c r="D260">
        <v>60</v>
      </c>
      <c r="E260" t="s">
        <v>106</v>
      </c>
      <c r="F260" t="s">
        <v>85</v>
      </c>
      <c r="G260">
        <v>7418</v>
      </c>
      <c r="H260" t="s">
        <v>86</v>
      </c>
      <c r="I260" t="s">
        <v>97</v>
      </c>
      <c r="J260">
        <v>1</v>
      </c>
      <c r="K260" t="s">
        <v>88</v>
      </c>
      <c r="L260" t="s">
        <v>89</v>
      </c>
      <c r="M260">
        <v>1</v>
      </c>
      <c r="N260" t="s">
        <v>90</v>
      </c>
      <c r="O260">
        <v>27</v>
      </c>
      <c r="P260" t="s">
        <v>89</v>
      </c>
      <c r="Q260" t="s">
        <v>91</v>
      </c>
      <c r="R260">
        <v>1</v>
      </c>
      <c r="S260" t="s">
        <v>101</v>
      </c>
      <c r="T260">
        <v>1</v>
      </c>
      <c r="U260" t="s">
        <v>89</v>
      </c>
      <c r="V260" t="s">
        <v>94</v>
      </c>
      <c r="W260">
        <v>1</v>
      </c>
      <c r="X260">
        <v>0</v>
      </c>
    </row>
    <row r="261" spans="2:24" x14ac:dyDescent="0.3">
      <c r="B261">
        <v>257</v>
      </c>
      <c r="C261" t="s">
        <v>12</v>
      </c>
      <c r="D261">
        <v>24</v>
      </c>
      <c r="E261" t="s">
        <v>84</v>
      </c>
      <c r="F261" t="s">
        <v>85</v>
      </c>
      <c r="G261">
        <v>2684</v>
      </c>
      <c r="H261" t="s">
        <v>96</v>
      </c>
      <c r="I261" t="s">
        <v>97</v>
      </c>
      <c r="J261">
        <v>4</v>
      </c>
      <c r="K261" t="s">
        <v>88</v>
      </c>
      <c r="L261" t="s">
        <v>89</v>
      </c>
      <c r="M261">
        <v>2</v>
      </c>
      <c r="N261" t="s">
        <v>90</v>
      </c>
      <c r="O261">
        <v>35</v>
      </c>
      <c r="P261" t="s">
        <v>89</v>
      </c>
      <c r="Q261" t="s">
        <v>91</v>
      </c>
      <c r="R261">
        <v>2</v>
      </c>
      <c r="S261" t="s">
        <v>101</v>
      </c>
      <c r="T261">
        <v>1</v>
      </c>
      <c r="U261" t="s">
        <v>89</v>
      </c>
      <c r="V261" t="s">
        <v>94</v>
      </c>
      <c r="W261">
        <v>1</v>
      </c>
      <c r="X261">
        <v>0</v>
      </c>
    </row>
    <row r="262" spans="2:24" x14ac:dyDescent="0.3">
      <c r="B262">
        <v>258</v>
      </c>
      <c r="C262" t="s">
        <v>8</v>
      </c>
      <c r="D262">
        <v>12</v>
      </c>
      <c r="E262" t="s">
        <v>124</v>
      </c>
      <c r="F262" t="s">
        <v>85</v>
      </c>
      <c r="G262">
        <v>2149</v>
      </c>
      <c r="H262" t="s">
        <v>96</v>
      </c>
      <c r="I262" t="s">
        <v>97</v>
      </c>
      <c r="J262">
        <v>4</v>
      </c>
      <c r="K262" t="s">
        <v>115</v>
      </c>
      <c r="L262" t="s">
        <v>89</v>
      </c>
      <c r="M262">
        <v>1</v>
      </c>
      <c r="N262" t="s">
        <v>108</v>
      </c>
      <c r="O262">
        <v>29</v>
      </c>
      <c r="P262" t="s">
        <v>89</v>
      </c>
      <c r="Q262" t="s">
        <v>105</v>
      </c>
      <c r="R262">
        <v>1</v>
      </c>
      <c r="S262" t="s">
        <v>92</v>
      </c>
      <c r="T262">
        <v>1</v>
      </c>
      <c r="U262" t="s">
        <v>89</v>
      </c>
      <c r="V262" t="s">
        <v>94</v>
      </c>
      <c r="W262">
        <v>2</v>
      </c>
      <c r="X262">
        <v>1</v>
      </c>
    </row>
    <row r="263" spans="2:24" x14ac:dyDescent="0.3">
      <c r="B263">
        <v>259</v>
      </c>
      <c r="C263" t="s">
        <v>12</v>
      </c>
      <c r="D263">
        <v>15</v>
      </c>
      <c r="E263" t="s">
        <v>95</v>
      </c>
      <c r="F263" t="s">
        <v>110</v>
      </c>
      <c r="G263">
        <v>3812</v>
      </c>
      <c r="H263" t="s">
        <v>120</v>
      </c>
      <c r="I263" t="s">
        <v>118</v>
      </c>
      <c r="J263">
        <v>1</v>
      </c>
      <c r="K263" t="s">
        <v>98</v>
      </c>
      <c r="L263" t="s">
        <v>89</v>
      </c>
      <c r="M263">
        <v>4</v>
      </c>
      <c r="N263" t="s">
        <v>111</v>
      </c>
      <c r="O263">
        <v>23</v>
      </c>
      <c r="P263" t="s">
        <v>89</v>
      </c>
      <c r="Q263" t="s">
        <v>91</v>
      </c>
      <c r="R263">
        <v>1</v>
      </c>
      <c r="S263" t="s">
        <v>92</v>
      </c>
      <c r="T263">
        <v>1</v>
      </c>
      <c r="U263" t="s">
        <v>93</v>
      </c>
      <c r="V263" t="s">
        <v>94</v>
      </c>
      <c r="W263">
        <v>1</v>
      </c>
      <c r="X263">
        <v>0</v>
      </c>
    </row>
    <row r="264" spans="2:24" x14ac:dyDescent="0.3">
      <c r="B264">
        <v>260</v>
      </c>
      <c r="C264" t="s">
        <v>12</v>
      </c>
      <c r="D264">
        <v>11</v>
      </c>
      <c r="E264" t="s">
        <v>84</v>
      </c>
      <c r="F264" t="s">
        <v>85</v>
      </c>
      <c r="G264">
        <v>1154</v>
      </c>
      <c r="H264" t="s">
        <v>120</v>
      </c>
      <c r="I264" t="s">
        <v>116</v>
      </c>
      <c r="J264">
        <v>4</v>
      </c>
      <c r="K264" t="s">
        <v>98</v>
      </c>
      <c r="L264" t="s">
        <v>89</v>
      </c>
      <c r="M264">
        <v>4</v>
      </c>
      <c r="N264" t="s">
        <v>90</v>
      </c>
      <c r="O264">
        <v>57</v>
      </c>
      <c r="P264" t="s">
        <v>89</v>
      </c>
      <c r="Q264" t="s">
        <v>91</v>
      </c>
      <c r="R264">
        <v>3</v>
      </c>
      <c r="S264" t="s">
        <v>101</v>
      </c>
      <c r="T264">
        <v>1</v>
      </c>
      <c r="U264" t="s">
        <v>89</v>
      </c>
      <c r="V264" t="s">
        <v>94</v>
      </c>
      <c r="W264">
        <v>1</v>
      </c>
      <c r="X264">
        <v>0</v>
      </c>
    </row>
    <row r="265" spans="2:24" x14ac:dyDescent="0.3">
      <c r="B265">
        <v>261</v>
      </c>
      <c r="C265" t="s">
        <v>8</v>
      </c>
      <c r="D265">
        <v>12</v>
      </c>
      <c r="E265" t="s">
        <v>95</v>
      </c>
      <c r="F265" t="s">
        <v>102</v>
      </c>
      <c r="G265">
        <v>1657</v>
      </c>
      <c r="H265" t="s">
        <v>96</v>
      </c>
      <c r="I265" t="s">
        <v>97</v>
      </c>
      <c r="J265">
        <v>2</v>
      </c>
      <c r="K265" t="s">
        <v>88</v>
      </c>
      <c r="L265" t="s">
        <v>89</v>
      </c>
      <c r="M265">
        <v>2</v>
      </c>
      <c r="N265" t="s">
        <v>90</v>
      </c>
      <c r="O265">
        <v>27</v>
      </c>
      <c r="P265" t="s">
        <v>89</v>
      </c>
      <c r="Q265" t="s">
        <v>91</v>
      </c>
      <c r="R265">
        <v>1</v>
      </c>
      <c r="S265" t="s">
        <v>92</v>
      </c>
      <c r="T265">
        <v>1</v>
      </c>
      <c r="U265" t="s">
        <v>89</v>
      </c>
      <c r="V265" t="s">
        <v>94</v>
      </c>
      <c r="W265">
        <v>1</v>
      </c>
      <c r="X265">
        <v>0</v>
      </c>
    </row>
    <row r="266" spans="2:24" x14ac:dyDescent="0.3">
      <c r="B266">
        <v>262</v>
      </c>
      <c r="C266" t="s">
        <v>8</v>
      </c>
      <c r="D266">
        <v>24</v>
      </c>
      <c r="E266" t="s">
        <v>95</v>
      </c>
      <c r="F266" t="s">
        <v>85</v>
      </c>
      <c r="G266">
        <v>1603</v>
      </c>
      <c r="H266" t="s">
        <v>96</v>
      </c>
      <c r="I266" t="s">
        <v>87</v>
      </c>
      <c r="J266">
        <v>4</v>
      </c>
      <c r="K266" t="s">
        <v>98</v>
      </c>
      <c r="L266" t="s">
        <v>89</v>
      </c>
      <c r="M266">
        <v>4</v>
      </c>
      <c r="N266" t="s">
        <v>111</v>
      </c>
      <c r="O266">
        <v>55</v>
      </c>
      <c r="P266" t="s">
        <v>89</v>
      </c>
      <c r="Q266" t="s">
        <v>91</v>
      </c>
      <c r="R266">
        <v>1</v>
      </c>
      <c r="S266" t="s">
        <v>92</v>
      </c>
      <c r="T266">
        <v>1</v>
      </c>
      <c r="U266" t="s">
        <v>89</v>
      </c>
      <c r="V266" t="s">
        <v>94</v>
      </c>
      <c r="W266">
        <v>1</v>
      </c>
      <c r="X266">
        <v>0</v>
      </c>
    </row>
    <row r="267" spans="2:24" x14ac:dyDescent="0.3">
      <c r="B267">
        <v>263</v>
      </c>
      <c r="C267" t="s">
        <v>8</v>
      </c>
      <c r="D267">
        <v>18</v>
      </c>
      <c r="E267" t="s">
        <v>84</v>
      </c>
      <c r="F267" t="s">
        <v>107</v>
      </c>
      <c r="G267">
        <v>5302</v>
      </c>
      <c r="H267" t="s">
        <v>96</v>
      </c>
      <c r="I267" t="s">
        <v>87</v>
      </c>
      <c r="J267">
        <v>2</v>
      </c>
      <c r="K267" t="s">
        <v>88</v>
      </c>
      <c r="L267" t="s">
        <v>89</v>
      </c>
      <c r="M267">
        <v>4</v>
      </c>
      <c r="N267" t="s">
        <v>108</v>
      </c>
      <c r="O267">
        <v>36</v>
      </c>
      <c r="P267" t="s">
        <v>89</v>
      </c>
      <c r="Q267" t="s">
        <v>105</v>
      </c>
      <c r="R267">
        <v>3</v>
      </c>
      <c r="S267" t="s">
        <v>113</v>
      </c>
      <c r="T267">
        <v>1</v>
      </c>
      <c r="U267" t="s">
        <v>93</v>
      </c>
      <c r="V267" t="s">
        <v>94</v>
      </c>
      <c r="W267">
        <v>1</v>
      </c>
      <c r="X267">
        <v>0</v>
      </c>
    </row>
    <row r="268" spans="2:24" x14ac:dyDescent="0.3">
      <c r="B268">
        <v>264</v>
      </c>
      <c r="C268" t="s">
        <v>12</v>
      </c>
      <c r="D268">
        <v>12</v>
      </c>
      <c r="E268" t="s">
        <v>84</v>
      </c>
      <c r="F268" t="s">
        <v>99</v>
      </c>
      <c r="G268">
        <v>2748</v>
      </c>
      <c r="H268" t="s">
        <v>96</v>
      </c>
      <c r="I268" t="s">
        <v>87</v>
      </c>
      <c r="J268">
        <v>2</v>
      </c>
      <c r="K268" t="s">
        <v>98</v>
      </c>
      <c r="L268" t="s">
        <v>89</v>
      </c>
      <c r="M268">
        <v>4</v>
      </c>
      <c r="N268" t="s">
        <v>108</v>
      </c>
      <c r="O268">
        <v>57</v>
      </c>
      <c r="P268" t="s">
        <v>122</v>
      </c>
      <c r="Q268" t="s">
        <v>105</v>
      </c>
      <c r="R268">
        <v>3</v>
      </c>
      <c r="S268" t="s">
        <v>101</v>
      </c>
      <c r="T268">
        <v>1</v>
      </c>
      <c r="U268" t="s">
        <v>89</v>
      </c>
      <c r="V268" t="s">
        <v>94</v>
      </c>
      <c r="W268">
        <v>1</v>
      </c>
      <c r="X268">
        <v>0</v>
      </c>
    </row>
    <row r="269" spans="2:24" x14ac:dyDescent="0.3">
      <c r="B269">
        <v>265</v>
      </c>
      <c r="C269" t="s">
        <v>12</v>
      </c>
      <c r="D269">
        <v>10</v>
      </c>
      <c r="E269" t="s">
        <v>84</v>
      </c>
      <c r="F269" t="s">
        <v>107</v>
      </c>
      <c r="G269">
        <v>1231</v>
      </c>
      <c r="H269" t="s">
        <v>96</v>
      </c>
      <c r="I269" t="s">
        <v>87</v>
      </c>
      <c r="J269">
        <v>3</v>
      </c>
      <c r="K269" t="s">
        <v>88</v>
      </c>
      <c r="L269" t="s">
        <v>89</v>
      </c>
      <c r="M269">
        <v>4</v>
      </c>
      <c r="N269" t="s">
        <v>90</v>
      </c>
      <c r="O269">
        <v>32</v>
      </c>
      <c r="P269" t="s">
        <v>89</v>
      </c>
      <c r="Q269" t="s">
        <v>91</v>
      </c>
      <c r="R269">
        <v>2</v>
      </c>
      <c r="S269" t="s">
        <v>101</v>
      </c>
      <c r="T269">
        <v>2</v>
      </c>
      <c r="U269" t="s">
        <v>89</v>
      </c>
      <c r="V269" t="s">
        <v>123</v>
      </c>
      <c r="W269">
        <v>1</v>
      </c>
      <c r="X269">
        <v>0</v>
      </c>
    </row>
    <row r="270" spans="2:24" x14ac:dyDescent="0.3">
      <c r="B270">
        <v>266</v>
      </c>
      <c r="C270" t="s">
        <v>10</v>
      </c>
      <c r="D270">
        <v>15</v>
      </c>
      <c r="E270" t="s">
        <v>95</v>
      </c>
      <c r="F270" t="s">
        <v>85</v>
      </c>
      <c r="G270">
        <v>802</v>
      </c>
      <c r="H270" t="s">
        <v>96</v>
      </c>
      <c r="I270" t="s">
        <v>87</v>
      </c>
      <c r="J270">
        <v>4</v>
      </c>
      <c r="K270" t="s">
        <v>88</v>
      </c>
      <c r="L270" t="s">
        <v>89</v>
      </c>
      <c r="M270">
        <v>3</v>
      </c>
      <c r="N270" t="s">
        <v>111</v>
      </c>
      <c r="O270">
        <v>37</v>
      </c>
      <c r="P270" t="s">
        <v>89</v>
      </c>
      <c r="Q270" t="s">
        <v>91</v>
      </c>
      <c r="R270">
        <v>1</v>
      </c>
      <c r="S270" t="s">
        <v>92</v>
      </c>
      <c r="T270">
        <v>2</v>
      </c>
      <c r="U270" t="s">
        <v>89</v>
      </c>
      <c r="V270" t="s">
        <v>94</v>
      </c>
      <c r="W270">
        <v>2</v>
      </c>
      <c r="X270">
        <v>1</v>
      </c>
    </row>
    <row r="271" spans="2:24" x14ac:dyDescent="0.3">
      <c r="B271">
        <v>267</v>
      </c>
      <c r="C271" t="s">
        <v>12</v>
      </c>
      <c r="D271">
        <v>36</v>
      </c>
      <c r="E271" t="s">
        <v>84</v>
      </c>
      <c r="F271" t="s">
        <v>119</v>
      </c>
      <c r="G271">
        <v>6304</v>
      </c>
      <c r="H271" t="s">
        <v>86</v>
      </c>
      <c r="I271" t="s">
        <v>87</v>
      </c>
      <c r="J271">
        <v>4</v>
      </c>
      <c r="K271" t="s">
        <v>88</v>
      </c>
      <c r="L271" t="s">
        <v>89</v>
      </c>
      <c r="M271">
        <v>4</v>
      </c>
      <c r="N271" t="s">
        <v>90</v>
      </c>
      <c r="O271">
        <v>36</v>
      </c>
      <c r="P271" t="s">
        <v>89</v>
      </c>
      <c r="Q271" t="s">
        <v>91</v>
      </c>
      <c r="R271">
        <v>2</v>
      </c>
      <c r="S271" t="s">
        <v>92</v>
      </c>
      <c r="T271">
        <v>1</v>
      </c>
      <c r="U271" t="s">
        <v>89</v>
      </c>
      <c r="V271" t="s">
        <v>94</v>
      </c>
      <c r="W271">
        <v>1</v>
      </c>
      <c r="X271">
        <v>0</v>
      </c>
    </row>
    <row r="272" spans="2:24" x14ac:dyDescent="0.3">
      <c r="B272">
        <v>268</v>
      </c>
      <c r="C272" t="s">
        <v>12</v>
      </c>
      <c r="D272">
        <v>24</v>
      </c>
      <c r="E272" t="s">
        <v>95</v>
      </c>
      <c r="F272" t="s">
        <v>85</v>
      </c>
      <c r="G272">
        <v>1533</v>
      </c>
      <c r="H272" t="s">
        <v>96</v>
      </c>
      <c r="I272" t="s">
        <v>118</v>
      </c>
      <c r="J272">
        <v>4</v>
      </c>
      <c r="K272" t="s">
        <v>98</v>
      </c>
      <c r="L272" t="s">
        <v>89</v>
      </c>
      <c r="M272">
        <v>3</v>
      </c>
      <c r="N272" t="s">
        <v>111</v>
      </c>
      <c r="O272">
        <v>38</v>
      </c>
      <c r="P272" t="s">
        <v>125</v>
      </c>
      <c r="Q272" t="s">
        <v>91</v>
      </c>
      <c r="R272">
        <v>1</v>
      </c>
      <c r="S272" t="s">
        <v>92</v>
      </c>
      <c r="T272">
        <v>1</v>
      </c>
      <c r="U272" t="s">
        <v>93</v>
      </c>
      <c r="V272" t="s">
        <v>94</v>
      </c>
      <c r="W272">
        <v>1</v>
      </c>
      <c r="X272">
        <v>0</v>
      </c>
    </row>
    <row r="273" spans="2:24" x14ac:dyDescent="0.3">
      <c r="B273">
        <v>269</v>
      </c>
      <c r="C273" t="s">
        <v>8</v>
      </c>
      <c r="D273">
        <v>14</v>
      </c>
      <c r="E273" t="s">
        <v>95</v>
      </c>
      <c r="F273" t="s">
        <v>107</v>
      </c>
      <c r="G273">
        <v>8978</v>
      </c>
      <c r="H273" t="s">
        <v>96</v>
      </c>
      <c r="I273" t="s">
        <v>87</v>
      </c>
      <c r="J273">
        <v>1</v>
      </c>
      <c r="K273" t="s">
        <v>115</v>
      </c>
      <c r="L273" t="s">
        <v>89</v>
      </c>
      <c r="M273">
        <v>4</v>
      </c>
      <c r="N273" t="s">
        <v>104</v>
      </c>
      <c r="O273">
        <v>45</v>
      </c>
      <c r="P273" t="s">
        <v>89</v>
      </c>
      <c r="Q273" t="s">
        <v>91</v>
      </c>
      <c r="R273">
        <v>1</v>
      </c>
      <c r="S273" t="s">
        <v>113</v>
      </c>
      <c r="T273">
        <v>1</v>
      </c>
      <c r="U273" t="s">
        <v>93</v>
      </c>
      <c r="V273" t="s">
        <v>123</v>
      </c>
      <c r="W273">
        <v>2</v>
      </c>
      <c r="X273">
        <v>1</v>
      </c>
    </row>
    <row r="274" spans="2:24" x14ac:dyDescent="0.3">
      <c r="B274">
        <v>270</v>
      </c>
      <c r="C274" t="s">
        <v>12</v>
      </c>
      <c r="D274">
        <v>24</v>
      </c>
      <c r="E274" t="s">
        <v>95</v>
      </c>
      <c r="F274" t="s">
        <v>85</v>
      </c>
      <c r="G274">
        <v>999</v>
      </c>
      <c r="H274" t="s">
        <v>86</v>
      </c>
      <c r="I274" t="s">
        <v>87</v>
      </c>
      <c r="J274">
        <v>4</v>
      </c>
      <c r="K274" t="s">
        <v>88</v>
      </c>
      <c r="L274" t="s">
        <v>89</v>
      </c>
      <c r="M274">
        <v>2</v>
      </c>
      <c r="N274" t="s">
        <v>111</v>
      </c>
      <c r="O274">
        <v>25</v>
      </c>
      <c r="P274" t="s">
        <v>89</v>
      </c>
      <c r="Q274" t="s">
        <v>91</v>
      </c>
      <c r="R274">
        <v>2</v>
      </c>
      <c r="S274" t="s">
        <v>92</v>
      </c>
      <c r="T274">
        <v>1</v>
      </c>
      <c r="U274" t="s">
        <v>89</v>
      </c>
      <c r="V274" t="s">
        <v>94</v>
      </c>
      <c r="W274">
        <v>1</v>
      </c>
      <c r="X274">
        <v>0</v>
      </c>
    </row>
    <row r="275" spans="2:24" x14ac:dyDescent="0.3">
      <c r="B275">
        <v>271</v>
      </c>
      <c r="C275" t="s">
        <v>12</v>
      </c>
      <c r="D275">
        <v>18</v>
      </c>
      <c r="E275" t="s">
        <v>95</v>
      </c>
      <c r="F275" t="s">
        <v>107</v>
      </c>
      <c r="G275">
        <v>2662</v>
      </c>
      <c r="H275" t="s">
        <v>86</v>
      </c>
      <c r="I275" t="s">
        <v>100</v>
      </c>
      <c r="J275">
        <v>4</v>
      </c>
      <c r="K275" t="s">
        <v>88</v>
      </c>
      <c r="L275" t="s">
        <v>89</v>
      </c>
      <c r="M275">
        <v>3</v>
      </c>
      <c r="N275" t="s">
        <v>104</v>
      </c>
      <c r="O275">
        <v>32</v>
      </c>
      <c r="P275" t="s">
        <v>89</v>
      </c>
      <c r="Q275" t="s">
        <v>91</v>
      </c>
      <c r="R275">
        <v>1</v>
      </c>
      <c r="S275" t="s">
        <v>92</v>
      </c>
      <c r="T275">
        <v>1</v>
      </c>
      <c r="U275" t="s">
        <v>89</v>
      </c>
      <c r="V275" t="s">
        <v>123</v>
      </c>
      <c r="W275">
        <v>1</v>
      </c>
      <c r="X275">
        <v>0</v>
      </c>
    </row>
    <row r="276" spans="2:24" x14ac:dyDescent="0.3">
      <c r="B276">
        <v>272</v>
      </c>
      <c r="C276" t="s">
        <v>12</v>
      </c>
      <c r="D276">
        <v>12</v>
      </c>
      <c r="E276" t="s">
        <v>84</v>
      </c>
      <c r="F276" t="s">
        <v>102</v>
      </c>
      <c r="G276">
        <v>1402</v>
      </c>
      <c r="H276" t="s">
        <v>109</v>
      </c>
      <c r="I276" t="s">
        <v>100</v>
      </c>
      <c r="J276">
        <v>3</v>
      </c>
      <c r="K276" t="s">
        <v>98</v>
      </c>
      <c r="L276" t="s">
        <v>89</v>
      </c>
      <c r="M276">
        <v>4</v>
      </c>
      <c r="N276" t="s">
        <v>111</v>
      </c>
      <c r="O276">
        <v>37</v>
      </c>
      <c r="P276" t="s">
        <v>89</v>
      </c>
      <c r="Q276" t="s">
        <v>112</v>
      </c>
      <c r="R276">
        <v>1</v>
      </c>
      <c r="S276" t="s">
        <v>92</v>
      </c>
      <c r="T276">
        <v>1</v>
      </c>
      <c r="U276" t="s">
        <v>93</v>
      </c>
      <c r="V276" t="s">
        <v>94</v>
      </c>
      <c r="W276">
        <v>1</v>
      </c>
      <c r="X276">
        <v>0</v>
      </c>
    </row>
    <row r="277" spans="2:24" x14ac:dyDescent="0.3">
      <c r="B277">
        <v>273</v>
      </c>
      <c r="C277" t="s">
        <v>10</v>
      </c>
      <c r="D277">
        <v>48</v>
      </c>
      <c r="E277" t="s">
        <v>124</v>
      </c>
      <c r="F277" t="s">
        <v>107</v>
      </c>
      <c r="G277">
        <v>12169</v>
      </c>
      <c r="H277" t="s">
        <v>86</v>
      </c>
      <c r="I277" t="s">
        <v>116</v>
      </c>
      <c r="J277">
        <v>4</v>
      </c>
      <c r="K277" t="s">
        <v>88</v>
      </c>
      <c r="L277" t="s">
        <v>126</v>
      </c>
      <c r="M277">
        <v>4</v>
      </c>
      <c r="N277" t="s">
        <v>108</v>
      </c>
      <c r="O277">
        <v>36</v>
      </c>
      <c r="P277" t="s">
        <v>89</v>
      </c>
      <c r="Q277" t="s">
        <v>105</v>
      </c>
      <c r="R277">
        <v>1</v>
      </c>
      <c r="S277" t="s">
        <v>113</v>
      </c>
      <c r="T277">
        <v>1</v>
      </c>
      <c r="U277" t="s">
        <v>93</v>
      </c>
      <c r="V277" t="s">
        <v>94</v>
      </c>
      <c r="W277">
        <v>1</v>
      </c>
      <c r="X277">
        <v>0</v>
      </c>
    </row>
    <row r="278" spans="2:24" x14ac:dyDescent="0.3">
      <c r="B278">
        <v>274</v>
      </c>
      <c r="C278" t="s">
        <v>10</v>
      </c>
      <c r="D278">
        <v>48</v>
      </c>
      <c r="E278" t="s">
        <v>95</v>
      </c>
      <c r="F278" t="s">
        <v>85</v>
      </c>
      <c r="G278">
        <v>3060</v>
      </c>
      <c r="H278" t="s">
        <v>96</v>
      </c>
      <c r="I278" t="s">
        <v>100</v>
      </c>
      <c r="J278">
        <v>4</v>
      </c>
      <c r="K278" t="s">
        <v>88</v>
      </c>
      <c r="L278" t="s">
        <v>89</v>
      </c>
      <c r="M278">
        <v>4</v>
      </c>
      <c r="N278" t="s">
        <v>90</v>
      </c>
      <c r="O278">
        <v>28</v>
      </c>
      <c r="P278" t="s">
        <v>89</v>
      </c>
      <c r="Q278" t="s">
        <v>91</v>
      </c>
      <c r="R278">
        <v>2</v>
      </c>
      <c r="S278" t="s">
        <v>92</v>
      </c>
      <c r="T278">
        <v>1</v>
      </c>
      <c r="U278" t="s">
        <v>89</v>
      </c>
      <c r="V278" t="s">
        <v>94</v>
      </c>
      <c r="W278">
        <v>2</v>
      </c>
      <c r="X278">
        <v>1</v>
      </c>
    </row>
    <row r="279" spans="2:24" x14ac:dyDescent="0.3">
      <c r="B279">
        <v>275</v>
      </c>
      <c r="C279" t="s">
        <v>8</v>
      </c>
      <c r="D279">
        <v>30</v>
      </c>
      <c r="E279" t="s">
        <v>95</v>
      </c>
      <c r="F279" t="s">
        <v>128</v>
      </c>
      <c r="G279">
        <v>11998</v>
      </c>
      <c r="H279" t="s">
        <v>96</v>
      </c>
      <c r="I279" t="s">
        <v>118</v>
      </c>
      <c r="J279">
        <v>1</v>
      </c>
      <c r="K279" t="s">
        <v>115</v>
      </c>
      <c r="L279" t="s">
        <v>89</v>
      </c>
      <c r="M279">
        <v>1</v>
      </c>
      <c r="N279" t="s">
        <v>108</v>
      </c>
      <c r="O279">
        <v>34</v>
      </c>
      <c r="P279" t="s">
        <v>89</v>
      </c>
      <c r="Q279" t="s">
        <v>91</v>
      </c>
      <c r="R279">
        <v>1</v>
      </c>
      <c r="S279" t="s">
        <v>101</v>
      </c>
      <c r="T279">
        <v>1</v>
      </c>
      <c r="U279" t="s">
        <v>93</v>
      </c>
      <c r="V279" t="s">
        <v>94</v>
      </c>
      <c r="W279">
        <v>2</v>
      </c>
      <c r="X279">
        <v>1</v>
      </c>
    </row>
    <row r="280" spans="2:24" x14ac:dyDescent="0.3">
      <c r="B280">
        <v>276</v>
      </c>
      <c r="C280" t="s">
        <v>12</v>
      </c>
      <c r="D280">
        <v>9</v>
      </c>
      <c r="E280" t="s">
        <v>95</v>
      </c>
      <c r="F280" t="s">
        <v>85</v>
      </c>
      <c r="G280">
        <v>2697</v>
      </c>
      <c r="H280" t="s">
        <v>96</v>
      </c>
      <c r="I280" t="s">
        <v>97</v>
      </c>
      <c r="J280">
        <v>1</v>
      </c>
      <c r="K280" t="s">
        <v>88</v>
      </c>
      <c r="L280" t="s">
        <v>89</v>
      </c>
      <c r="M280">
        <v>2</v>
      </c>
      <c r="N280" t="s">
        <v>90</v>
      </c>
      <c r="O280">
        <v>32</v>
      </c>
      <c r="P280" t="s">
        <v>89</v>
      </c>
      <c r="Q280" t="s">
        <v>91</v>
      </c>
      <c r="R280">
        <v>1</v>
      </c>
      <c r="S280" t="s">
        <v>92</v>
      </c>
      <c r="T280">
        <v>2</v>
      </c>
      <c r="U280" t="s">
        <v>89</v>
      </c>
      <c r="V280" t="s">
        <v>94</v>
      </c>
      <c r="W280">
        <v>1</v>
      </c>
      <c r="X280">
        <v>0</v>
      </c>
    </row>
    <row r="281" spans="2:24" x14ac:dyDescent="0.3">
      <c r="B281">
        <v>277</v>
      </c>
      <c r="C281" t="s">
        <v>12</v>
      </c>
      <c r="D281">
        <v>18</v>
      </c>
      <c r="E281" t="s">
        <v>84</v>
      </c>
      <c r="F281" t="s">
        <v>85</v>
      </c>
      <c r="G281">
        <v>2404</v>
      </c>
      <c r="H281" t="s">
        <v>96</v>
      </c>
      <c r="I281" t="s">
        <v>97</v>
      </c>
      <c r="J281">
        <v>2</v>
      </c>
      <c r="K281" t="s">
        <v>98</v>
      </c>
      <c r="L281" t="s">
        <v>89</v>
      </c>
      <c r="M281">
        <v>2</v>
      </c>
      <c r="N281" t="s">
        <v>111</v>
      </c>
      <c r="O281">
        <v>26</v>
      </c>
      <c r="P281" t="s">
        <v>89</v>
      </c>
      <c r="Q281" t="s">
        <v>91</v>
      </c>
      <c r="R281">
        <v>2</v>
      </c>
      <c r="S281" t="s">
        <v>92</v>
      </c>
      <c r="T281">
        <v>1</v>
      </c>
      <c r="U281" t="s">
        <v>89</v>
      </c>
      <c r="V281" t="s">
        <v>94</v>
      </c>
      <c r="W281">
        <v>1</v>
      </c>
      <c r="X281">
        <v>0</v>
      </c>
    </row>
    <row r="282" spans="2:24" x14ac:dyDescent="0.3">
      <c r="B282">
        <v>278</v>
      </c>
      <c r="C282" t="s">
        <v>8</v>
      </c>
      <c r="D282">
        <v>12</v>
      </c>
      <c r="E282" t="s">
        <v>95</v>
      </c>
      <c r="F282" t="s">
        <v>102</v>
      </c>
      <c r="G282">
        <v>1262</v>
      </c>
      <c r="H282" t="s">
        <v>86</v>
      </c>
      <c r="I282" t="s">
        <v>87</v>
      </c>
      <c r="J282">
        <v>2</v>
      </c>
      <c r="K282" t="s">
        <v>115</v>
      </c>
      <c r="L282" t="s">
        <v>89</v>
      </c>
      <c r="M282">
        <v>4</v>
      </c>
      <c r="N282" t="s">
        <v>104</v>
      </c>
      <c r="O282">
        <v>49</v>
      </c>
      <c r="P282" t="s">
        <v>89</v>
      </c>
      <c r="Q282" t="s">
        <v>91</v>
      </c>
      <c r="R282">
        <v>1</v>
      </c>
      <c r="S282" t="s">
        <v>101</v>
      </c>
      <c r="T282">
        <v>1</v>
      </c>
      <c r="U282" t="s">
        <v>93</v>
      </c>
      <c r="V282" t="s">
        <v>94</v>
      </c>
      <c r="W282">
        <v>1</v>
      </c>
      <c r="X282">
        <v>0</v>
      </c>
    </row>
    <row r="283" spans="2:24" x14ac:dyDescent="0.3">
      <c r="B283">
        <v>279</v>
      </c>
      <c r="C283" t="s">
        <v>12</v>
      </c>
      <c r="D283">
        <v>6</v>
      </c>
      <c r="E283" t="s">
        <v>95</v>
      </c>
      <c r="F283" t="s">
        <v>102</v>
      </c>
      <c r="G283">
        <v>4611</v>
      </c>
      <c r="H283" t="s">
        <v>96</v>
      </c>
      <c r="I283" t="s">
        <v>118</v>
      </c>
      <c r="J283">
        <v>1</v>
      </c>
      <c r="K283" t="s">
        <v>98</v>
      </c>
      <c r="L283" t="s">
        <v>89</v>
      </c>
      <c r="M283">
        <v>4</v>
      </c>
      <c r="N283" t="s">
        <v>104</v>
      </c>
      <c r="O283">
        <v>32</v>
      </c>
      <c r="P283" t="s">
        <v>89</v>
      </c>
      <c r="Q283" t="s">
        <v>91</v>
      </c>
      <c r="R283">
        <v>1</v>
      </c>
      <c r="S283" t="s">
        <v>92</v>
      </c>
      <c r="T283">
        <v>1</v>
      </c>
      <c r="U283" t="s">
        <v>89</v>
      </c>
      <c r="V283" t="s">
        <v>94</v>
      </c>
      <c r="W283">
        <v>2</v>
      </c>
      <c r="X283">
        <v>1</v>
      </c>
    </row>
    <row r="284" spans="2:24" x14ac:dyDescent="0.3">
      <c r="B284">
        <v>280</v>
      </c>
      <c r="C284" t="s">
        <v>12</v>
      </c>
      <c r="D284">
        <v>24</v>
      </c>
      <c r="E284" t="s">
        <v>95</v>
      </c>
      <c r="F284" t="s">
        <v>85</v>
      </c>
      <c r="G284">
        <v>1901</v>
      </c>
      <c r="H284" t="s">
        <v>120</v>
      </c>
      <c r="I284" t="s">
        <v>97</v>
      </c>
      <c r="J284">
        <v>4</v>
      </c>
      <c r="K284" t="s">
        <v>88</v>
      </c>
      <c r="L284" t="s">
        <v>89</v>
      </c>
      <c r="M284">
        <v>4</v>
      </c>
      <c r="N284" t="s">
        <v>111</v>
      </c>
      <c r="O284">
        <v>29</v>
      </c>
      <c r="P284" t="s">
        <v>89</v>
      </c>
      <c r="Q284" t="s">
        <v>112</v>
      </c>
      <c r="R284">
        <v>1</v>
      </c>
      <c r="S284" t="s">
        <v>113</v>
      </c>
      <c r="T284">
        <v>1</v>
      </c>
      <c r="U284" t="s">
        <v>93</v>
      </c>
      <c r="V284" t="s">
        <v>94</v>
      </c>
      <c r="W284">
        <v>1</v>
      </c>
      <c r="X284">
        <v>0</v>
      </c>
    </row>
    <row r="285" spans="2:24" x14ac:dyDescent="0.3">
      <c r="B285">
        <v>281</v>
      </c>
      <c r="C285" t="s">
        <v>12</v>
      </c>
      <c r="D285">
        <v>15</v>
      </c>
      <c r="E285" t="s">
        <v>84</v>
      </c>
      <c r="F285" t="s">
        <v>110</v>
      </c>
      <c r="G285">
        <v>3368</v>
      </c>
      <c r="H285" t="s">
        <v>114</v>
      </c>
      <c r="I285" t="s">
        <v>87</v>
      </c>
      <c r="J285">
        <v>3</v>
      </c>
      <c r="K285" t="s">
        <v>88</v>
      </c>
      <c r="L285" t="s">
        <v>89</v>
      </c>
      <c r="M285">
        <v>4</v>
      </c>
      <c r="N285" t="s">
        <v>108</v>
      </c>
      <c r="O285">
        <v>23</v>
      </c>
      <c r="P285" t="s">
        <v>89</v>
      </c>
      <c r="Q285" t="s">
        <v>112</v>
      </c>
      <c r="R285">
        <v>2</v>
      </c>
      <c r="S285" t="s">
        <v>92</v>
      </c>
      <c r="T285">
        <v>1</v>
      </c>
      <c r="U285" t="s">
        <v>93</v>
      </c>
      <c r="V285" t="s">
        <v>94</v>
      </c>
      <c r="W285">
        <v>1</v>
      </c>
      <c r="X285">
        <v>0</v>
      </c>
    </row>
    <row r="286" spans="2:24" x14ac:dyDescent="0.3">
      <c r="B286">
        <v>282</v>
      </c>
      <c r="C286" t="s">
        <v>12</v>
      </c>
      <c r="D286">
        <v>12</v>
      </c>
      <c r="E286" t="s">
        <v>95</v>
      </c>
      <c r="F286" t="s">
        <v>102</v>
      </c>
      <c r="G286">
        <v>1574</v>
      </c>
      <c r="H286" t="s">
        <v>96</v>
      </c>
      <c r="I286" t="s">
        <v>97</v>
      </c>
      <c r="J286">
        <v>4</v>
      </c>
      <c r="K286" t="s">
        <v>88</v>
      </c>
      <c r="L286" t="s">
        <v>89</v>
      </c>
      <c r="M286">
        <v>2</v>
      </c>
      <c r="N286" t="s">
        <v>90</v>
      </c>
      <c r="O286">
        <v>50</v>
      </c>
      <c r="P286" t="s">
        <v>89</v>
      </c>
      <c r="Q286" t="s">
        <v>91</v>
      </c>
      <c r="R286">
        <v>1</v>
      </c>
      <c r="S286" t="s">
        <v>92</v>
      </c>
      <c r="T286">
        <v>1</v>
      </c>
      <c r="U286" t="s">
        <v>89</v>
      </c>
      <c r="V286" t="s">
        <v>94</v>
      </c>
      <c r="W286">
        <v>1</v>
      </c>
      <c r="X286">
        <v>0</v>
      </c>
    </row>
    <row r="287" spans="2:24" x14ac:dyDescent="0.3">
      <c r="B287">
        <v>283</v>
      </c>
      <c r="C287" t="s">
        <v>11</v>
      </c>
      <c r="D287">
        <v>18</v>
      </c>
      <c r="E287" t="s">
        <v>124</v>
      </c>
      <c r="F287" t="s">
        <v>85</v>
      </c>
      <c r="G287">
        <v>1445</v>
      </c>
      <c r="H287" t="s">
        <v>86</v>
      </c>
      <c r="I287" t="s">
        <v>100</v>
      </c>
      <c r="J287">
        <v>4</v>
      </c>
      <c r="K287" t="s">
        <v>88</v>
      </c>
      <c r="L287" t="s">
        <v>89</v>
      </c>
      <c r="M287">
        <v>4</v>
      </c>
      <c r="N287" t="s">
        <v>111</v>
      </c>
      <c r="O287">
        <v>49</v>
      </c>
      <c r="P287" t="s">
        <v>122</v>
      </c>
      <c r="Q287" t="s">
        <v>91</v>
      </c>
      <c r="R287">
        <v>1</v>
      </c>
      <c r="S287" t="s">
        <v>101</v>
      </c>
      <c r="T287">
        <v>1</v>
      </c>
      <c r="U287" t="s">
        <v>89</v>
      </c>
      <c r="V287" t="s">
        <v>94</v>
      </c>
      <c r="W287">
        <v>1</v>
      </c>
      <c r="X287">
        <v>0</v>
      </c>
    </row>
    <row r="288" spans="2:24" x14ac:dyDescent="0.3">
      <c r="B288">
        <v>284</v>
      </c>
      <c r="C288" t="s">
        <v>12</v>
      </c>
      <c r="D288">
        <v>15</v>
      </c>
      <c r="E288" t="s">
        <v>84</v>
      </c>
      <c r="F288" t="s">
        <v>102</v>
      </c>
      <c r="G288">
        <v>1520</v>
      </c>
      <c r="H288" t="s">
        <v>86</v>
      </c>
      <c r="I288" t="s">
        <v>87</v>
      </c>
      <c r="J288">
        <v>4</v>
      </c>
      <c r="K288" t="s">
        <v>88</v>
      </c>
      <c r="L288" t="s">
        <v>89</v>
      </c>
      <c r="M288">
        <v>4</v>
      </c>
      <c r="N288" t="s">
        <v>104</v>
      </c>
      <c r="O288">
        <v>63</v>
      </c>
      <c r="P288" t="s">
        <v>89</v>
      </c>
      <c r="Q288" t="s">
        <v>91</v>
      </c>
      <c r="R288">
        <v>1</v>
      </c>
      <c r="S288" t="s">
        <v>92</v>
      </c>
      <c r="T288">
        <v>1</v>
      </c>
      <c r="U288" t="s">
        <v>89</v>
      </c>
      <c r="V288" t="s">
        <v>94</v>
      </c>
      <c r="W288">
        <v>1</v>
      </c>
      <c r="X288">
        <v>0</v>
      </c>
    </row>
    <row r="289" spans="2:24" x14ac:dyDescent="0.3">
      <c r="B289">
        <v>285</v>
      </c>
      <c r="C289" t="s">
        <v>10</v>
      </c>
      <c r="D289">
        <v>24</v>
      </c>
      <c r="E289" t="s">
        <v>84</v>
      </c>
      <c r="F289" t="s">
        <v>107</v>
      </c>
      <c r="G289">
        <v>3878</v>
      </c>
      <c r="H289" t="s">
        <v>120</v>
      </c>
      <c r="I289" t="s">
        <v>118</v>
      </c>
      <c r="J289">
        <v>4</v>
      </c>
      <c r="K289" t="s">
        <v>115</v>
      </c>
      <c r="L289" t="s">
        <v>89</v>
      </c>
      <c r="M289">
        <v>2</v>
      </c>
      <c r="N289" t="s">
        <v>111</v>
      </c>
      <c r="O289">
        <v>37</v>
      </c>
      <c r="P289" t="s">
        <v>89</v>
      </c>
      <c r="Q289" t="s">
        <v>91</v>
      </c>
      <c r="R289">
        <v>1</v>
      </c>
      <c r="S289" t="s">
        <v>92</v>
      </c>
      <c r="T289">
        <v>1</v>
      </c>
      <c r="U289" t="s">
        <v>93</v>
      </c>
      <c r="V289" t="s">
        <v>94</v>
      </c>
      <c r="W289">
        <v>1</v>
      </c>
      <c r="X289">
        <v>0</v>
      </c>
    </row>
    <row r="290" spans="2:24" x14ac:dyDescent="0.3">
      <c r="B290">
        <v>286</v>
      </c>
      <c r="C290" t="s">
        <v>8</v>
      </c>
      <c r="D290">
        <v>47</v>
      </c>
      <c r="E290" t="s">
        <v>95</v>
      </c>
      <c r="F290" t="s">
        <v>107</v>
      </c>
      <c r="G290">
        <v>10722</v>
      </c>
      <c r="H290" t="s">
        <v>96</v>
      </c>
      <c r="I290" t="s">
        <v>118</v>
      </c>
      <c r="J290">
        <v>1</v>
      </c>
      <c r="K290" t="s">
        <v>98</v>
      </c>
      <c r="L290" t="s">
        <v>89</v>
      </c>
      <c r="M290">
        <v>1</v>
      </c>
      <c r="N290" t="s">
        <v>90</v>
      </c>
      <c r="O290">
        <v>35</v>
      </c>
      <c r="P290" t="s">
        <v>89</v>
      </c>
      <c r="Q290" t="s">
        <v>91</v>
      </c>
      <c r="R290">
        <v>1</v>
      </c>
      <c r="S290" t="s">
        <v>101</v>
      </c>
      <c r="T290">
        <v>1</v>
      </c>
      <c r="U290" t="s">
        <v>93</v>
      </c>
      <c r="V290" t="s">
        <v>94</v>
      </c>
      <c r="W290">
        <v>1</v>
      </c>
      <c r="X290">
        <v>0</v>
      </c>
    </row>
    <row r="291" spans="2:24" x14ac:dyDescent="0.3">
      <c r="B291">
        <v>287</v>
      </c>
      <c r="C291" t="s">
        <v>8</v>
      </c>
      <c r="D291">
        <v>48</v>
      </c>
      <c r="E291" t="s">
        <v>95</v>
      </c>
      <c r="F291" t="s">
        <v>110</v>
      </c>
      <c r="G291">
        <v>4788</v>
      </c>
      <c r="H291" t="s">
        <v>96</v>
      </c>
      <c r="I291" t="s">
        <v>100</v>
      </c>
      <c r="J291">
        <v>4</v>
      </c>
      <c r="K291" t="s">
        <v>88</v>
      </c>
      <c r="L291" t="s">
        <v>89</v>
      </c>
      <c r="M291">
        <v>3</v>
      </c>
      <c r="N291" t="s">
        <v>104</v>
      </c>
      <c r="O291">
        <v>26</v>
      </c>
      <c r="P291" t="s">
        <v>89</v>
      </c>
      <c r="Q291" t="s">
        <v>91</v>
      </c>
      <c r="R291">
        <v>1</v>
      </c>
      <c r="S291" t="s">
        <v>92</v>
      </c>
      <c r="T291">
        <v>2</v>
      </c>
      <c r="U291" t="s">
        <v>89</v>
      </c>
      <c r="V291" t="s">
        <v>94</v>
      </c>
      <c r="W291">
        <v>1</v>
      </c>
      <c r="X291">
        <v>0</v>
      </c>
    </row>
    <row r="292" spans="2:24" x14ac:dyDescent="0.3">
      <c r="B292">
        <v>288</v>
      </c>
      <c r="C292" t="s">
        <v>10</v>
      </c>
      <c r="D292">
        <v>48</v>
      </c>
      <c r="E292" t="s">
        <v>106</v>
      </c>
      <c r="F292" t="s">
        <v>130</v>
      </c>
      <c r="G292">
        <v>7582</v>
      </c>
      <c r="H292" t="s">
        <v>120</v>
      </c>
      <c r="I292" t="s">
        <v>116</v>
      </c>
      <c r="J292">
        <v>2</v>
      </c>
      <c r="K292" t="s">
        <v>88</v>
      </c>
      <c r="L292" t="s">
        <v>89</v>
      </c>
      <c r="M292">
        <v>4</v>
      </c>
      <c r="N292" t="s">
        <v>108</v>
      </c>
      <c r="O292">
        <v>31</v>
      </c>
      <c r="P292" t="s">
        <v>89</v>
      </c>
      <c r="Q292" t="s">
        <v>105</v>
      </c>
      <c r="R292">
        <v>1</v>
      </c>
      <c r="S292" t="s">
        <v>113</v>
      </c>
      <c r="T292">
        <v>1</v>
      </c>
      <c r="U292" t="s">
        <v>93</v>
      </c>
      <c r="V292" t="s">
        <v>94</v>
      </c>
      <c r="W292">
        <v>1</v>
      </c>
      <c r="X292">
        <v>0</v>
      </c>
    </row>
    <row r="293" spans="2:24" x14ac:dyDescent="0.3">
      <c r="B293">
        <v>289</v>
      </c>
      <c r="C293" t="s">
        <v>10</v>
      </c>
      <c r="D293">
        <v>12</v>
      </c>
      <c r="E293" t="s">
        <v>95</v>
      </c>
      <c r="F293" t="s">
        <v>85</v>
      </c>
      <c r="G293">
        <v>1092</v>
      </c>
      <c r="H293" t="s">
        <v>96</v>
      </c>
      <c r="I293" t="s">
        <v>97</v>
      </c>
      <c r="J293">
        <v>4</v>
      </c>
      <c r="K293" t="s">
        <v>98</v>
      </c>
      <c r="L293" t="s">
        <v>103</v>
      </c>
      <c r="M293">
        <v>4</v>
      </c>
      <c r="N293" t="s">
        <v>90</v>
      </c>
      <c r="O293">
        <v>49</v>
      </c>
      <c r="P293" t="s">
        <v>89</v>
      </c>
      <c r="Q293" t="s">
        <v>91</v>
      </c>
      <c r="R293">
        <v>2</v>
      </c>
      <c r="S293" t="s">
        <v>92</v>
      </c>
      <c r="T293">
        <v>1</v>
      </c>
      <c r="U293" t="s">
        <v>93</v>
      </c>
      <c r="V293" t="s">
        <v>94</v>
      </c>
      <c r="W293">
        <v>1</v>
      </c>
      <c r="X293">
        <v>0</v>
      </c>
    </row>
    <row r="294" spans="2:24" x14ac:dyDescent="0.3">
      <c r="B294">
        <v>290</v>
      </c>
      <c r="C294" t="s">
        <v>8</v>
      </c>
      <c r="D294">
        <v>24</v>
      </c>
      <c r="E294" t="s">
        <v>106</v>
      </c>
      <c r="F294" t="s">
        <v>85</v>
      </c>
      <c r="G294">
        <v>1024</v>
      </c>
      <c r="H294" t="s">
        <v>96</v>
      </c>
      <c r="I294" t="s">
        <v>118</v>
      </c>
      <c r="J294">
        <v>4</v>
      </c>
      <c r="K294" t="s">
        <v>117</v>
      </c>
      <c r="L294" t="s">
        <v>89</v>
      </c>
      <c r="M294">
        <v>4</v>
      </c>
      <c r="N294" t="s">
        <v>90</v>
      </c>
      <c r="O294">
        <v>48</v>
      </c>
      <c r="P294" t="s">
        <v>125</v>
      </c>
      <c r="Q294" t="s">
        <v>91</v>
      </c>
      <c r="R294">
        <v>1</v>
      </c>
      <c r="S294" t="s">
        <v>92</v>
      </c>
      <c r="T294">
        <v>1</v>
      </c>
      <c r="U294" t="s">
        <v>89</v>
      </c>
      <c r="V294" t="s">
        <v>94</v>
      </c>
      <c r="W294">
        <v>2</v>
      </c>
      <c r="X294">
        <v>1</v>
      </c>
    </row>
    <row r="295" spans="2:24" x14ac:dyDescent="0.3">
      <c r="B295">
        <v>291</v>
      </c>
      <c r="C295" t="s">
        <v>12</v>
      </c>
      <c r="D295">
        <v>12</v>
      </c>
      <c r="E295" t="s">
        <v>95</v>
      </c>
      <c r="F295" t="s">
        <v>119</v>
      </c>
      <c r="G295">
        <v>1076</v>
      </c>
      <c r="H295" t="s">
        <v>96</v>
      </c>
      <c r="I295" t="s">
        <v>97</v>
      </c>
      <c r="J295">
        <v>2</v>
      </c>
      <c r="K295" t="s">
        <v>117</v>
      </c>
      <c r="L295" t="s">
        <v>89</v>
      </c>
      <c r="M295">
        <v>2</v>
      </c>
      <c r="N295" t="s">
        <v>90</v>
      </c>
      <c r="O295">
        <v>26</v>
      </c>
      <c r="P295" t="s">
        <v>89</v>
      </c>
      <c r="Q295" t="s">
        <v>91</v>
      </c>
      <c r="R295">
        <v>1</v>
      </c>
      <c r="S295" t="s">
        <v>92</v>
      </c>
      <c r="T295">
        <v>1</v>
      </c>
      <c r="U295" t="s">
        <v>93</v>
      </c>
      <c r="V295" t="s">
        <v>123</v>
      </c>
      <c r="W295">
        <v>1</v>
      </c>
      <c r="X295">
        <v>0</v>
      </c>
    </row>
    <row r="296" spans="2:24" x14ac:dyDescent="0.3">
      <c r="B296">
        <v>292</v>
      </c>
      <c r="C296" t="s">
        <v>10</v>
      </c>
      <c r="D296">
        <v>36</v>
      </c>
      <c r="E296" t="s">
        <v>95</v>
      </c>
      <c r="F296" t="s">
        <v>110</v>
      </c>
      <c r="G296">
        <v>9398</v>
      </c>
      <c r="H296" t="s">
        <v>96</v>
      </c>
      <c r="I296" t="s">
        <v>118</v>
      </c>
      <c r="J296">
        <v>1</v>
      </c>
      <c r="K296" t="s">
        <v>117</v>
      </c>
      <c r="L296" t="s">
        <v>89</v>
      </c>
      <c r="M296">
        <v>4</v>
      </c>
      <c r="N296" t="s">
        <v>111</v>
      </c>
      <c r="O296">
        <v>28</v>
      </c>
      <c r="P296" t="s">
        <v>89</v>
      </c>
      <c r="Q296" t="s">
        <v>112</v>
      </c>
      <c r="R296">
        <v>1</v>
      </c>
      <c r="S296" t="s">
        <v>113</v>
      </c>
      <c r="T296">
        <v>1</v>
      </c>
      <c r="U296" t="s">
        <v>93</v>
      </c>
      <c r="V296" t="s">
        <v>94</v>
      </c>
      <c r="W296">
        <v>2</v>
      </c>
      <c r="X296">
        <v>1</v>
      </c>
    </row>
    <row r="297" spans="2:24" x14ac:dyDescent="0.3">
      <c r="B297">
        <v>293</v>
      </c>
      <c r="C297" t="s">
        <v>8</v>
      </c>
      <c r="D297">
        <v>24</v>
      </c>
      <c r="E297" t="s">
        <v>84</v>
      </c>
      <c r="F297" t="s">
        <v>110</v>
      </c>
      <c r="G297">
        <v>6419</v>
      </c>
      <c r="H297" t="s">
        <v>96</v>
      </c>
      <c r="I297" t="s">
        <v>87</v>
      </c>
      <c r="J297">
        <v>2</v>
      </c>
      <c r="K297" t="s">
        <v>98</v>
      </c>
      <c r="L297" t="s">
        <v>89</v>
      </c>
      <c r="M297">
        <v>4</v>
      </c>
      <c r="N297" t="s">
        <v>108</v>
      </c>
      <c r="O297">
        <v>44</v>
      </c>
      <c r="P297" t="s">
        <v>89</v>
      </c>
      <c r="Q297" t="s">
        <v>105</v>
      </c>
      <c r="R297">
        <v>2</v>
      </c>
      <c r="S297" t="s">
        <v>113</v>
      </c>
      <c r="T297">
        <v>2</v>
      </c>
      <c r="U297" t="s">
        <v>93</v>
      </c>
      <c r="V297" t="s">
        <v>94</v>
      </c>
      <c r="W297">
        <v>1</v>
      </c>
      <c r="X297">
        <v>0</v>
      </c>
    </row>
    <row r="298" spans="2:24" x14ac:dyDescent="0.3">
      <c r="B298">
        <v>294</v>
      </c>
      <c r="C298" t="s">
        <v>11</v>
      </c>
      <c r="D298">
        <v>42</v>
      </c>
      <c r="E298" t="s">
        <v>84</v>
      </c>
      <c r="F298" t="s">
        <v>110</v>
      </c>
      <c r="G298">
        <v>4796</v>
      </c>
      <c r="H298" t="s">
        <v>96</v>
      </c>
      <c r="I298" t="s">
        <v>87</v>
      </c>
      <c r="J298">
        <v>4</v>
      </c>
      <c r="K298" t="s">
        <v>88</v>
      </c>
      <c r="L298" t="s">
        <v>89</v>
      </c>
      <c r="M298">
        <v>4</v>
      </c>
      <c r="N298" t="s">
        <v>108</v>
      </c>
      <c r="O298">
        <v>56</v>
      </c>
      <c r="P298" t="s">
        <v>89</v>
      </c>
      <c r="Q298" t="s">
        <v>105</v>
      </c>
      <c r="R298">
        <v>1</v>
      </c>
      <c r="S298" t="s">
        <v>92</v>
      </c>
      <c r="T298">
        <v>1</v>
      </c>
      <c r="U298" t="s">
        <v>89</v>
      </c>
      <c r="V298" t="s">
        <v>94</v>
      </c>
      <c r="W298">
        <v>1</v>
      </c>
      <c r="X298">
        <v>0</v>
      </c>
    </row>
    <row r="299" spans="2:24" x14ac:dyDescent="0.3">
      <c r="B299">
        <v>295</v>
      </c>
      <c r="C299" t="s">
        <v>12</v>
      </c>
      <c r="D299">
        <v>48</v>
      </c>
      <c r="E299" t="s">
        <v>84</v>
      </c>
      <c r="F299" t="s">
        <v>119</v>
      </c>
      <c r="G299">
        <v>7629</v>
      </c>
      <c r="H299" t="s">
        <v>86</v>
      </c>
      <c r="I299" t="s">
        <v>87</v>
      </c>
      <c r="J299">
        <v>4</v>
      </c>
      <c r="K299" t="s">
        <v>115</v>
      </c>
      <c r="L299" t="s">
        <v>89</v>
      </c>
      <c r="M299">
        <v>2</v>
      </c>
      <c r="N299" t="s">
        <v>111</v>
      </c>
      <c r="O299">
        <v>46</v>
      </c>
      <c r="P299" t="s">
        <v>122</v>
      </c>
      <c r="Q299" t="s">
        <v>91</v>
      </c>
      <c r="R299">
        <v>2</v>
      </c>
      <c r="S299" t="s">
        <v>113</v>
      </c>
      <c r="T299">
        <v>2</v>
      </c>
      <c r="U299" t="s">
        <v>89</v>
      </c>
      <c r="V299" t="s">
        <v>94</v>
      </c>
      <c r="W299">
        <v>1</v>
      </c>
      <c r="X299">
        <v>0</v>
      </c>
    </row>
    <row r="300" spans="2:24" x14ac:dyDescent="0.3">
      <c r="B300">
        <v>296</v>
      </c>
      <c r="C300" t="s">
        <v>10</v>
      </c>
      <c r="D300">
        <v>48</v>
      </c>
      <c r="E300" t="s">
        <v>95</v>
      </c>
      <c r="F300" t="s">
        <v>102</v>
      </c>
      <c r="G300">
        <v>9960</v>
      </c>
      <c r="H300" t="s">
        <v>96</v>
      </c>
      <c r="I300" t="s">
        <v>118</v>
      </c>
      <c r="J300">
        <v>1</v>
      </c>
      <c r="K300" t="s">
        <v>98</v>
      </c>
      <c r="L300" t="s">
        <v>89</v>
      </c>
      <c r="M300">
        <v>2</v>
      </c>
      <c r="N300" t="s">
        <v>111</v>
      </c>
      <c r="O300">
        <v>26</v>
      </c>
      <c r="P300" t="s">
        <v>89</v>
      </c>
      <c r="Q300" t="s">
        <v>91</v>
      </c>
      <c r="R300">
        <v>1</v>
      </c>
      <c r="S300" t="s">
        <v>92</v>
      </c>
      <c r="T300">
        <v>1</v>
      </c>
      <c r="U300" t="s">
        <v>93</v>
      </c>
      <c r="V300" t="s">
        <v>94</v>
      </c>
      <c r="W300">
        <v>2</v>
      </c>
      <c r="X300">
        <v>1</v>
      </c>
    </row>
    <row r="301" spans="2:24" x14ac:dyDescent="0.3">
      <c r="B301">
        <v>297</v>
      </c>
      <c r="C301" t="s">
        <v>12</v>
      </c>
      <c r="D301">
        <v>12</v>
      </c>
      <c r="E301" t="s">
        <v>95</v>
      </c>
      <c r="F301" t="s">
        <v>110</v>
      </c>
      <c r="G301">
        <v>4675</v>
      </c>
      <c r="H301" t="s">
        <v>86</v>
      </c>
      <c r="I301" t="s">
        <v>118</v>
      </c>
      <c r="J301">
        <v>1</v>
      </c>
      <c r="K301" t="s">
        <v>98</v>
      </c>
      <c r="L301" t="s">
        <v>89</v>
      </c>
      <c r="M301">
        <v>4</v>
      </c>
      <c r="N301" t="s">
        <v>111</v>
      </c>
      <c r="O301">
        <v>20</v>
      </c>
      <c r="P301" t="s">
        <v>89</v>
      </c>
      <c r="Q301" t="s">
        <v>112</v>
      </c>
      <c r="R301">
        <v>1</v>
      </c>
      <c r="S301" t="s">
        <v>92</v>
      </c>
      <c r="T301">
        <v>1</v>
      </c>
      <c r="U301" t="s">
        <v>89</v>
      </c>
      <c r="V301" t="s">
        <v>94</v>
      </c>
      <c r="W301">
        <v>1</v>
      </c>
      <c r="X301">
        <v>0</v>
      </c>
    </row>
    <row r="302" spans="2:24" x14ac:dyDescent="0.3">
      <c r="B302">
        <v>298</v>
      </c>
      <c r="C302" t="s">
        <v>12</v>
      </c>
      <c r="D302">
        <v>10</v>
      </c>
      <c r="E302" t="s">
        <v>95</v>
      </c>
      <c r="F302" t="s">
        <v>107</v>
      </c>
      <c r="G302">
        <v>1287</v>
      </c>
      <c r="H302" t="s">
        <v>86</v>
      </c>
      <c r="I302" t="s">
        <v>87</v>
      </c>
      <c r="J302">
        <v>4</v>
      </c>
      <c r="K302" t="s">
        <v>88</v>
      </c>
      <c r="L302" t="s">
        <v>126</v>
      </c>
      <c r="M302">
        <v>2</v>
      </c>
      <c r="N302" t="s">
        <v>104</v>
      </c>
      <c r="O302">
        <v>45</v>
      </c>
      <c r="P302" t="s">
        <v>89</v>
      </c>
      <c r="Q302" t="s">
        <v>91</v>
      </c>
      <c r="R302">
        <v>1</v>
      </c>
      <c r="S302" t="s">
        <v>101</v>
      </c>
      <c r="T302">
        <v>1</v>
      </c>
      <c r="U302" t="s">
        <v>89</v>
      </c>
      <c r="V302" t="s">
        <v>123</v>
      </c>
      <c r="W302">
        <v>1</v>
      </c>
      <c r="X302">
        <v>0</v>
      </c>
    </row>
    <row r="303" spans="2:24" x14ac:dyDescent="0.3">
      <c r="B303">
        <v>299</v>
      </c>
      <c r="C303" t="s">
        <v>12</v>
      </c>
      <c r="D303">
        <v>18</v>
      </c>
      <c r="E303" t="s">
        <v>95</v>
      </c>
      <c r="F303" t="s">
        <v>102</v>
      </c>
      <c r="G303">
        <v>2515</v>
      </c>
      <c r="H303" t="s">
        <v>96</v>
      </c>
      <c r="I303" t="s">
        <v>97</v>
      </c>
      <c r="J303">
        <v>3</v>
      </c>
      <c r="K303" t="s">
        <v>88</v>
      </c>
      <c r="L303" t="s">
        <v>89</v>
      </c>
      <c r="M303">
        <v>4</v>
      </c>
      <c r="N303" t="s">
        <v>90</v>
      </c>
      <c r="O303">
        <v>43</v>
      </c>
      <c r="P303" t="s">
        <v>89</v>
      </c>
      <c r="Q303" t="s">
        <v>91</v>
      </c>
      <c r="R303">
        <v>1</v>
      </c>
      <c r="S303" t="s">
        <v>92</v>
      </c>
      <c r="T303">
        <v>1</v>
      </c>
      <c r="U303" t="s">
        <v>93</v>
      </c>
      <c r="V303" t="s">
        <v>94</v>
      </c>
      <c r="W303">
        <v>1</v>
      </c>
      <c r="X303">
        <v>0</v>
      </c>
    </row>
    <row r="304" spans="2:24" x14ac:dyDescent="0.3">
      <c r="B304">
        <v>300</v>
      </c>
      <c r="C304" t="s">
        <v>10</v>
      </c>
      <c r="D304">
        <v>21</v>
      </c>
      <c r="E304" t="s">
        <v>84</v>
      </c>
      <c r="F304" t="s">
        <v>102</v>
      </c>
      <c r="G304">
        <v>2745</v>
      </c>
      <c r="H304" t="s">
        <v>114</v>
      </c>
      <c r="I304" t="s">
        <v>100</v>
      </c>
      <c r="J304">
        <v>3</v>
      </c>
      <c r="K304" t="s">
        <v>88</v>
      </c>
      <c r="L304" t="s">
        <v>89</v>
      </c>
      <c r="M304">
        <v>2</v>
      </c>
      <c r="N304" t="s">
        <v>111</v>
      </c>
      <c r="O304">
        <v>32</v>
      </c>
      <c r="P304" t="s">
        <v>89</v>
      </c>
      <c r="Q304" t="s">
        <v>91</v>
      </c>
      <c r="R304">
        <v>2</v>
      </c>
      <c r="S304" t="s">
        <v>92</v>
      </c>
      <c r="T304">
        <v>1</v>
      </c>
      <c r="U304" t="s">
        <v>93</v>
      </c>
      <c r="V304" t="s">
        <v>94</v>
      </c>
      <c r="W304">
        <v>1</v>
      </c>
      <c r="X304">
        <v>0</v>
      </c>
    </row>
    <row r="305" spans="2:24" x14ac:dyDescent="0.3">
      <c r="B305">
        <v>301</v>
      </c>
      <c r="C305" t="s">
        <v>12</v>
      </c>
      <c r="D305">
        <v>6</v>
      </c>
      <c r="E305" t="s">
        <v>95</v>
      </c>
      <c r="F305" t="s">
        <v>107</v>
      </c>
      <c r="G305">
        <v>672</v>
      </c>
      <c r="H305" t="s">
        <v>96</v>
      </c>
      <c r="I305" t="s">
        <v>116</v>
      </c>
      <c r="J305">
        <v>1</v>
      </c>
      <c r="K305" t="s">
        <v>98</v>
      </c>
      <c r="L305" t="s">
        <v>89</v>
      </c>
      <c r="M305">
        <v>4</v>
      </c>
      <c r="N305" t="s">
        <v>90</v>
      </c>
      <c r="O305">
        <v>54</v>
      </c>
      <c r="P305" t="s">
        <v>89</v>
      </c>
      <c r="Q305" t="s">
        <v>91</v>
      </c>
      <c r="R305">
        <v>1</v>
      </c>
      <c r="S305" t="s">
        <v>129</v>
      </c>
      <c r="T305">
        <v>1</v>
      </c>
      <c r="U305" t="s">
        <v>93</v>
      </c>
      <c r="V305" t="s">
        <v>94</v>
      </c>
      <c r="W305">
        <v>1</v>
      </c>
      <c r="X305">
        <v>0</v>
      </c>
    </row>
    <row r="306" spans="2:24" x14ac:dyDescent="0.3">
      <c r="B306">
        <v>302</v>
      </c>
      <c r="C306" t="s">
        <v>10</v>
      </c>
      <c r="D306">
        <v>36</v>
      </c>
      <c r="E306" t="s">
        <v>121</v>
      </c>
      <c r="F306" t="s">
        <v>85</v>
      </c>
      <c r="G306">
        <v>3804</v>
      </c>
      <c r="H306" t="s">
        <v>96</v>
      </c>
      <c r="I306" t="s">
        <v>97</v>
      </c>
      <c r="J306">
        <v>4</v>
      </c>
      <c r="K306" t="s">
        <v>98</v>
      </c>
      <c r="L306" t="s">
        <v>89</v>
      </c>
      <c r="M306">
        <v>1</v>
      </c>
      <c r="N306" t="s">
        <v>111</v>
      </c>
      <c r="O306">
        <v>42</v>
      </c>
      <c r="P306" t="s">
        <v>89</v>
      </c>
      <c r="Q306" t="s">
        <v>91</v>
      </c>
      <c r="R306">
        <v>1</v>
      </c>
      <c r="S306" t="s">
        <v>92</v>
      </c>
      <c r="T306">
        <v>1</v>
      </c>
      <c r="U306" t="s">
        <v>93</v>
      </c>
      <c r="V306" t="s">
        <v>94</v>
      </c>
      <c r="W306">
        <v>2</v>
      </c>
      <c r="X306">
        <v>1</v>
      </c>
    </row>
    <row r="307" spans="2:24" x14ac:dyDescent="0.3">
      <c r="B307">
        <v>303</v>
      </c>
      <c r="C307" t="s">
        <v>11</v>
      </c>
      <c r="D307">
        <v>24</v>
      </c>
      <c r="E307" t="s">
        <v>84</v>
      </c>
      <c r="F307" t="s">
        <v>107</v>
      </c>
      <c r="G307">
        <v>1344</v>
      </c>
      <c r="H307" t="s">
        <v>86</v>
      </c>
      <c r="I307" t="s">
        <v>100</v>
      </c>
      <c r="J307">
        <v>4</v>
      </c>
      <c r="K307" t="s">
        <v>88</v>
      </c>
      <c r="L307" t="s">
        <v>89</v>
      </c>
      <c r="M307">
        <v>2</v>
      </c>
      <c r="N307" t="s">
        <v>90</v>
      </c>
      <c r="O307">
        <v>37</v>
      </c>
      <c r="P307" t="s">
        <v>122</v>
      </c>
      <c r="Q307" t="s">
        <v>91</v>
      </c>
      <c r="R307">
        <v>2</v>
      </c>
      <c r="S307" t="s">
        <v>101</v>
      </c>
      <c r="T307">
        <v>2</v>
      </c>
      <c r="U307" t="s">
        <v>89</v>
      </c>
      <c r="V307" t="s">
        <v>94</v>
      </c>
      <c r="W307">
        <v>2</v>
      </c>
      <c r="X307">
        <v>1</v>
      </c>
    </row>
    <row r="308" spans="2:24" x14ac:dyDescent="0.3">
      <c r="B308">
        <v>304</v>
      </c>
      <c r="C308" t="s">
        <v>8</v>
      </c>
      <c r="D308">
        <v>10</v>
      </c>
      <c r="E308" t="s">
        <v>84</v>
      </c>
      <c r="F308" t="s">
        <v>107</v>
      </c>
      <c r="G308">
        <v>1038</v>
      </c>
      <c r="H308" t="s">
        <v>96</v>
      </c>
      <c r="I308" t="s">
        <v>100</v>
      </c>
      <c r="J308">
        <v>4</v>
      </c>
      <c r="K308" t="s">
        <v>88</v>
      </c>
      <c r="L308" t="s">
        <v>126</v>
      </c>
      <c r="M308">
        <v>3</v>
      </c>
      <c r="N308" t="s">
        <v>104</v>
      </c>
      <c r="O308">
        <v>49</v>
      </c>
      <c r="P308" t="s">
        <v>89</v>
      </c>
      <c r="Q308" t="s">
        <v>91</v>
      </c>
      <c r="R308">
        <v>2</v>
      </c>
      <c r="S308" t="s">
        <v>92</v>
      </c>
      <c r="T308">
        <v>1</v>
      </c>
      <c r="U308" t="s">
        <v>93</v>
      </c>
      <c r="V308" t="s">
        <v>94</v>
      </c>
      <c r="W308">
        <v>1</v>
      </c>
      <c r="X308">
        <v>0</v>
      </c>
    </row>
    <row r="309" spans="2:24" x14ac:dyDescent="0.3">
      <c r="B309">
        <v>305</v>
      </c>
      <c r="C309" t="s">
        <v>12</v>
      </c>
      <c r="D309">
        <v>48</v>
      </c>
      <c r="E309" t="s">
        <v>84</v>
      </c>
      <c r="F309" t="s">
        <v>107</v>
      </c>
      <c r="G309">
        <v>10127</v>
      </c>
      <c r="H309" t="s">
        <v>109</v>
      </c>
      <c r="I309" t="s">
        <v>97</v>
      </c>
      <c r="J309">
        <v>2</v>
      </c>
      <c r="K309" t="s">
        <v>88</v>
      </c>
      <c r="L309" t="s">
        <v>89</v>
      </c>
      <c r="M309">
        <v>2</v>
      </c>
      <c r="N309" t="s">
        <v>108</v>
      </c>
      <c r="O309">
        <v>44</v>
      </c>
      <c r="P309" t="s">
        <v>122</v>
      </c>
      <c r="Q309" t="s">
        <v>105</v>
      </c>
      <c r="R309">
        <v>1</v>
      </c>
      <c r="S309" t="s">
        <v>92</v>
      </c>
      <c r="T309">
        <v>1</v>
      </c>
      <c r="U309" t="s">
        <v>89</v>
      </c>
      <c r="V309" t="s">
        <v>94</v>
      </c>
      <c r="W309">
        <v>2</v>
      </c>
      <c r="X309">
        <v>1</v>
      </c>
    </row>
    <row r="310" spans="2:24" x14ac:dyDescent="0.3">
      <c r="B310">
        <v>306</v>
      </c>
      <c r="C310" t="s">
        <v>12</v>
      </c>
      <c r="D310">
        <v>6</v>
      </c>
      <c r="E310" t="s">
        <v>95</v>
      </c>
      <c r="F310" t="s">
        <v>102</v>
      </c>
      <c r="G310">
        <v>1543</v>
      </c>
      <c r="H310" t="s">
        <v>114</v>
      </c>
      <c r="I310" t="s">
        <v>97</v>
      </c>
      <c r="J310">
        <v>4</v>
      </c>
      <c r="K310" t="s">
        <v>115</v>
      </c>
      <c r="L310" t="s">
        <v>89</v>
      </c>
      <c r="M310">
        <v>2</v>
      </c>
      <c r="N310" t="s">
        <v>90</v>
      </c>
      <c r="O310">
        <v>33</v>
      </c>
      <c r="P310" t="s">
        <v>89</v>
      </c>
      <c r="Q310" t="s">
        <v>91</v>
      </c>
      <c r="R310">
        <v>1</v>
      </c>
      <c r="S310" t="s">
        <v>92</v>
      </c>
      <c r="T310">
        <v>1</v>
      </c>
      <c r="U310" t="s">
        <v>89</v>
      </c>
      <c r="V310" t="s">
        <v>94</v>
      </c>
      <c r="W310">
        <v>1</v>
      </c>
      <c r="X310">
        <v>0</v>
      </c>
    </row>
    <row r="311" spans="2:24" x14ac:dyDescent="0.3">
      <c r="B311">
        <v>307</v>
      </c>
      <c r="C311" t="s">
        <v>12</v>
      </c>
      <c r="D311">
        <v>30</v>
      </c>
      <c r="E311" t="s">
        <v>95</v>
      </c>
      <c r="F311" t="s">
        <v>110</v>
      </c>
      <c r="G311">
        <v>4811</v>
      </c>
      <c r="H311" t="s">
        <v>86</v>
      </c>
      <c r="I311" t="s">
        <v>100</v>
      </c>
      <c r="J311">
        <v>2</v>
      </c>
      <c r="K311" t="s">
        <v>98</v>
      </c>
      <c r="L311" t="s">
        <v>89</v>
      </c>
      <c r="M311">
        <v>4</v>
      </c>
      <c r="N311" t="s">
        <v>104</v>
      </c>
      <c r="O311">
        <v>24</v>
      </c>
      <c r="P311" t="s">
        <v>125</v>
      </c>
      <c r="Q311" t="s">
        <v>112</v>
      </c>
      <c r="R311">
        <v>1</v>
      </c>
      <c r="S311" t="s">
        <v>101</v>
      </c>
      <c r="T311">
        <v>1</v>
      </c>
      <c r="U311" t="s">
        <v>89</v>
      </c>
      <c r="V311" t="s">
        <v>94</v>
      </c>
      <c r="W311">
        <v>1</v>
      </c>
      <c r="X311">
        <v>0</v>
      </c>
    </row>
    <row r="312" spans="2:24" x14ac:dyDescent="0.3">
      <c r="B312">
        <v>308</v>
      </c>
      <c r="C312" t="s">
        <v>8</v>
      </c>
      <c r="D312">
        <v>12</v>
      </c>
      <c r="E312" t="s">
        <v>95</v>
      </c>
      <c r="F312" t="s">
        <v>85</v>
      </c>
      <c r="G312">
        <v>727</v>
      </c>
      <c r="H312" t="s">
        <v>120</v>
      </c>
      <c r="I312" t="s">
        <v>118</v>
      </c>
      <c r="J312">
        <v>4</v>
      </c>
      <c r="K312" t="s">
        <v>117</v>
      </c>
      <c r="L312" t="s">
        <v>89</v>
      </c>
      <c r="M312">
        <v>3</v>
      </c>
      <c r="N312" t="s">
        <v>108</v>
      </c>
      <c r="O312">
        <v>33</v>
      </c>
      <c r="P312" t="s">
        <v>89</v>
      </c>
      <c r="Q312" t="s">
        <v>91</v>
      </c>
      <c r="R312">
        <v>1</v>
      </c>
      <c r="S312" t="s">
        <v>101</v>
      </c>
      <c r="T312">
        <v>1</v>
      </c>
      <c r="U312" t="s">
        <v>93</v>
      </c>
      <c r="V312" t="s">
        <v>94</v>
      </c>
      <c r="W312">
        <v>2</v>
      </c>
      <c r="X312">
        <v>1</v>
      </c>
    </row>
    <row r="313" spans="2:24" x14ac:dyDescent="0.3">
      <c r="B313">
        <v>309</v>
      </c>
      <c r="C313" t="s">
        <v>10</v>
      </c>
      <c r="D313">
        <v>8</v>
      </c>
      <c r="E313" t="s">
        <v>95</v>
      </c>
      <c r="F313" t="s">
        <v>102</v>
      </c>
      <c r="G313">
        <v>1237</v>
      </c>
      <c r="H313" t="s">
        <v>96</v>
      </c>
      <c r="I313" t="s">
        <v>97</v>
      </c>
      <c r="J313">
        <v>3</v>
      </c>
      <c r="K313" t="s">
        <v>98</v>
      </c>
      <c r="L313" t="s">
        <v>89</v>
      </c>
      <c r="M313">
        <v>4</v>
      </c>
      <c r="N313" t="s">
        <v>90</v>
      </c>
      <c r="O313">
        <v>24</v>
      </c>
      <c r="P313" t="s">
        <v>89</v>
      </c>
      <c r="Q313" t="s">
        <v>91</v>
      </c>
      <c r="R313">
        <v>1</v>
      </c>
      <c r="S313" t="s">
        <v>92</v>
      </c>
      <c r="T313">
        <v>1</v>
      </c>
      <c r="U313" t="s">
        <v>89</v>
      </c>
      <c r="V313" t="s">
        <v>94</v>
      </c>
      <c r="W313">
        <v>2</v>
      </c>
      <c r="X313">
        <v>1</v>
      </c>
    </row>
    <row r="314" spans="2:24" x14ac:dyDescent="0.3">
      <c r="B314">
        <v>310</v>
      </c>
      <c r="C314" t="s">
        <v>10</v>
      </c>
      <c r="D314">
        <v>9</v>
      </c>
      <c r="E314" t="s">
        <v>95</v>
      </c>
      <c r="F314" t="s">
        <v>107</v>
      </c>
      <c r="G314">
        <v>276</v>
      </c>
      <c r="H314" t="s">
        <v>96</v>
      </c>
      <c r="I314" t="s">
        <v>97</v>
      </c>
      <c r="J314">
        <v>4</v>
      </c>
      <c r="K314" t="s">
        <v>117</v>
      </c>
      <c r="L314" t="s">
        <v>89</v>
      </c>
      <c r="M314">
        <v>4</v>
      </c>
      <c r="N314" t="s">
        <v>90</v>
      </c>
      <c r="O314">
        <v>22</v>
      </c>
      <c r="P314" t="s">
        <v>89</v>
      </c>
      <c r="Q314" t="s">
        <v>112</v>
      </c>
      <c r="R314">
        <v>1</v>
      </c>
      <c r="S314" t="s">
        <v>101</v>
      </c>
      <c r="T314">
        <v>1</v>
      </c>
      <c r="U314" t="s">
        <v>89</v>
      </c>
      <c r="V314" t="s">
        <v>94</v>
      </c>
      <c r="W314">
        <v>1</v>
      </c>
      <c r="X314">
        <v>0</v>
      </c>
    </row>
    <row r="315" spans="2:24" x14ac:dyDescent="0.3">
      <c r="B315">
        <v>311</v>
      </c>
      <c r="C315" t="s">
        <v>10</v>
      </c>
      <c r="D315">
        <v>48</v>
      </c>
      <c r="E315" t="s">
        <v>95</v>
      </c>
      <c r="F315" t="s">
        <v>130</v>
      </c>
      <c r="G315">
        <v>5381</v>
      </c>
      <c r="H315" t="s">
        <v>86</v>
      </c>
      <c r="I315" t="s">
        <v>116</v>
      </c>
      <c r="J315">
        <v>3</v>
      </c>
      <c r="K315" t="s">
        <v>88</v>
      </c>
      <c r="L315" t="s">
        <v>89</v>
      </c>
      <c r="M315">
        <v>4</v>
      </c>
      <c r="N315" t="s">
        <v>108</v>
      </c>
      <c r="O315">
        <v>40</v>
      </c>
      <c r="P315" t="s">
        <v>122</v>
      </c>
      <c r="Q315" t="s">
        <v>105</v>
      </c>
      <c r="R315">
        <v>1</v>
      </c>
      <c r="S315" t="s">
        <v>129</v>
      </c>
      <c r="T315">
        <v>1</v>
      </c>
      <c r="U315" t="s">
        <v>93</v>
      </c>
      <c r="V315" t="s">
        <v>94</v>
      </c>
      <c r="W315">
        <v>1</v>
      </c>
      <c r="X315">
        <v>0</v>
      </c>
    </row>
    <row r="316" spans="2:24" x14ac:dyDescent="0.3">
      <c r="B316">
        <v>312</v>
      </c>
      <c r="C316" t="s">
        <v>12</v>
      </c>
      <c r="D316">
        <v>24</v>
      </c>
      <c r="E316" t="s">
        <v>95</v>
      </c>
      <c r="F316" t="s">
        <v>102</v>
      </c>
      <c r="G316">
        <v>5511</v>
      </c>
      <c r="H316" t="s">
        <v>120</v>
      </c>
      <c r="I316" t="s">
        <v>97</v>
      </c>
      <c r="J316">
        <v>4</v>
      </c>
      <c r="K316" t="s">
        <v>88</v>
      </c>
      <c r="L316" t="s">
        <v>89</v>
      </c>
      <c r="M316">
        <v>1</v>
      </c>
      <c r="N316" t="s">
        <v>111</v>
      </c>
      <c r="O316">
        <v>25</v>
      </c>
      <c r="P316" t="s">
        <v>125</v>
      </c>
      <c r="Q316" t="s">
        <v>91</v>
      </c>
      <c r="R316">
        <v>1</v>
      </c>
      <c r="S316" t="s">
        <v>92</v>
      </c>
      <c r="T316">
        <v>1</v>
      </c>
      <c r="U316" t="s">
        <v>89</v>
      </c>
      <c r="V316" t="s">
        <v>94</v>
      </c>
      <c r="W316">
        <v>1</v>
      </c>
      <c r="X316">
        <v>0</v>
      </c>
    </row>
    <row r="317" spans="2:24" x14ac:dyDescent="0.3">
      <c r="B317">
        <v>313</v>
      </c>
      <c r="C317" t="s">
        <v>11</v>
      </c>
      <c r="D317">
        <v>24</v>
      </c>
      <c r="E317" t="s">
        <v>95</v>
      </c>
      <c r="F317" t="s">
        <v>102</v>
      </c>
      <c r="G317">
        <v>3749</v>
      </c>
      <c r="H317" t="s">
        <v>96</v>
      </c>
      <c r="I317" t="s">
        <v>118</v>
      </c>
      <c r="J317">
        <v>2</v>
      </c>
      <c r="K317" t="s">
        <v>98</v>
      </c>
      <c r="L317" t="s">
        <v>89</v>
      </c>
      <c r="M317">
        <v>4</v>
      </c>
      <c r="N317" t="s">
        <v>111</v>
      </c>
      <c r="O317">
        <v>26</v>
      </c>
      <c r="P317" t="s">
        <v>89</v>
      </c>
      <c r="Q317" t="s">
        <v>91</v>
      </c>
      <c r="R317">
        <v>1</v>
      </c>
      <c r="S317" t="s">
        <v>92</v>
      </c>
      <c r="T317">
        <v>1</v>
      </c>
      <c r="U317" t="s">
        <v>89</v>
      </c>
      <c r="V317" t="s">
        <v>94</v>
      </c>
      <c r="W317">
        <v>1</v>
      </c>
      <c r="X317">
        <v>0</v>
      </c>
    </row>
    <row r="318" spans="2:24" x14ac:dyDescent="0.3">
      <c r="B318">
        <v>314</v>
      </c>
      <c r="C318" t="s">
        <v>10</v>
      </c>
      <c r="D318">
        <v>12</v>
      </c>
      <c r="E318" t="s">
        <v>95</v>
      </c>
      <c r="F318" t="s">
        <v>107</v>
      </c>
      <c r="G318">
        <v>685</v>
      </c>
      <c r="H318" t="s">
        <v>96</v>
      </c>
      <c r="I318" t="s">
        <v>100</v>
      </c>
      <c r="J318">
        <v>2</v>
      </c>
      <c r="K318" t="s">
        <v>117</v>
      </c>
      <c r="L318" t="s">
        <v>89</v>
      </c>
      <c r="M318">
        <v>3</v>
      </c>
      <c r="N318" t="s">
        <v>111</v>
      </c>
      <c r="O318">
        <v>25</v>
      </c>
      <c r="P318" t="s">
        <v>122</v>
      </c>
      <c r="Q318" t="s">
        <v>91</v>
      </c>
      <c r="R318">
        <v>1</v>
      </c>
      <c r="S318" t="s">
        <v>101</v>
      </c>
      <c r="T318">
        <v>1</v>
      </c>
      <c r="U318" t="s">
        <v>89</v>
      </c>
      <c r="V318" t="s">
        <v>94</v>
      </c>
      <c r="W318">
        <v>2</v>
      </c>
      <c r="X318">
        <v>1</v>
      </c>
    </row>
    <row r="319" spans="2:24" x14ac:dyDescent="0.3">
      <c r="B319">
        <v>315</v>
      </c>
      <c r="C319" t="s">
        <v>11</v>
      </c>
      <c r="D319">
        <v>4</v>
      </c>
      <c r="E319" t="s">
        <v>95</v>
      </c>
      <c r="F319" t="s">
        <v>107</v>
      </c>
      <c r="G319">
        <v>1494</v>
      </c>
      <c r="H319" t="s">
        <v>86</v>
      </c>
      <c r="I319" t="s">
        <v>118</v>
      </c>
      <c r="J319">
        <v>1</v>
      </c>
      <c r="K319" t="s">
        <v>88</v>
      </c>
      <c r="L319" t="s">
        <v>89</v>
      </c>
      <c r="M319">
        <v>2</v>
      </c>
      <c r="N319" t="s">
        <v>90</v>
      </c>
      <c r="O319">
        <v>29</v>
      </c>
      <c r="P319" t="s">
        <v>89</v>
      </c>
      <c r="Q319" t="s">
        <v>91</v>
      </c>
      <c r="R319">
        <v>1</v>
      </c>
      <c r="S319" t="s">
        <v>101</v>
      </c>
      <c r="T319">
        <v>2</v>
      </c>
      <c r="U319" t="s">
        <v>89</v>
      </c>
      <c r="V319" t="s">
        <v>123</v>
      </c>
      <c r="W319">
        <v>1</v>
      </c>
      <c r="X319">
        <v>0</v>
      </c>
    </row>
    <row r="320" spans="2:24" x14ac:dyDescent="0.3">
      <c r="B320">
        <v>316</v>
      </c>
      <c r="C320" t="s">
        <v>8</v>
      </c>
      <c r="D320">
        <v>36</v>
      </c>
      <c r="E320" t="s">
        <v>124</v>
      </c>
      <c r="F320" t="s">
        <v>102</v>
      </c>
      <c r="G320">
        <v>2746</v>
      </c>
      <c r="H320" t="s">
        <v>96</v>
      </c>
      <c r="I320" t="s">
        <v>87</v>
      </c>
      <c r="J320">
        <v>4</v>
      </c>
      <c r="K320" t="s">
        <v>88</v>
      </c>
      <c r="L320" t="s">
        <v>89</v>
      </c>
      <c r="M320">
        <v>4</v>
      </c>
      <c r="N320" t="s">
        <v>111</v>
      </c>
      <c r="O320">
        <v>31</v>
      </c>
      <c r="P320" t="s">
        <v>122</v>
      </c>
      <c r="Q320" t="s">
        <v>91</v>
      </c>
      <c r="R320">
        <v>1</v>
      </c>
      <c r="S320" t="s">
        <v>92</v>
      </c>
      <c r="T320">
        <v>1</v>
      </c>
      <c r="U320" t="s">
        <v>89</v>
      </c>
      <c r="V320" t="s">
        <v>94</v>
      </c>
      <c r="W320">
        <v>2</v>
      </c>
      <c r="X320">
        <v>1</v>
      </c>
    </row>
    <row r="321" spans="2:24" x14ac:dyDescent="0.3">
      <c r="B321">
        <v>317</v>
      </c>
      <c r="C321" t="s">
        <v>8</v>
      </c>
      <c r="D321">
        <v>12</v>
      </c>
      <c r="E321" t="s">
        <v>95</v>
      </c>
      <c r="F321" t="s">
        <v>102</v>
      </c>
      <c r="G321">
        <v>708</v>
      </c>
      <c r="H321" t="s">
        <v>96</v>
      </c>
      <c r="I321" t="s">
        <v>97</v>
      </c>
      <c r="J321">
        <v>2</v>
      </c>
      <c r="K321" t="s">
        <v>88</v>
      </c>
      <c r="L321" t="s">
        <v>103</v>
      </c>
      <c r="M321">
        <v>3</v>
      </c>
      <c r="N321" t="s">
        <v>104</v>
      </c>
      <c r="O321">
        <v>38</v>
      </c>
      <c r="P321" t="s">
        <v>89</v>
      </c>
      <c r="Q321" t="s">
        <v>91</v>
      </c>
      <c r="R321">
        <v>1</v>
      </c>
      <c r="S321" t="s">
        <v>101</v>
      </c>
      <c r="T321">
        <v>2</v>
      </c>
      <c r="U321" t="s">
        <v>89</v>
      </c>
      <c r="V321" t="s">
        <v>94</v>
      </c>
      <c r="W321">
        <v>1</v>
      </c>
      <c r="X321">
        <v>0</v>
      </c>
    </row>
    <row r="322" spans="2:24" x14ac:dyDescent="0.3">
      <c r="B322">
        <v>318</v>
      </c>
      <c r="C322" t="s">
        <v>10</v>
      </c>
      <c r="D322">
        <v>24</v>
      </c>
      <c r="E322" t="s">
        <v>95</v>
      </c>
      <c r="F322" t="s">
        <v>102</v>
      </c>
      <c r="G322">
        <v>4351</v>
      </c>
      <c r="H322" t="s">
        <v>86</v>
      </c>
      <c r="I322" t="s">
        <v>97</v>
      </c>
      <c r="J322">
        <v>1</v>
      </c>
      <c r="K322" t="s">
        <v>98</v>
      </c>
      <c r="L322" t="s">
        <v>89</v>
      </c>
      <c r="M322">
        <v>4</v>
      </c>
      <c r="N322" t="s">
        <v>104</v>
      </c>
      <c r="O322">
        <v>48</v>
      </c>
      <c r="P322" t="s">
        <v>89</v>
      </c>
      <c r="Q322" t="s">
        <v>91</v>
      </c>
      <c r="R322">
        <v>1</v>
      </c>
      <c r="S322" t="s">
        <v>101</v>
      </c>
      <c r="T322">
        <v>1</v>
      </c>
      <c r="U322" t="s">
        <v>93</v>
      </c>
      <c r="V322" t="s">
        <v>94</v>
      </c>
      <c r="W322">
        <v>1</v>
      </c>
      <c r="X322">
        <v>0</v>
      </c>
    </row>
    <row r="323" spans="2:24" x14ac:dyDescent="0.3">
      <c r="B323">
        <v>319</v>
      </c>
      <c r="C323" t="s">
        <v>12</v>
      </c>
      <c r="D323">
        <v>12</v>
      </c>
      <c r="E323" t="s">
        <v>84</v>
      </c>
      <c r="F323" t="s">
        <v>99</v>
      </c>
      <c r="G323">
        <v>701</v>
      </c>
      <c r="H323" t="s">
        <v>96</v>
      </c>
      <c r="I323" t="s">
        <v>97</v>
      </c>
      <c r="J323">
        <v>4</v>
      </c>
      <c r="K323" t="s">
        <v>88</v>
      </c>
      <c r="L323" t="s">
        <v>89</v>
      </c>
      <c r="M323">
        <v>2</v>
      </c>
      <c r="N323" t="s">
        <v>111</v>
      </c>
      <c r="O323">
        <v>32</v>
      </c>
      <c r="P323" t="s">
        <v>89</v>
      </c>
      <c r="Q323" t="s">
        <v>91</v>
      </c>
      <c r="R323">
        <v>2</v>
      </c>
      <c r="S323" t="s">
        <v>92</v>
      </c>
      <c r="T323">
        <v>1</v>
      </c>
      <c r="U323" t="s">
        <v>89</v>
      </c>
      <c r="V323" t="s">
        <v>94</v>
      </c>
      <c r="W323">
        <v>1</v>
      </c>
      <c r="X323">
        <v>0</v>
      </c>
    </row>
    <row r="324" spans="2:24" x14ac:dyDescent="0.3">
      <c r="B324">
        <v>320</v>
      </c>
      <c r="C324" t="s">
        <v>8</v>
      </c>
      <c r="D324">
        <v>15</v>
      </c>
      <c r="E324" t="s">
        <v>106</v>
      </c>
      <c r="F324" t="s">
        <v>102</v>
      </c>
      <c r="G324">
        <v>3643</v>
      </c>
      <c r="H324" t="s">
        <v>96</v>
      </c>
      <c r="I324" t="s">
        <v>87</v>
      </c>
      <c r="J324">
        <v>1</v>
      </c>
      <c r="K324" t="s">
        <v>98</v>
      </c>
      <c r="L324" t="s">
        <v>89</v>
      </c>
      <c r="M324">
        <v>4</v>
      </c>
      <c r="N324" t="s">
        <v>104</v>
      </c>
      <c r="O324">
        <v>27</v>
      </c>
      <c r="P324" t="s">
        <v>89</v>
      </c>
      <c r="Q324" t="s">
        <v>91</v>
      </c>
      <c r="R324">
        <v>2</v>
      </c>
      <c r="S324" t="s">
        <v>101</v>
      </c>
      <c r="T324">
        <v>1</v>
      </c>
      <c r="U324" t="s">
        <v>89</v>
      </c>
      <c r="V324" t="s">
        <v>94</v>
      </c>
      <c r="W324">
        <v>1</v>
      </c>
      <c r="X324">
        <v>0</v>
      </c>
    </row>
    <row r="325" spans="2:24" x14ac:dyDescent="0.3">
      <c r="B325">
        <v>321</v>
      </c>
      <c r="C325" t="s">
        <v>10</v>
      </c>
      <c r="D325">
        <v>30</v>
      </c>
      <c r="E325" t="s">
        <v>84</v>
      </c>
      <c r="F325" t="s">
        <v>107</v>
      </c>
      <c r="G325">
        <v>4249</v>
      </c>
      <c r="H325" t="s">
        <v>96</v>
      </c>
      <c r="I325" t="s">
        <v>116</v>
      </c>
      <c r="J325">
        <v>4</v>
      </c>
      <c r="K325" t="s">
        <v>117</v>
      </c>
      <c r="L325" t="s">
        <v>89</v>
      </c>
      <c r="M325">
        <v>2</v>
      </c>
      <c r="N325" t="s">
        <v>111</v>
      </c>
      <c r="O325">
        <v>28</v>
      </c>
      <c r="P325" t="s">
        <v>89</v>
      </c>
      <c r="Q325" t="s">
        <v>91</v>
      </c>
      <c r="R325">
        <v>2</v>
      </c>
      <c r="S325" t="s">
        <v>113</v>
      </c>
      <c r="T325">
        <v>1</v>
      </c>
      <c r="U325" t="s">
        <v>89</v>
      </c>
      <c r="V325" t="s">
        <v>94</v>
      </c>
      <c r="W325">
        <v>2</v>
      </c>
      <c r="X325">
        <v>1</v>
      </c>
    </row>
    <row r="326" spans="2:24" x14ac:dyDescent="0.3">
      <c r="B326">
        <v>322</v>
      </c>
      <c r="C326" t="s">
        <v>8</v>
      </c>
      <c r="D326">
        <v>24</v>
      </c>
      <c r="E326" t="s">
        <v>95</v>
      </c>
      <c r="F326" t="s">
        <v>85</v>
      </c>
      <c r="G326">
        <v>1938</v>
      </c>
      <c r="H326" t="s">
        <v>96</v>
      </c>
      <c r="I326" t="s">
        <v>118</v>
      </c>
      <c r="J326">
        <v>4</v>
      </c>
      <c r="K326" t="s">
        <v>115</v>
      </c>
      <c r="L326" t="s">
        <v>89</v>
      </c>
      <c r="M326">
        <v>3</v>
      </c>
      <c r="N326" t="s">
        <v>104</v>
      </c>
      <c r="O326">
        <v>32</v>
      </c>
      <c r="P326" t="s">
        <v>89</v>
      </c>
      <c r="Q326" t="s">
        <v>91</v>
      </c>
      <c r="R326">
        <v>1</v>
      </c>
      <c r="S326" t="s">
        <v>92</v>
      </c>
      <c r="T326">
        <v>1</v>
      </c>
      <c r="U326" t="s">
        <v>89</v>
      </c>
      <c r="V326" t="s">
        <v>94</v>
      </c>
      <c r="W326">
        <v>2</v>
      </c>
      <c r="X326">
        <v>1</v>
      </c>
    </row>
    <row r="327" spans="2:24" x14ac:dyDescent="0.3">
      <c r="B327">
        <v>323</v>
      </c>
      <c r="C327" t="s">
        <v>8</v>
      </c>
      <c r="D327">
        <v>24</v>
      </c>
      <c r="E327" t="s">
        <v>95</v>
      </c>
      <c r="F327" t="s">
        <v>110</v>
      </c>
      <c r="G327">
        <v>2910</v>
      </c>
      <c r="H327" t="s">
        <v>96</v>
      </c>
      <c r="I327" t="s">
        <v>100</v>
      </c>
      <c r="J327">
        <v>2</v>
      </c>
      <c r="K327" t="s">
        <v>88</v>
      </c>
      <c r="L327" t="s">
        <v>89</v>
      </c>
      <c r="M327">
        <v>1</v>
      </c>
      <c r="N327" t="s">
        <v>108</v>
      </c>
      <c r="O327">
        <v>34</v>
      </c>
      <c r="P327" t="s">
        <v>89</v>
      </c>
      <c r="Q327" t="s">
        <v>105</v>
      </c>
      <c r="R327">
        <v>1</v>
      </c>
      <c r="S327" t="s">
        <v>113</v>
      </c>
      <c r="T327">
        <v>1</v>
      </c>
      <c r="U327" t="s">
        <v>93</v>
      </c>
      <c r="V327" t="s">
        <v>94</v>
      </c>
      <c r="W327">
        <v>1</v>
      </c>
      <c r="X327">
        <v>0</v>
      </c>
    </row>
    <row r="328" spans="2:24" x14ac:dyDescent="0.3">
      <c r="B328">
        <v>324</v>
      </c>
      <c r="C328" t="s">
        <v>8</v>
      </c>
      <c r="D328">
        <v>18</v>
      </c>
      <c r="E328" t="s">
        <v>95</v>
      </c>
      <c r="F328" t="s">
        <v>102</v>
      </c>
      <c r="G328">
        <v>2659</v>
      </c>
      <c r="H328" t="s">
        <v>114</v>
      </c>
      <c r="I328" t="s">
        <v>97</v>
      </c>
      <c r="J328">
        <v>4</v>
      </c>
      <c r="K328" t="s">
        <v>88</v>
      </c>
      <c r="L328" t="s">
        <v>89</v>
      </c>
      <c r="M328">
        <v>2</v>
      </c>
      <c r="N328" t="s">
        <v>111</v>
      </c>
      <c r="O328">
        <v>28</v>
      </c>
      <c r="P328" t="s">
        <v>89</v>
      </c>
      <c r="Q328" t="s">
        <v>91</v>
      </c>
      <c r="R328">
        <v>1</v>
      </c>
      <c r="S328" t="s">
        <v>92</v>
      </c>
      <c r="T328">
        <v>1</v>
      </c>
      <c r="U328" t="s">
        <v>89</v>
      </c>
      <c r="V328" t="s">
        <v>94</v>
      </c>
      <c r="W328">
        <v>1</v>
      </c>
      <c r="X328">
        <v>0</v>
      </c>
    </row>
    <row r="329" spans="2:24" x14ac:dyDescent="0.3">
      <c r="B329">
        <v>325</v>
      </c>
      <c r="C329" t="s">
        <v>12</v>
      </c>
      <c r="D329">
        <v>18</v>
      </c>
      <c r="E329" t="s">
        <v>84</v>
      </c>
      <c r="F329" t="s">
        <v>107</v>
      </c>
      <c r="G329">
        <v>1028</v>
      </c>
      <c r="H329" t="s">
        <v>96</v>
      </c>
      <c r="I329" t="s">
        <v>97</v>
      </c>
      <c r="J329">
        <v>4</v>
      </c>
      <c r="K329" t="s">
        <v>98</v>
      </c>
      <c r="L329" t="s">
        <v>89</v>
      </c>
      <c r="M329">
        <v>3</v>
      </c>
      <c r="N329" t="s">
        <v>90</v>
      </c>
      <c r="O329">
        <v>36</v>
      </c>
      <c r="P329" t="s">
        <v>89</v>
      </c>
      <c r="Q329" t="s">
        <v>91</v>
      </c>
      <c r="R329">
        <v>2</v>
      </c>
      <c r="S329" t="s">
        <v>92</v>
      </c>
      <c r="T329">
        <v>1</v>
      </c>
      <c r="U329" t="s">
        <v>89</v>
      </c>
      <c r="V329" t="s">
        <v>94</v>
      </c>
      <c r="W329">
        <v>1</v>
      </c>
      <c r="X329">
        <v>0</v>
      </c>
    </row>
    <row r="330" spans="2:24" x14ac:dyDescent="0.3">
      <c r="B330">
        <v>326</v>
      </c>
      <c r="C330" t="s">
        <v>8</v>
      </c>
      <c r="D330">
        <v>8</v>
      </c>
      <c r="E330" t="s">
        <v>84</v>
      </c>
      <c r="F330" t="s">
        <v>107</v>
      </c>
      <c r="G330">
        <v>3398</v>
      </c>
      <c r="H330" t="s">
        <v>96</v>
      </c>
      <c r="I330" t="s">
        <v>100</v>
      </c>
      <c r="J330">
        <v>1</v>
      </c>
      <c r="K330" t="s">
        <v>88</v>
      </c>
      <c r="L330" t="s">
        <v>89</v>
      </c>
      <c r="M330">
        <v>4</v>
      </c>
      <c r="N330" t="s">
        <v>90</v>
      </c>
      <c r="O330">
        <v>39</v>
      </c>
      <c r="P330" t="s">
        <v>89</v>
      </c>
      <c r="Q330" t="s">
        <v>91</v>
      </c>
      <c r="R330">
        <v>2</v>
      </c>
      <c r="S330" t="s">
        <v>101</v>
      </c>
      <c r="T330">
        <v>1</v>
      </c>
      <c r="U330" t="s">
        <v>89</v>
      </c>
      <c r="V330" t="s">
        <v>123</v>
      </c>
      <c r="W330">
        <v>1</v>
      </c>
      <c r="X330">
        <v>0</v>
      </c>
    </row>
    <row r="331" spans="2:24" x14ac:dyDescent="0.3">
      <c r="B331">
        <v>327</v>
      </c>
      <c r="C331" t="s">
        <v>12</v>
      </c>
      <c r="D331">
        <v>12</v>
      </c>
      <c r="E331" t="s">
        <v>84</v>
      </c>
      <c r="F331" t="s">
        <v>102</v>
      </c>
      <c r="G331">
        <v>5801</v>
      </c>
      <c r="H331" t="s">
        <v>86</v>
      </c>
      <c r="I331" t="s">
        <v>87</v>
      </c>
      <c r="J331">
        <v>2</v>
      </c>
      <c r="K331" t="s">
        <v>88</v>
      </c>
      <c r="L331" t="s">
        <v>89</v>
      </c>
      <c r="M331">
        <v>4</v>
      </c>
      <c r="N331" t="s">
        <v>104</v>
      </c>
      <c r="O331">
        <v>49</v>
      </c>
      <c r="P331" t="s">
        <v>89</v>
      </c>
      <c r="Q331" t="s">
        <v>112</v>
      </c>
      <c r="R331">
        <v>1</v>
      </c>
      <c r="S331" t="s">
        <v>92</v>
      </c>
      <c r="T331">
        <v>1</v>
      </c>
      <c r="U331" t="s">
        <v>93</v>
      </c>
      <c r="V331" t="s">
        <v>94</v>
      </c>
      <c r="W331">
        <v>1</v>
      </c>
      <c r="X331">
        <v>0</v>
      </c>
    </row>
    <row r="332" spans="2:24" x14ac:dyDescent="0.3">
      <c r="B332">
        <v>328</v>
      </c>
      <c r="C332" t="s">
        <v>12</v>
      </c>
      <c r="D332">
        <v>24</v>
      </c>
      <c r="E332" t="s">
        <v>95</v>
      </c>
      <c r="F332" t="s">
        <v>107</v>
      </c>
      <c r="G332">
        <v>1525</v>
      </c>
      <c r="H332" t="s">
        <v>114</v>
      </c>
      <c r="I332" t="s">
        <v>100</v>
      </c>
      <c r="J332">
        <v>4</v>
      </c>
      <c r="K332" t="s">
        <v>98</v>
      </c>
      <c r="L332" t="s">
        <v>89</v>
      </c>
      <c r="M332">
        <v>3</v>
      </c>
      <c r="N332" t="s">
        <v>111</v>
      </c>
      <c r="O332">
        <v>34</v>
      </c>
      <c r="P332" t="s">
        <v>89</v>
      </c>
      <c r="Q332" t="s">
        <v>91</v>
      </c>
      <c r="R332">
        <v>1</v>
      </c>
      <c r="S332" t="s">
        <v>92</v>
      </c>
      <c r="T332">
        <v>2</v>
      </c>
      <c r="U332" t="s">
        <v>93</v>
      </c>
      <c r="V332" t="s">
        <v>94</v>
      </c>
      <c r="W332">
        <v>1</v>
      </c>
      <c r="X332">
        <v>0</v>
      </c>
    </row>
    <row r="333" spans="2:24" x14ac:dyDescent="0.3">
      <c r="B333">
        <v>329</v>
      </c>
      <c r="C333" t="s">
        <v>11</v>
      </c>
      <c r="D333">
        <v>36</v>
      </c>
      <c r="E333" t="s">
        <v>95</v>
      </c>
      <c r="F333" t="s">
        <v>85</v>
      </c>
      <c r="G333">
        <v>4473</v>
      </c>
      <c r="H333" t="s">
        <v>96</v>
      </c>
      <c r="I333" t="s">
        <v>87</v>
      </c>
      <c r="J333">
        <v>4</v>
      </c>
      <c r="K333" t="s">
        <v>88</v>
      </c>
      <c r="L333" t="s">
        <v>89</v>
      </c>
      <c r="M333">
        <v>2</v>
      </c>
      <c r="N333" t="s">
        <v>111</v>
      </c>
      <c r="O333">
        <v>31</v>
      </c>
      <c r="P333" t="s">
        <v>89</v>
      </c>
      <c r="Q333" t="s">
        <v>91</v>
      </c>
      <c r="R333">
        <v>1</v>
      </c>
      <c r="S333" t="s">
        <v>92</v>
      </c>
      <c r="T333">
        <v>1</v>
      </c>
      <c r="U333" t="s">
        <v>89</v>
      </c>
      <c r="V333" t="s">
        <v>94</v>
      </c>
      <c r="W333">
        <v>1</v>
      </c>
      <c r="X333">
        <v>0</v>
      </c>
    </row>
    <row r="334" spans="2:24" x14ac:dyDescent="0.3">
      <c r="B334">
        <v>330</v>
      </c>
      <c r="C334" t="s">
        <v>10</v>
      </c>
      <c r="D334">
        <v>6</v>
      </c>
      <c r="E334" t="s">
        <v>95</v>
      </c>
      <c r="F334" t="s">
        <v>85</v>
      </c>
      <c r="G334">
        <v>1068</v>
      </c>
      <c r="H334" t="s">
        <v>96</v>
      </c>
      <c r="I334" t="s">
        <v>87</v>
      </c>
      <c r="J334">
        <v>4</v>
      </c>
      <c r="K334" t="s">
        <v>88</v>
      </c>
      <c r="L334" t="s">
        <v>89</v>
      </c>
      <c r="M334">
        <v>4</v>
      </c>
      <c r="N334" t="s">
        <v>111</v>
      </c>
      <c r="O334">
        <v>28</v>
      </c>
      <c r="P334" t="s">
        <v>89</v>
      </c>
      <c r="Q334" t="s">
        <v>91</v>
      </c>
      <c r="R334">
        <v>1</v>
      </c>
      <c r="S334" t="s">
        <v>92</v>
      </c>
      <c r="T334">
        <v>2</v>
      </c>
      <c r="U334" t="s">
        <v>89</v>
      </c>
      <c r="V334" t="s">
        <v>94</v>
      </c>
      <c r="W334">
        <v>1</v>
      </c>
      <c r="X334">
        <v>0</v>
      </c>
    </row>
    <row r="335" spans="2:24" x14ac:dyDescent="0.3">
      <c r="B335">
        <v>331</v>
      </c>
      <c r="C335" t="s">
        <v>8</v>
      </c>
      <c r="D335">
        <v>24</v>
      </c>
      <c r="E335" t="s">
        <v>84</v>
      </c>
      <c r="F335" t="s">
        <v>110</v>
      </c>
      <c r="G335">
        <v>6615</v>
      </c>
      <c r="H335" t="s">
        <v>96</v>
      </c>
      <c r="I335" t="s">
        <v>116</v>
      </c>
      <c r="J335">
        <v>2</v>
      </c>
      <c r="K335" t="s">
        <v>88</v>
      </c>
      <c r="L335" t="s">
        <v>89</v>
      </c>
      <c r="M335">
        <v>4</v>
      </c>
      <c r="N335" t="s">
        <v>108</v>
      </c>
      <c r="O335">
        <v>75</v>
      </c>
      <c r="P335" t="s">
        <v>89</v>
      </c>
      <c r="Q335" t="s">
        <v>105</v>
      </c>
      <c r="R335">
        <v>2</v>
      </c>
      <c r="S335" t="s">
        <v>113</v>
      </c>
      <c r="T335">
        <v>1</v>
      </c>
      <c r="U335" t="s">
        <v>93</v>
      </c>
      <c r="V335" t="s">
        <v>94</v>
      </c>
      <c r="W335">
        <v>1</v>
      </c>
      <c r="X335">
        <v>0</v>
      </c>
    </row>
    <row r="336" spans="2:24" x14ac:dyDescent="0.3">
      <c r="B336">
        <v>332</v>
      </c>
      <c r="C336" t="s">
        <v>12</v>
      </c>
      <c r="D336">
        <v>18</v>
      </c>
      <c r="E336" t="s">
        <v>84</v>
      </c>
      <c r="F336" t="s">
        <v>99</v>
      </c>
      <c r="G336">
        <v>1864</v>
      </c>
      <c r="H336" t="s">
        <v>120</v>
      </c>
      <c r="I336" t="s">
        <v>97</v>
      </c>
      <c r="J336">
        <v>4</v>
      </c>
      <c r="K336" t="s">
        <v>98</v>
      </c>
      <c r="L336" t="s">
        <v>89</v>
      </c>
      <c r="M336">
        <v>2</v>
      </c>
      <c r="N336" t="s">
        <v>90</v>
      </c>
      <c r="O336">
        <v>30</v>
      </c>
      <c r="P336" t="s">
        <v>89</v>
      </c>
      <c r="Q336" t="s">
        <v>91</v>
      </c>
      <c r="R336">
        <v>2</v>
      </c>
      <c r="S336" t="s">
        <v>92</v>
      </c>
      <c r="T336">
        <v>1</v>
      </c>
      <c r="U336" t="s">
        <v>89</v>
      </c>
      <c r="V336" t="s">
        <v>94</v>
      </c>
      <c r="W336">
        <v>2</v>
      </c>
      <c r="X336">
        <v>1</v>
      </c>
    </row>
    <row r="337" spans="2:24" x14ac:dyDescent="0.3">
      <c r="B337">
        <v>333</v>
      </c>
      <c r="C337" t="s">
        <v>10</v>
      </c>
      <c r="D337">
        <v>60</v>
      </c>
      <c r="E337" t="s">
        <v>95</v>
      </c>
      <c r="F337" t="s">
        <v>107</v>
      </c>
      <c r="G337">
        <v>7408</v>
      </c>
      <c r="H337" t="s">
        <v>120</v>
      </c>
      <c r="I337" t="s">
        <v>118</v>
      </c>
      <c r="J337">
        <v>4</v>
      </c>
      <c r="K337" t="s">
        <v>98</v>
      </c>
      <c r="L337" t="s">
        <v>89</v>
      </c>
      <c r="M337">
        <v>2</v>
      </c>
      <c r="N337" t="s">
        <v>104</v>
      </c>
      <c r="O337">
        <v>24</v>
      </c>
      <c r="P337" t="s">
        <v>89</v>
      </c>
      <c r="Q337" t="s">
        <v>91</v>
      </c>
      <c r="R337">
        <v>1</v>
      </c>
      <c r="S337" t="s">
        <v>113</v>
      </c>
      <c r="T337">
        <v>1</v>
      </c>
      <c r="U337" t="s">
        <v>89</v>
      </c>
      <c r="V337" t="s">
        <v>94</v>
      </c>
      <c r="W337">
        <v>2</v>
      </c>
      <c r="X337">
        <v>1</v>
      </c>
    </row>
    <row r="338" spans="2:24" x14ac:dyDescent="0.3">
      <c r="B338">
        <v>334</v>
      </c>
      <c r="C338" t="s">
        <v>12</v>
      </c>
      <c r="D338">
        <v>48</v>
      </c>
      <c r="E338" t="s">
        <v>84</v>
      </c>
      <c r="F338" t="s">
        <v>110</v>
      </c>
      <c r="G338">
        <v>11590</v>
      </c>
      <c r="H338" t="s">
        <v>120</v>
      </c>
      <c r="I338" t="s">
        <v>97</v>
      </c>
      <c r="J338">
        <v>2</v>
      </c>
      <c r="K338" t="s">
        <v>98</v>
      </c>
      <c r="L338" t="s">
        <v>89</v>
      </c>
      <c r="M338">
        <v>4</v>
      </c>
      <c r="N338" t="s">
        <v>111</v>
      </c>
      <c r="O338">
        <v>24</v>
      </c>
      <c r="P338" t="s">
        <v>122</v>
      </c>
      <c r="Q338" t="s">
        <v>112</v>
      </c>
      <c r="R338">
        <v>2</v>
      </c>
      <c r="S338" t="s">
        <v>101</v>
      </c>
      <c r="T338">
        <v>1</v>
      </c>
      <c r="U338" t="s">
        <v>89</v>
      </c>
      <c r="V338" t="s">
        <v>94</v>
      </c>
      <c r="W338">
        <v>2</v>
      </c>
      <c r="X338">
        <v>1</v>
      </c>
    </row>
    <row r="339" spans="2:24" x14ac:dyDescent="0.3">
      <c r="B339">
        <v>335</v>
      </c>
      <c r="C339" t="s">
        <v>8</v>
      </c>
      <c r="D339">
        <v>24</v>
      </c>
      <c r="E339" t="s">
        <v>121</v>
      </c>
      <c r="F339" t="s">
        <v>102</v>
      </c>
      <c r="G339">
        <v>4110</v>
      </c>
      <c r="H339" t="s">
        <v>96</v>
      </c>
      <c r="I339" t="s">
        <v>87</v>
      </c>
      <c r="J339">
        <v>3</v>
      </c>
      <c r="K339" t="s">
        <v>88</v>
      </c>
      <c r="L339" t="s">
        <v>89</v>
      </c>
      <c r="M339">
        <v>4</v>
      </c>
      <c r="N339" t="s">
        <v>108</v>
      </c>
      <c r="O339">
        <v>23</v>
      </c>
      <c r="P339" t="s">
        <v>122</v>
      </c>
      <c r="Q339" t="s">
        <v>112</v>
      </c>
      <c r="R339">
        <v>2</v>
      </c>
      <c r="S339" t="s">
        <v>92</v>
      </c>
      <c r="T339">
        <v>2</v>
      </c>
      <c r="U339" t="s">
        <v>89</v>
      </c>
      <c r="V339" t="s">
        <v>94</v>
      </c>
      <c r="W339">
        <v>2</v>
      </c>
      <c r="X339">
        <v>1</v>
      </c>
    </row>
    <row r="340" spans="2:24" x14ac:dyDescent="0.3">
      <c r="B340">
        <v>336</v>
      </c>
      <c r="C340" t="s">
        <v>8</v>
      </c>
      <c r="D340">
        <v>6</v>
      </c>
      <c r="E340" t="s">
        <v>84</v>
      </c>
      <c r="F340" t="s">
        <v>102</v>
      </c>
      <c r="G340">
        <v>3384</v>
      </c>
      <c r="H340" t="s">
        <v>96</v>
      </c>
      <c r="I340" t="s">
        <v>97</v>
      </c>
      <c r="J340">
        <v>1</v>
      </c>
      <c r="K340" t="s">
        <v>115</v>
      </c>
      <c r="L340" t="s">
        <v>89</v>
      </c>
      <c r="M340">
        <v>4</v>
      </c>
      <c r="N340" t="s">
        <v>90</v>
      </c>
      <c r="O340">
        <v>44</v>
      </c>
      <c r="P340" t="s">
        <v>89</v>
      </c>
      <c r="Q340" t="s">
        <v>112</v>
      </c>
      <c r="R340">
        <v>1</v>
      </c>
      <c r="S340" t="s">
        <v>113</v>
      </c>
      <c r="T340">
        <v>1</v>
      </c>
      <c r="U340" t="s">
        <v>93</v>
      </c>
      <c r="V340" t="s">
        <v>94</v>
      </c>
      <c r="W340">
        <v>2</v>
      </c>
      <c r="X340">
        <v>1</v>
      </c>
    </row>
    <row r="341" spans="2:24" x14ac:dyDescent="0.3">
      <c r="B341">
        <v>337</v>
      </c>
      <c r="C341" t="s">
        <v>10</v>
      </c>
      <c r="D341">
        <v>13</v>
      </c>
      <c r="E341" t="s">
        <v>95</v>
      </c>
      <c r="F341" t="s">
        <v>85</v>
      </c>
      <c r="G341">
        <v>2101</v>
      </c>
      <c r="H341" t="s">
        <v>96</v>
      </c>
      <c r="I341" t="s">
        <v>118</v>
      </c>
      <c r="J341">
        <v>2</v>
      </c>
      <c r="K341" t="s">
        <v>98</v>
      </c>
      <c r="L341" t="s">
        <v>103</v>
      </c>
      <c r="M341">
        <v>4</v>
      </c>
      <c r="N341" t="s">
        <v>104</v>
      </c>
      <c r="O341">
        <v>23</v>
      </c>
      <c r="P341" t="s">
        <v>89</v>
      </c>
      <c r="Q341" t="s">
        <v>91</v>
      </c>
      <c r="R341">
        <v>1</v>
      </c>
      <c r="S341" t="s">
        <v>101</v>
      </c>
      <c r="T341">
        <v>1</v>
      </c>
      <c r="U341" t="s">
        <v>89</v>
      </c>
      <c r="V341" t="s">
        <v>94</v>
      </c>
      <c r="W341">
        <v>1</v>
      </c>
      <c r="X341">
        <v>0</v>
      </c>
    </row>
    <row r="342" spans="2:24" x14ac:dyDescent="0.3">
      <c r="B342">
        <v>338</v>
      </c>
      <c r="C342" t="s">
        <v>8</v>
      </c>
      <c r="D342">
        <v>15</v>
      </c>
      <c r="E342" t="s">
        <v>95</v>
      </c>
      <c r="F342" t="s">
        <v>127</v>
      </c>
      <c r="G342">
        <v>1275</v>
      </c>
      <c r="H342" t="s">
        <v>86</v>
      </c>
      <c r="I342" t="s">
        <v>97</v>
      </c>
      <c r="J342">
        <v>4</v>
      </c>
      <c r="K342" t="s">
        <v>98</v>
      </c>
      <c r="L342" t="s">
        <v>89</v>
      </c>
      <c r="M342">
        <v>2</v>
      </c>
      <c r="N342" t="s">
        <v>111</v>
      </c>
      <c r="O342">
        <v>24</v>
      </c>
      <c r="P342" t="s">
        <v>89</v>
      </c>
      <c r="Q342" t="s">
        <v>112</v>
      </c>
      <c r="R342">
        <v>1</v>
      </c>
      <c r="S342" t="s">
        <v>92</v>
      </c>
      <c r="T342">
        <v>1</v>
      </c>
      <c r="U342" t="s">
        <v>89</v>
      </c>
      <c r="V342" t="s">
        <v>94</v>
      </c>
      <c r="W342">
        <v>2</v>
      </c>
      <c r="X342">
        <v>1</v>
      </c>
    </row>
    <row r="343" spans="2:24" x14ac:dyDescent="0.3">
      <c r="B343">
        <v>339</v>
      </c>
      <c r="C343" t="s">
        <v>8</v>
      </c>
      <c r="D343">
        <v>24</v>
      </c>
      <c r="E343" t="s">
        <v>95</v>
      </c>
      <c r="F343" t="s">
        <v>102</v>
      </c>
      <c r="G343">
        <v>4169</v>
      </c>
      <c r="H343" t="s">
        <v>96</v>
      </c>
      <c r="I343" t="s">
        <v>97</v>
      </c>
      <c r="J343">
        <v>4</v>
      </c>
      <c r="K343" t="s">
        <v>88</v>
      </c>
      <c r="L343" t="s">
        <v>89</v>
      </c>
      <c r="M343">
        <v>4</v>
      </c>
      <c r="N343" t="s">
        <v>104</v>
      </c>
      <c r="O343">
        <v>28</v>
      </c>
      <c r="P343" t="s">
        <v>89</v>
      </c>
      <c r="Q343" t="s">
        <v>91</v>
      </c>
      <c r="R343">
        <v>1</v>
      </c>
      <c r="S343" t="s">
        <v>92</v>
      </c>
      <c r="T343">
        <v>1</v>
      </c>
      <c r="U343" t="s">
        <v>89</v>
      </c>
      <c r="V343" t="s">
        <v>94</v>
      </c>
      <c r="W343">
        <v>1</v>
      </c>
      <c r="X343">
        <v>0</v>
      </c>
    </row>
    <row r="344" spans="2:24" x14ac:dyDescent="0.3">
      <c r="B344">
        <v>340</v>
      </c>
      <c r="C344" t="s">
        <v>10</v>
      </c>
      <c r="D344">
        <v>10</v>
      </c>
      <c r="E344" t="s">
        <v>95</v>
      </c>
      <c r="F344" t="s">
        <v>102</v>
      </c>
      <c r="G344">
        <v>1521</v>
      </c>
      <c r="H344" t="s">
        <v>96</v>
      </c>
      <c r="I344" t="s">
        <v>97</v>
      </c>
      <c r="J344">
        <v>4</v>
      </c>
      <c r="K344" t="s">
        <v>115</v>
      </c>
      <c r="L344" t="s">
        <v>89</v>
      </c>
      <c r="M344">
        <v>2</v>
      </c>
      <c r="N344" t="s">
        <v>111</v>
      </c>
      <c r="O344">
        <v>31</v>
      </c>
      <c r="P344" t="s">
        <v>89</v>
      </c>
      <c r="Q344" t="s">
        <v>91</v>
      </c>
      <c r="R344">
        <v>1</v>
      </c>
      <c r="S344" t="s">
        <v>101</v>
      </c>
      <c r="T344">
        <v>1</v>
      </c>
      <c r="U344" t="s">
        <v>89</v>
      </c>
      <c r="V344" t="s">
        <v>94</v>
      </c>
      <c r="W344">
        <v>1</v>
      </c>
      <c r="X344">
        <v>0</v>
      </c>
    </row>
    <row r="345" spans="2:24" x14ac:dyDescent="0.3">
      <c r="B345">
        <v>341</v>
      </c>
      <c r="C345" t="s">
        <v>10</v>
      </c>
      <c r="D345">
        <v>24</v>
      </c>
      <c r="E345" t="s">
        <v>84</v>
      </c>
      <c r="F345" t="s">
        <v>99</v>
      </c>
      <c r="G345">
        <v>5743</v>
      </c>
      <c r="H345" t="s">
        <v>96</v>
      </c>
      <c r="I345" t="s">
        <v>118</v>
      </c>
      <c r="J345">
        <v>2</v>
      </c>
      <c r="K345" t="s">
        <v>98</v>
      </c>
      <c r="L345" t="s">
        <v>89</v>
      </c>
      <c r="M345">
        <v>4</v>
      </c>
      <c r="N345" t="s">
        <v>108</v>
      </c>
      <c r="O345">
        <v>24</v>
      </c>
      <c r="P345" t="s">
        <v>89</v>
      </c>
      <c r="Q345" t="s">
        <v>105</v>
      </c>
      <c r="R345">
        <v>2</v>
      </c>
      <c r="S345" t="s">
        <v>92</v>
      </c>
      <c r="T345">
        <v>1</v>
      </c>
      <c r="U345" t="s">
        <v>93</v>
      </c>
      <c r="V345" t="s">
        <v>94</v>
      </c>
      <c r="W345">
        <v>1</v>
      </c>
      <c r="X345">
        <v>0</v>
      </c>
    </row>
    <row r="346" spans="2:24" x14ac:dyDescent="0.3">
      <c r="B346">
        <v>342</v>
      </c>
      <c r="C346" t="s">
        <v>8</v>
      </c>
      <c r="D346">
        <v>21</v>
      </c>
      <c r="E346" t="s">
        <v>95</v>
      </c>
      <c r="F346" t="s">
        <v>102</v>
      </c>
      <c r="G346">
        <v>3599</v>
      </c>
      <c r="H346" t="s">
        <v>96</v>
      </c>
      <c r="I346" t="s">
        <v>100</v>
      </c>
      <c r="J346">
        <v>1</v>
      </c>
      <c r="K346" t="s">
        <v>98</v>
      </c>
      <c r="L346" t="s">
        <v>89</v>
      </c>
      <c r="M346">
        <v>4</v>
      </c>
      <c r="N346" t="s">
        <v>111</v>
      </c>
      <c r="O346">
        <v>26</v>
      </c>
      <c r="P346" t="s">
        <v>89</v>
      </c>
      <c r="Q346" t="s">
        <v>112</v>
      </c>
      <c r="R346">
        <v>1</v>
      </c>
      <c r="S346" t="s">
        <v>101</v>
      </c>
      <c r="T346">
        <v>1</v>
      </c>
      <c r="U346" t="s">
        <v>89</v>
      </c>
      <c r="V346" t="s">
        <v>94</v>
      </c>
      <c r="W346">
        <v>1</v>
      </c>
      <c r="X346">
        <v>0</v>
      </c>
    </row>
    <row r="347" spans="2:24" x14ac:dyDescent="0.3">
      <c r="B347">
        <v>343</v>
      </c>
      <c r="C347" t="s">
        <v>10</v>
      </c>
      <c r="D347">
        <v>18</v>
      </c>
      <c r="E347" t="s">
        <v>95</v>
      </c>
      <c r="F347" t="s">
        <v>85</v>
      </c>
      <c r="G347">
        <v>3213</v>
      </c>
      <c r="H347" t="s">
        <v>109</v>
      </c>
      <c r="I347" t="s">
        <v>118</v>
      </c>
      <c r="J347">
        <v>1</v>
      </c>
      <c r="K347" t="s">
        <v>117</v>
      </c>
      <c r="L347" t="s">
        <v>89</v>
      </c>
      <c r="M347">
        <v>3</v>
      </c>
      <c r="N347" t="s">
        <v>90</v>
      </c>
      <c r="O347">
        <v>25</v>
      </c>
      <c r="P347" t="s">
        <v>89</v>
      </c>
      <c r="Q347" t="s">
        <v>112</v>
      </c>
      <c r="R347">
        <v>1</v>
      </c>
      <c r="S347" t="s">
        <v>92</v>
      </c>
      <c r="T347">
        <v>1</v>
      </c>
      <c r="U347" t="s">
        <v>89</v>
      </c>
      <c r="V347" t="s">
        <v>94</v>
      </c>
      <c r="W347">
        <v>1</v>
      </c>
      <c r="X347">
        <v>0</v>
      </c>
    </row>
    <row r="348" spans="2:24" x14ac:dyDescent="0.3">
      <c r="B348">
        <v>344</v>
      </c>
      <c r="C348" t="s">
        <v>10</v>
      </c>
      <c r="D348">
        <v>18</v>
      </c>
      <c r="E348" t="s">
        <v>95</v>
      </c>
      <c r="F348" t="s">
        <v>119</v>
      </c>
      <c r="G348">
        <v>4439</v>
      </c>
      <c r="H348" t="s">
        <v>96</v>
      </c>
      <c r="I348" t="s">
        <v>87</v>
      </c>
      <c r="J348">
        <v>1</v>
      </c>
      <c r="K348" t="s">
        <v>88</v>
      </c>
      <c r="L348" t="s">
        <v>126</v>
      </c>
      <c r="M348">
        <v>1</v>
      </c>
      <c r="N348" t="s">
        <v>90</v>
      </c>
      <c r="O348">
        <v>33</v>
      </c>
      <c r="P348" t="s">
        <v>122</v>
      </c>
      <c r="Q348" t="s">
        <v>91</v>
      </c>
      <c r="R348">
        <v>1</v>
      </c>
      <c r="S348" t="s">
        <v>113</v>
      </c>
      <c r="T348">
        <v>1</v>
      </c>
      <c r="U348" t="s">
        <v>93</v>
      </c>
      <c r="V348" t="s">
        <v>94</v>
      </c>
      <c r="W348">
        <v>1</v>
      </c>
      <c r="X348">
        <v>0</v>
      </c>
    </row>
    <row r="349" spans="2:24" x14ac:dyDescent="0.3">
      <c r="B349">
        <v>345</v>
      </c>
      <c r="C349" t="s">
        <v>11</v>
      </c>
      <c r="D349">
        <v>10</v>
      </c>
      <c r="E349" t="s">
        <v>95</v>
      </c>
      <c r="F349" t="s">
        <v>107</v>
      </c>
      <c r="G349">
        <v>3949</v>
      </c>
      <c r="H349" t="s">
        <v>96</v>
      </c>
      <c r="I349" t="s">
        <v>118</v>
      </c>
      <c r="J349">
        <v>1</v>
      </c>
      <c r="K349" t="s">
        <v>88</v>
      </c>
      <c r="L349" t="s">
        <v>103</v>
      </c>
      <c r="M349">
        <v>1</v>
      </c>
      <c r="N349" t="s">
        <v>104</v>
      </c>
      <c r="O349">
        <v>37</v>
      </c>
      <c r="P349" t="s">
        <v>89</v>
      </c>
      <c r="Q349" t="s">
        <v>91</v>
      </c>
      <c r="R349">
        <v>1</v>
      </c>
      <c r="S349" t="s">
        <v>101</v>
      </c>
      <c r="T349">
        <v>2</v>
      </c>
      <c r="U349" t="s">
        <v>89</v>
      </c>
      <c r="V349" t="s">
        <v>94</v>
      </c>
      <c r="W349">
        <v>1</v>
      </c>
      <c r="X349">
        <v>0</v>
      </c>
    </row>
    <row r="350" spans="2:24" x14ac:dyDescent="0.3">
      <c r="B350">
        <v>346</v>
      </c>
      <c r="C350" t="s">
        <v>12</v>
      </c>
      <c r="D350">
        <v>15</v>
      </c>
      <c r="E350" t="s">
        <v>84</v>
      </c>
      <c r="F350" t="s">
        <v>85</v>
      </c>
      <c r="G350">
        <v>1459</v>
      </c>
      <c r="H350" t="s">
        <v>96</v>
      </c>
      <c r="I350" t="s">
        <v>97</v>
      </c>
      <c r="J350">
        <v>4</v>
      </c>
      <c r="K350" t="s">
        <v>98</v>
      </c>
      <c r="L350" t="s">
        <v>89</v>
      </c>
      <c r="M350">
        <v>2</v>
      </c>
      <c r="N350" t="s">
        <v>111</v>
      </c>
      <c r="O350">
        <v>43</v>
      </c>
      <c r="P350" t="s">
        <v>89</v>
      </c>
      <c r="Q350" t="s">
        <v>91</v>
      </c>
      <c r="R350">
        <v>1</v>
      </c>
      <c r="S350" t="s">
        <v>101</v>
      </c>
      <c r="T350">
        <v>1</v>
      </c>
      <c r="U350" t="s">
        <v>89</v>
      </c>
      <c r="V350" t="s">
        <v>94</v>
      </c>
      <c r="W350">
        <v>1</v>
      </c>
      <c r="X350">
        <v>0</v>
      </c>
    </row>
    <row r="351" spans="2:24" x14ac:dyDescent="0.3">
      <c r="B351">
        <v>347</v>
      </c>
      <c r="C351" t="s">
        <v>10</v>
      </c>
      <c r="D351">
        <v>13</v>
      </c>
      <c r="E351" t="s">
        <v>84</v>
      </c>
      <c r="F351" t="s">
        <v>85</v>
      </c>
      <c r="G351">
        <v>882</v>
      </c>
      <c r="H351" t="s">
        <v>96</v>
      </c>
      <c r="I351" t="s">
        <v>118</v>
      </c>
      <c r="J351">
        <v>4</v>
      </c>
      <c r="K351" t="s">
        <v>88</v>
      </c>
      <c r="L351" t="s">
        <v>103</v>
      </c>
      <c r="M351">
        <v>4</v>
      </c>
      <c r="N351" t="s">
        <v>90</v>
      </c>
      <c r="O351">
        <v>23</v>
      </c>
      <c r="P351" t="s">
        <v>89</v>
      </c>
      <c r="Q351" t="s">
        <v>91</v>
      </c>
      <c r="R351">
        <v>2</v>
      </c>
      <c r="S351" t="s">
        <v>92</v>
      </c>
      <c r="T351">
        <v>1</v>
      </c>
      <c r="U351" t="s">
        <v>89</v>
      </c>
      <c r="V351" t="s">
        <v>94</v>
      </c>
      <c r="W351">
        <v>1</v>
      </c>
      <c r="X351">
        <v>0</v>
      </c>
    </row>
    <row r="352" spans="2:24" x14ac:dyDescent="0.3">
      <c r="B352">
        <v>348</v>
      </c>
      <c r="C352" t="s">
        <v>10</v>
      </c>
      <c r="D352">
        <v>24</v>
      </c>
      <c r="E352" t="s">
        <v>95</v>
      </c>
      <c r="F352" t="s">
        <v>85</v>
      </c>
      <c r="G352">
        <v>3758</v>
      </c>
      <c r="H352" t="s">
        <v>109</v>
      </c>
      <c r="I352" t="s">
        <v>116</v>
      </c>
      <c r="J352">
        <v>1</v>
      </c>
      <c r="K352" t="s">
        <v>98</v>
      </c>
      <c r="L352" t="s">
        <v>89</v>
      </c>
      <c r="M352">
        <v>4</v>
      </c>
      <c r="N352" t="s">
        <v>108</v>
      </c>
      <c r="O352">
        <v>23</v>
      </c>
      <c r="P352" t="s">
        <v>89</v>
      </c>
      <c r="Q352" t="s">
        <v>112</v>
      </c>
      <c r="R352">
        <v>1</v>
      </c>
      <c r="S352" t="s">
        <v>129</v>
      </c>
      <c r="T352">
        <v>1</v>
      </c>
      <c r="U352" t="s">
        <v>89</v>
      </c>
      <c r="V352" t="s">
        <v>94</v>
      </c>
      <c r="W352">
        <v>1</v>
      </c>
      <c r="X352">
        <v>0</v>
      </c>
    </row>
    <row r="353" spans="2:24" x14ac:dyDescent="0.3">
      <c r="B353">
        <v>349</v>
      </c>
      <c r="C353" t="s">
        <v>12</v>
      </c>
      <c r="D353">
        <v>6</v>
      </c>
      <c r="E353" t="s">
        <v>106</v>
      </c>
      <c r="F353" t="s">
        <v>119</v>
      </c>
      <c r="G353">
        <v>1743</v>
      </c>
      <c r="H353" t="s">
        <v>120</v>
      </c>
      <c r="I353" t="s">
        <v>97</v>
      </c>
      <c r="J353">
        <v>1</v>
      </c>
      <c r="K353" t="s">
        <v>88</v>
      </c>
      <c r="L353" t="s">
        <v>89</v>
      </c>
      <c r="M353">
        <v>2</v>
      </c>
      <c r="N353" t="s">
        <v>90</v>
      </c>
      <c r="O353">
        <v>34</v>
      </c>
      <c r="P353" t="s">
        <v>89</v>
      </c>
      <c r="Q353" t="s">
        <v>91</v>
      </c>
      <c r="R353">
        <v>2</v>
      </c>
      <c r="S353" t="s">
        <v>101</v>
      </c>
      <c r="T353">
        <v>1</v>
      </c>
      <c r="U353" t="s">
        <v>89</v>
      </c>
      <c r="V353" t="s">
        <v>94</v>
      </c>
      <c r="W353">
        <v>1</v>
      </c>
      <c r="X353">
        <v>0</v>
      </c>
    </row>
    <row r="354" spans="2:24" x14ac:dyDescent="0.3">
      <c r="B354">
        <v>350</v>
      </c>
      <c r="C354" t="s">
        <v>10</v>
      </c>
      <c r="D354">
        <v>9</v>
      </c>
      <c r="E354" t="s">
        <v>84</v>
      </c>
      <c r="F354" t="s">
        <v>99</v>
      </c>
      <c r="G354">
        <v>1136</v>
      </c>
      <c r="H354" t="s">
        <v>114</v>
      </c>
      <c r="I354" t="s">
        <v>87</v>
      </c>
      <c r="J354">
        <v>4</v>
      </c>
      <c r="K354" t="s">
        <v>88</v>
      </c>
      <c r="L354" t="s">
        <v>89</v>
      </c>
      <c r="M354">
        <v>3</v>
      </c>
      <c r="N354" t="s">
        <v>108</v>
      </c>
      <c r="O354">
        <v>32</v>
      </c>
      <c r="P354" t="s">
        <v>89</v>
      </c>
      <c r="Q354" t="s">
        <v>105</v>
      </c>
      <c r="R354">
        <v>2</v>
      </c>
      <c r="S354" t="s">
        <v>92</v>
      </c>
      <c r="T354">
        <v>2</v>
      </c>
      <c r="U354" t="s">
        <v>89</v>
      </c>
      <c r="V354" t="s">
        <v>94</v>
      </c>
      <c r="W354">
        <v>2</v>
      </c>
      <c r="X354">
        <v>1</v>
      </c>
    </row>
    <row r="355" spans="2:24" x14ac:dyDescent="0.3">
      <c r="B355">
        <v>351</v>
      </c>
      <c r="C355" t="s">
        <v>12</v>
      </c>
      <c r="D355">
        <v>9</v>
      </c>
      <c r="E355" t="s">
        <v>95</v>
      </c>
      <c r="F355" t="s">
        <v>127</v>
      </c>
      <c r="G355">
        <v>1236</v>
      </c>
      <c r="H355" t="s">
        <v>96</v>
      </c>
      <c r="I355" t="s">
        <v>118</v>
      </c>
      <c r="J355">
        <v>1</v>
      </c>
      <c r="K355" t="s">
        <v>98</v>
      </c>
      <c r="L355" t="s">
        <v>89</v>
      </c>
      <c r="M355">
        <v>4</v>
      </c>
      <c r="N355" t="s">
        <v>90</v>
      </c>
      <c r="O355">
        <v>23</v>
      </c>
      <c r="P355" t="s">
        <v>89</v>
      </c>
      <c r="Q355" t="s">
        <v>112</v>
      </c>
      <c r="R355">
        <v>1</v>
      </c>
      <c r="S355" t="s">
        <v>92</v>
      </c>
      <c r="T355">
        <v>1</v>
      </c>
      <c r="U355" t="s">
        <v>93</v>
      </c>
      <c r="V355" t="s">
        <v>94</v>
      </c>
      <c r="W355">
        <v>1</v>
      </c>
      <c r="X355">
        <v>0</v>
      </c>
    </row>
    <row r="356" spans="2:24" x14ac:dyDescent="0.3">
      <c r="B356">
        <v>352</v>
      </c>
      <c r="C356" t="s">
        <v>10</v>
      </c>
      <c r="D356">
        <v>9</v>
      </c>
      <c r="E356" t="s">
        <v>95</v>
      </c>
      <c r="F356" t="s">
        <v>102</v>
      </c>
      <c r="G356">
        <v>959</v>
      </c>
      <c r="H356" t="s">
        <v>96</v>
      </c>
      <c r="I356" t="s">
        <v>97</v>
      </c>
      <c r="J356">
        <v>1</v>
      </c>
      <c r="K356" t="s">
        <v>98</v>
      </c>
      <c r="L356" t="s">
        <v>89</v>
      </c>
      <c r="M356">
        <v>2</v>
      </c>
      <c r="N356" t="s">
        <v>111</v>
      </c>
      <c r="O356">
        <v>29</v>
      </c>
      <c r="P356" t="s">
        <v>89</v>
      </c>
      <c r="Q356" t="s">
        <v>91</v>
      </c>
      <c r="R356">
        <v>1</v>
      </c>
      <c r="S356" t="s">
        <v>92</v>
      </c>
      <c r="T356">
        <v>1</v>
      </c>
      <c r="U356" t="s">
        <v>89</v>
      </c>
      <c r="V356" t="s">
        <v>123</v>
      </c>
      <c r="W356">
        <v>2</v>
      </c>
      <c r="X356">
        <v>1</v>
      </c>
    </row>
    <row r="357" spans="2:24" x14ac:dyDescent="0.3">
      <c r="B357">
        <v>353</v>
      </c>
      <c r="C357" t="s">
        <v>12</v>
      </c>
      <c r="D357">
        <v>18</v>
      </c>
      <c r="E357" t="s">
        <v>84</v>
      </c>
      <c r="F357" t="s">
        <v>110</v>
      </c>
      <c r="G357">
        <v>3229</v>
      </c>
      <c r="H357" t="s">
        <v>86</v>
      </c>
      <c r="I357" t="s">
        <v>116</v>
      </c>
      <c r="J357">
        <v>2</v>
      </c>
      <c r="K357" t="s">
        <v>88</v>
      </c>
      <c r="L357" t="s">
        <v>89</v>
      </c>
      <c r="M357">
        <v>4</v>
      </c>
      <c r="N357" t="s">
        <v>108</v>
      </c>
      <c r="O357">
        <v>38</v>
      </c>
      <c r="P357" t="s">
        <v>89</v>
      </c>
      <c r="Q357" t="s">
        <v>91</v>
      </c>
      <c r="R357">
        <v>1</v>
      </c>
      <c r="S357" t="s">
        <v>113</v>
      </c>
      <c r="T357">
        <v>1</v>
      </c>
      <c r="U357" t="s">
        <v>93</v>
      </c>
      <c r="V357" t="s">
        <v>94</v>
      </c>
      <c r="W357">
        <v>1</v>
      </c>
      <c r="X357">
        <v>0</v>
      </c>
    </row>
    <row r="358" spans="2:24" x14ac:dyDescent="0.3">
      <c r="B358">
        <v>354</v>
      </c>
      <c r="C358" t="s">
        <v>8</v>
      </c>
      <c r="D358">
        <v>12</v>
      </c>
      <c r="E358" t="s">
        <v>121</v>
      </c>
      <c r="F358" t="s">
        <v>85</v>
      </c>
      <c r="G358">
        <v>6199</v>
      </c>
      <c r="H358" t="s">
        <v>96</v>
      </c>
      <c r="I358" t="s">
        <v>97</v>
      </c>
      <c r="J358">
        <v>4</v>
      </c>
      <c r="K358" t="s">
        <v>88</v>
      </c>
      <c r="L358" t="s">
        <v>89</v>
      </c>
      <c r="M358">
        <v>2</v>
      </c>
      <c r="N358" t="s">
        <v>104</v>
      </c>
      <c r="O358">
        <v>28</v>
      </c>
      <c r="P358" t="s">
        <v>89</v>
      </c>
      <c r="Q358" t="s">
        <v>112</v>
      </c>
      <c r="R358">
        <v>2</v>
      </c>
      <c r="S358" t="s">
        <v>92</v>
      </c>
      <c r="T358">
        <v>1</v>
      </c>
      <c r="U358" t="s">
        <v>93</v>
      </c>
      <c r="V358" t="s">
        <v>94</v>
      </c>
      <c r="W358">
        <v>2</v>
      </c>
      <c r="X358">
        <v>1</v>
      </c>
    </row>
    <row r="359" spans="2:24" x14ac:dyDescent="0.3">
      <c r="B359">
        <v>355</v>
      </c>
      <c r="C359" t="s">
        <v>12</v>
      </c>
      <c r="D359">
        <v>10</v>
      </c>
      <c r="E359" t="s">
        <v>95</v>
      </c>
      <c r="F359" t="s">
        <v>99</v>
      </c>
      <c r="G359">
        <v>727</v>
      </c>
      <c r="H359" t="s">
        <v>109</v>
      </c>
      <c r="I359" t="s">
        <v>87</v>
      </c>
      <c r="J359">
        <v>4</v>
      </c>
      <c r="K359" t="s">
        <v>88</v>
      </c>
      <c r="L359" t="s">
        <v>89</v>
      </c>
      <c r="M359">
        <v>4</v>
      </c>
      <c r="N359" t="s">
        <v>108</v>
      </c>
      <c r="O359">
        <v>46</v>
      </c>
      <c r="P359" t="s">
        <v>89</v>
      </c>
      <c r="Q359" t="s">
        <v>105</v>
      </c>
      <c r="R359">
        <v>1</v>
      </c>
      <c r="S359" t="s">
        <v>92</v>
      </c>
      <c r="T359">
        <v>1</v>
      </c>
      <c r="U359" t="s">
        <v>93</v>
      </c>
      <c r="V359" t="s">
        <v>94</v>
      </c>
      <c r="W359">
        <v>1</v>
      </c>
      <c r="X359">
        <v>0</v>
      </c>
    </row>
    <row r="360" spans="2:24" x14ac:dyDescent="0.3">
      <c r="B360">
        <v>356</v>
      </c>
      <c r="C360" t="s">
        <v>10</v>
      </c>
      <c r="D360">
        <v>24</v>
      </c>
      <c r="E360" t="s">
        <v>95</v>
      </c>
      <c r="F360" t="s">
        <v>107</v>
      </c>
      <c r="G360">
        <v>1246</v>
      </c>
      <c r="H360" t="s">
        <v>96</v>
      </c>
      <c r="I360" t="s">
        <v>118</v>
      </c>
      <c r="J360">
        <v>4</v>
      </c>
      <c r="K360" t="s">
        <v>88</v>
      </c>
      <c r="L360" t="s">
        <v>89</v>
      </c>
      <c r="M360">
        <v>2</v>
      </c>
      <c r="N360" t="s">
        <v>90</v>
      </c>
      <c r="O360">
        <v>23</v>
      </c>
      <c r="P360" t="s">
        <v>125</v>
      </c>
      <c r="Q360" t="s">
        <v>91</v>
      </c>
      <c r="R360">
        <v>1</v>
      </c>
      <c r="S360" t="s">
        <v>101</v>
      </c>
      <c r="T360">
        <v>1</v>
      </c>
      <c r="U360" t="s">
        <v>89</v>
      </c>
      <c r="V360" t="s">
        <v>94</v>
      </c>
      <c r="W360">
        <v>2</v>
      </c>
      <c r="X360">
        <v>1</v>
      </c>
    </row>
    <row r="361" spans="2:24" x14ac:dyDescent="0.3">
      <c r="B361">
        <v>357</v>
      </c>
      <c r="C361" t="s">
        <v>12</v>
      </c>
      <c r="D361">
        <v>12</v>
      </c>
      <c r="E361" t="s">
        <v>84</v>
      </c>
      <c r="F361" t="s">
        <v>85</v>
      </c>
      <c r="G361">
        <v>2331</v>
      </c>
      <c r="H361" t="s">
        <v>86</v>
      </c>
      <c r="I361" t="s">
        <v>87</v>
      </c>
      <c r="J361">
        <v>1</v>
      </c>
      <c r="K361" t="s">
        <v>88</v>
      </c>
      <c r="L361" t="s">
        <v>126</v>
      </c>
      <c r="M361">
        <v>4</v>
      </c>
      <c r="N361" t="s">
        <v>90</v>
      </c>
      <c r="O361">
        <v>49</v>
      </c>
      <c r="P361" t="s">
        <v>89</v>
      </c>
      <c r="Q361" t="s">
        <v>91</v>
      </c>
      <c r="R361">
        <v>1</v>
      </c>
      <c r="S361" t="s">
        <v>92</v>
      </c>
      <c r="T361">
        <v>1</v>
      </c>
      <c r="U361" t="s">
        <v>93</v>
      </c>
      <c r="V361" t="s">
        <v>94</v>
      </c>
      <c r="W361">
        <v>1</v>
      </c>
      <c r="X361">
        <v>0</v>
      </c>
    </row>
    <row r="362" spans="2:24" x14ac:dyDescent="0.3">
      <c r="B362">
        <v>358</v>
      </c>
      <c r="C362" t="s">
        <v>12</v>
      </c>
      <c r="D362">
        <v>36</v>
      </c>
      <c r="E362" t="s">
        <v>106</v>
      </c>
      <c r="F362" t="s">
        <v>85</v>
      </c>
      <c r="G362">
        <v>4463</v>
      </c>
      <c r="H362" t="s">
        <v>96</v>
      </c>
      <c r="I362" t="s">
        <v>97</v>
      </c>
      <c r="J362">
        <v>4</v>
      </c>
      <c r="K362" t="s">
        <v>88</v>
      </c>
      <c r="L362" t="s">
        <v>89</v>
      </c>
      <c r="M362">
        <v>2</v>
      </c>
      <c r="N362" t="s">
        <v>111</v>
      </c>
      <c r="O362">
        <v>26</v>
      </c>
      <c r="P362" t="s">
        <v>89</v>
      </c>
      <c r="Q362" t="s">
        <v>91</v>
      </c>
      <c r="R362">
        <v>2</v>
      </c>
      <c r="S362" t="s">
        <v>113</v>
      </c>
      <c r="T362">
        <v>1</v>
      </c>
      <c r="U362" t="s">
        <v>93</v>
      </c>
      <c r="V362" t="s">
        <v>94</v>
      </c>
      <c r="W362">
        <v>2</v>
      </c>
      <c r="X362">
        <v>1</v>
      </c>
    </row>
    <row r="363" spans="2:24" x14ac:dyDescent="0.3">
      <c r="B363">
        <v>359</v>
      </c>
      <c r="C363" t="s">
        <v>12</v>
      </c>
      <c r="D363">
        <v>12</v>
      </c>
      <c r="E363" t="s">
        <v>95</v>
      </c>
      <c r="F363" t="s">
        <v>85</v>
      </c>
      <c r="G363">
        <v>776</v>
      </c>
      <c r="H363" t="s">
        <v>96</v>
      </c>
      <c r="I363" t="s">
        <v>97</v>
      </c>
      <c r="J363">
        <v>4</v>
      </c>
      <c r="K363" t="s">
        <v>117</v>
      </c>
      <c r="L363" t="s">
        <v>89</v>
      </c>
      <c r="M363">
        <v>2</v>
      </c>
      <c r="N363" t="s">
        <v>90</v>
      </c>
      <c r="O363">
        <v>28</v>
      </c>
      <c r="P363" t="s">
        <v>89</v>
      </c>
      <c r="Q363" t="s">
        <v>91</v>
      </c>
      <c r="R363">
        <v>1</v>
      </c>
      <c r="S363" t="s">
        <v>92</v>
      </c>
      <c r="T363">
        <v>1</v>
      </c>
      <c r="U363" t="s">
        <v>89</v>
      </c>
      <c r="V363" t="s">
        <v>94</v>
      </c>
      <c r="W363">
        <v>1</v>
      </c>
      <c r="X363">
        <v>0</v>
      </c>
    </row>
    <row r="364" spans="2:24" x14ac:dyDescent="0.3">
      <c r="B364">
        <v>360</v>
      </c>
      <c r="C364" t="s">
        <v>8</v>
      </c>
      <c r="D364">
        <v>30</v>
      </c>
      <c r="E364" t="s">
        <v>95</v>
      </c>
      <c r="F364" t="s">
        <v>102</v>
      </c>
      <c r="G364">
        <v>2406</v>
      </c>
      <c r="H364" t="s">
        <v>96</v>
      </c>
      <c r="I364" t="s">
        <v>100</v>
      </c>
      <c r="J364">
        <v>4</v>
      </c>
      <c r="K364" t="s">
        <v>98</v>
      </c>
      <c r="L364" t="s">
        <v>89</v>
      </c>
      <c r="M364">
        <v>4</v>
      </c>
      <c r="N364" t="s">
        <v>90</v>
      </c>
      <c r="O364">
        <v>23</v>
      </c>
      <c r="P364" t="s">
        <v>89</v>
      </c>
      <c r="Q364" t="s">
        <v>112</v>
      </c>
      <c r="R364">
        <v>1</v>
      </c>
      <c r="S364" t="s">
        <v>92</v>
      </c>
      <c r="T364">
        <v>1</v>
      </c>
      <c r="U364" t="s">
        <v>89</v>
      </c>
      <c r="V364" t="s">
        <v>94</v>
      </c>
      <c r="W364">
        <v>2</v>
      </c>
      <c r="X364">
        <v>1</v>
      </c>
    </row>
    <row r="365" spans="2:24" x14ac:dyDescent="0.3">
      <c r="B365">
        <v>361</v>
      </c>
      <c r="C365" t="s">
        <v>10</v>
      </c>
      <c r="D365">
        <v>18</v>
      </c>
      <c r="E365" t="s">
        <v>95</v>
      </c>
      <c r="F365" t="s">
        <v>99</v>
      </c>
      <c r="G365">
        <v>1239</v>
      </c>
      <c r="H365" t="s">
        <v>86</v>
      </c>
      <c r="I365" t="s">
        <v>97</v>
      </c>
      <c r="J365">
        <v>4</v>
      </c>
      <c r="K365" t="s">
        <v>88</v>
      </c>
      <c r="L365" t="s">
        <v>89</v>
      </c>
      <c r="M365">
        <v>4</v>
      </c>
      <c r="N365" t="s">
        <v>108</v>
      </c>
      <c r="O365">
        <v>61</v>
      </c>
      <c r="P365" t="s">
        <v>89</v>
      </c>
      <c r="Q365" t="s">
        <v>105</v>
      </c>
      <c r="R365">
        <v>1</v>
      </c>
      <c r="S365" t="s">
        <v>92</v>
      </c>
      <c r="T365">
        <v>1</v>
      </c>
      <c r="U365" t="s">
        <v>89</v>
      </c>
      <c r="V365" t="s">
        <v>94</v>
      </c>
      <c r="W365">
        <v>1</v>
      </c>
      <c r="X365">
        <v>0</v>
      </c>
    </row>
    <row r="366" spans="2:24" x14ac:dyDescent="0.3">
      <c r="B366">
        <v>362</v>
      </c>
      <c r="C366" t="s">
        <v>11</v>
      </c>
      <c r="D366">
        <v>12</v>
      </c>
      <c r="E366" t="s">
        <v>95</v>
      </c>
      <c r="F366" t="s">
        <v>85</v>
      </c>
      <c r="G366">
        <v>3399</v>
      </c>
      <c r="H366" t="s">
        <v>86</v>
      </c>
      <c r="I366" t="s">
        <v>87</v>
      </c>
      <c r="J366">
        <v>2</v>
      </c>
      <c r="K366" t="s">
        <v>88</v>
      </c>
      <c r="L366" t="s">
        <v>89</v>
      </c>
      <c r="M366">
        <v>3</v>
      </c>
      <c r="N366" t="s">
        <v>111</v>
      </c>
      <c r="O366">
        <v>37</v>
      </c>
      <c r="P366" t="s">
        <v>89</v>
      </c>
      <c r="Q366" t="s">
        <v>91</v>
      </c>
      <c r="R366">
        <v>1</v>
      </c>
      <c r="S366" t="s">
        <v>113</v>
      </c>
      <c r="T366">
        <v>1</v>
      </c>
      <c r="U366" t="s">
        <v>89</v>
      </c>
      <c r="V366" t="s">
        <v>94</v>
      </c>
      <c r="W366">
        <v>1</v>
      </c>
      <c r="X366">
        <v>0</v>
      </c>
    </row>
    <row r="367" spans="2:24" x14ac:dyDescent="0.3">
      <c r="B367">
        <v>363</v>
      </c>
      <c r="C367" t="s">
        <v>11</v>
      </c>
      <c r="D367">
        <v>12</v>
      </c>
      <c r="E367" t="s">
        <v>106</v>
      </c>
      <c r="F367" t="s">
        <v>107</v>
      </c>
      <c r="G367">
        <v>2247</v>
      </c>
      <c r="H367" t="s">
        <v>96</v>
      </c>
      <c r="I367" t="s">
        <v>97</v>
      </c>
      <c r="J367">
        <v>2</v>
      </c>
      <c r="K367" t="s">
        <v>98</v>
      </c>
      <c r="L367" t="s">
        <v>89</v>
      </c>
      <c r="M367">
        <v>2</v>
      </c>
      <c r="N367" t="s">
        <v>111</v>
      </c>
      <c r="O367">
        <v>36</v>
      </c>
      <c r="P367" t="s">
        <v>125</v>
      </c>
      <c r="Q367" t="s">
        <v>91</v>
      </c>
      <c r="R367">
        <v>2</v>
      </c>
      <c r="S367" t="s">
        <v>92</v>
      </c>
      <c r="T367">
        <v>1</v>
      </c>
      <c r="U367" t="s">
        <v>93</v>
      </c>
      <c r="V367" t="s">
        <v>94</v>
      </c>
      <c r="W367">
        <v>1</v>
      </c>
      <c r="X367">
        <v>0</v>
      </c>
    </row>
    <row r="368" spans="2:24" x14ac:dyDescent="0.3">
      <c r="B368">
        <v>364</v>
      </c>
      <c r="C368" t="s">
        <v>12</v>
      </c>
      <c r="D368">
        <v>6</v>
      </c>
      <c r="E368" t="s">
        <v>95</v>
      </c>
      <c r="F368" t="s">
        <v>102</v>
      </c>
      <c r="G368">
        <v>1766</v>
      </c>
      <c r="H368" t="s">
        <v>96</v>
      </c>
      <c r="I368" t="s">
        <v>97</v>
      </c>
      <c r="J368">
        <v>1</v>
      </c>
      <c r="K368" t="s">
        <v>117</v>
      </c>
      <c r="L368" t="s">
        <v>89</v>
      </c>
      <c r="M368">
        <v>2</v>
      </c>
      <c r="N368" t="s">
        <v>104</v>
      </c>
      <c r="O368">
        <v>21</v>
      </c>
      <c r="P368" t="s">
        <v>89</v>
      </c>
      <c r="Q368" t="s">
        <v>112</v>
      </c>
      <c r="R368">
        <v>1</v>
      </c>
      <c r="S368" t="s">
        <v>92</v>
      </c>
      <c r="T368">
        <v>1</v>
      </c>
      <c r="U368" t="s">
        <v>89</v>
      </c>
      <c r="V368" t="s">
        <v>94</v>
      </c>
      <c r="W368">
        <v>1</v>
      </c>
      <c r="X368">
        <v>0</v>
      </c>
    </row>
    <row r="369" spans="2:24" x14ac:dyDescent="0.3">
      <c r="B369">
        <v>365</v>
      </c>
      <c r="C369" t="s">
        <v>8</v>
      </c>
      <c r="D369">
        <v>18</v>
      </c>
      <c r="E369" t="s">
        <v>95</v>
      </c>
      <c r="F369" t="s">
        <v>102</v>
      </c>
      <c r="G369">
        <v>2473</v>
      </c>
      <c r="H369" t="s">
        <v>96</v>
      </c>
      <c r="I369" t="s">
        <v>116</v>
      </c>
      <c r="J369">
        <v>4</v>
      </c>
      <c r="K369" t="s">
        <v>88</v>
      </c>
      <c r="L369" t="s">
        <v>89</v>
      </c>
      <c r="M369">
        <v>1</v>
      </c>
      <c r="N369" t="s">
        <v>111</v>
      </c>
      <c r="O369">
        <v>25</v>
      </c>
      <c r="P369" t="s">
        <v>89</v>
      </c>
      <c r="Q369" t="s">
        <v>91</v>
      </c>
      <c r="R369">
        <v>1</v>
      </c>
      <c r="S369" t="s">
        <v>129</v>
      </c>
      <c r="T369">
        <v>1</v>
      </c>
      <c r="U369" t="s">
        <v>89</v>
      </c>
      <c r="V369" t="s">
        <v>94</v>
      </c>
      <c r="W369">
        <v>2</v>
      </c>
      <c r="X369">
        <v>1</v>
      </c>
    </row>
    <row r="370" spans="2:24" x14ac:dyDescent="0.3">
      <c r="B370">
        <v>366</v>
      </c>
      <c r="C370" t="s">
        <v>12</v>
      </c>
      <c r="D370">
        <v>12</v>
      </c>
      <c r="E370" t="s">
        <v>95</v>
      </c>
      <c r="F370" t="s">
        <v>119</v>
      </c>
      <c r="G370">
        <v>1542</v>
      </c>
      <c r="H370" t="s">
        <v>96</v>
      </c>
      <c r="I370" t="s">
        <v>100</v>
      </c>
      <c r="J370">
        <v>2</v>
      </c>
      <c r="K370" t="s">
        <v>88</v>
      </c>
      <c r="L370" t="s">
        <v>89</v>
      </c>
      <c r="M370">
        <v>4</v>
      </c>
      <c r="N370" t="s">
        <v>111</v>
      </c>
      <c r="O370">
        <v>36</v>
      </c>
      <c r="P370" t="s">
        <v>89</v>
      </c>
      <c r="Q370" t="s">
        <v>91</v>
      </c>
      <c r="R370">
        <v>1</v>
      </c>
      <c r="S370" t="s">
        <v>92</v>
      </c>
      <c r="T370">
        <v>1</v>
      </c>
      <c r="U370" t="s">
        <v>93</v>
      </c>
      <c r="V370" t="s">
        <v>94</v>
      </c>
      <c r="W370">
        <v>1</v>
      </c>
      <c r="X370">
        <v>0</v>
      </c>
    </row>
    <row r="371" spans="2:24" x14ac:dyDescent="0.3">
      <c r="B371">
        <v>367</v>
      </c>
      <c r="C371" t="s">
        <v>12</v>
      </c>
      <c r="D371">
        <v>18</v>
      </c>
      <c r="E371" t="s">
        <v>84</v>
      </c>
      <c r="F371" t="s">
        <v>110</v>
      </c>
      <c r="G371">
        <v>3850</v>
      </c>
      <c r="H371" t="s">
        <v>96</v>
      </c>
      <c r="I371" t="s">
        <v>100</v>
      </c>
      <c r="J371">
        <v>3</v>
      </c>
      <c r="K371" t="s">
        <v>88</v>
      </c>
      <c r="L371" t="s">
        <v>89</v>
      </c>
      <c r="M371">
        <v>1</v>
      </c>
      <c r="N371" t="s">
        <v>111</v>
      </c>
      <c r="O371">
        <v>27</v>
      </c>
      <c r="P371" t="s">
        <v>89</v>
      </c>
      <c r="Q371" t="s">
        <v>91</v>
      </c>
      <c r="R371">
        <v>2</v>
      </c>
      <c r="S371" t="s">
        <v>92</v>
      </c>
      <c r="T371">
        <v>1</v>
      </c>
      <c r="U371" t="s">
        <v>89</v>
      </c>
      <c r="V371" t="s">
        <v>94</v>
      </c>
      <c r="W371">
        <v>1</v>
      </c>
      <c r="X371">
        <v>0</v>
      </c>
    </row>
    <row r="372" spans="2:24" x14ac:dyDescent="0.3">
      <c r="B372">
        <v>368</v>
      </c>
      <c r="C372" t="s">
        <v>8</v>
      </c>
      <c r="D372">
        <v>18</v>
      </c>
      <c r="E372" t="s">
        <v>95</v>
      </c>
      <c r="F372" t="s">
        <v>102</v>
      </c>
      <c r="G372">
        <v>3650</v>
      </c>
      <c r="H372" t="s">
        <v>96</v>
      </c>
      <c r="I372" t="s">
        <v>118</v>
      </c>
      <c r="J372">
        <v>1</v>
      </c>
      <c r="K372" t="s">
        <v>98</v>
      </c>
      <c r="L372" t="s">
        <v>89</v>
      </c>
      <c r="M372">
        <v>4</v>
      </c>
      <c r="N372" t="s">
        <v>111</v>
      </c>
      <c r="O372">
        <v>22</v>
      </c>
      <c r="P372" t="s">
        <v>89</v>
      </c>
      <c r="Q372" t="s">
        <v>112</v>
      </c>
      <c r="R372">
        <v>1</v>
      </c>
      <c r="S372" t="s">
        <v>92</v>
      </c>
      <c r="T372">
        <v>1</v>
      </c>
      <c r="U372" t="s">
        <v>89</v>
      </c>
      <c r="V372" t="s">
        <v>94</v>
      </c>
      <c r="W372">
        <v>1</v>
      </c>
      <c r="X372">
        <v>0</v>
      </c>
    </row>
    <row r="373" spans="2:24" x14ac:dyDescent="0.3">
      <c r="B373">
        <v>369</v>
      </c>
      <c r="C373" t="s">
        <v>8</v>
      </c>
      <c r="D373">
        <v>36</v>
      </c>
      <c r="E373" t="s">
        <v>95</v>
      </c>
      <c r="F373" t="s">
        <v>102</v>
      </c>
      <c r="G373">
        <v>3446</v>
      </c>
      <c r="H373" t="s">
        <v>96</v>
      </c>
      <c r="I373" t="s">
        <v>87</v>
      </c>
      <c r="J373">
        <v>4</v>
      </c>
      <c r="K373" t="s">
        <v>88</v>
      </c>
      <c r="L373" t="s">
        <v>89</v>
      </c>
      <c r="M373">
        <v>2</v>
      </c>
      <c r="N373" t="s">
        <v>111</v>
      </c>
      <c r="O373">
        <v>42</v>
      </c>
      <c r="P373" t="s">
        <v>89</v>
      </c>
      <c r="Q373" t="s">
        <v>91</v>
      </c>
      <c r="R373">
        <v>1</v>
      </c>
      <c r="S373" t="s">
        <v>92</v>
      </c>
      <c r="T373">
        <v>2</v>
      </c>
      <c r="U373" t="s">
        <v>89</v>
      </c>
      <c r="V373" t="s">
        <v>94</v>
      </c>
      <c r="W373">
        <v>2</v>
      </c>
      <c r="X373">
        <v>1</v>
      </c>
    </row>
    <row r="374" spans="2:24" x14ac:dyDescent="0.3">
      <c r="B374">
        <v>370</v>
      </c>
      <c r="C374" t="s">
        <v>10</v>
      </c>
      <c r="D374">
        <v>18</v>
      </c>
      <c r="E374" t="s">
        <v>95</v>
      </c>
      <c r="F374" t="s">
        <v>102</v>
      </c>
      <c r="G374">
        <v>3001</v>
      </c>
      <c r="H374" t="s">
        <v>96</v>
      </c>
      <c r="I374" t="s">
        <v>100</v>
      </c>
      <c r="J374">
        <v>2</v>
      </c>
      <c r="K374" t="s">
        <v>98</v>
      </c>
      <c r="L374" t="s">
        <v>89</v>
      </c>
      <c r="M374">
        <v>4</v>
      </c>
      <c r="N374" t="s">
        <v>90</v>
      </c>
      <c r="O374">
        <v>40</v>
      </c>
      <c r="P374" t="s">
        <v>89</v>
      </c>
      <c r="Q374" t="s">
        <v>112</v>
      </c>
      <c r="R374">
        <v>1</v>
      </c>
      <c r="S374" t="s">
        <v>92</v>
      </c>
      <c r="T374">
        <v>1</v>
      </c>
      <c r="U374" t="s">
        <v>89</v>
      </c>
      <c r="V374" t="s">
        <v>94</v>
      </c>
      <c r="W374">
        <v>1</v>
      </c>
      <c r="X374">
        <v>0</v>
      </c>
    </row>
    <row r="375" spans="2:24" x14ac:dyDescent="0.3">
      <c r="B375">
        <v>371</v>
      </c>
      <c r="C375" t="s">
        <v>12</v>
      </c>
      <c r="D375">
        <v>36</v>
      </c>
      <c r="E375" t="s">
        <v>95</v>
      </c>
      <c r="F375" t="s">
        <v>107</v>
      </c>
      <c r="G375">
        <v>3079</v>
      </c>
      <c r="H375" t="s">
        <v>86</v>
      </c>
      <c r="I375" t="s">
        <v>97</v>
      </c>
      <c r="J375">
        <v>4</v>
      </c>
      <c r="K375" t="s">
        <v>88</v>
      </c>
      <c r="L375" t="s">
        <v>89</v>
      </c>
      <c r="M375">
        <v>4</v>
      </c>
      <c r="N375" t="s">
        <v>90</v>
      </c>
      <c r="O375">
        <v>36</v>
      </c>
      <c r="P375" t="s">
        <v>89</v>
      </c>
      <c r="Q375" t="s">
        <v>91</v>
      </c>
      <c r="R375">
        <v>1</v>
      </c>
      <c r="S375" t="s">
        <v>92</v>
      </c>
      <c r="T375">
        <v>1</v>
      </c>
      <c r="U375" t="s">
        <v>89</v>
      </c>
      <c r="V375" t="s">
        <v>94</v>
      </c>
      <c r="W375">
        <v>1</v>
      </c>
      <c r="X375">
        <v>0</v>
      </c>
    </row>
    <row r="376" spans="2:24" x14ac:dyDescent="0.3">
      <c r="B376">
        <v>372</v>
      </c>
      <c r="C376" t="s">
        <v>12</v>
      </c>
      <c r="D376">
        <v>18</v>
      </c>
      <c r="E376" t="s">
        <v>84</v>
      </c>
      <c r="F376" t="s">
        <v>85</v>
      </c>
      <c r="G376">
        <v>6070</v>
      </c>
      <c r="H376" t="s">
        <v>96</v>
      </c>
      <c r="I376" t="s">
        <v>87</v>
      </c>
      <c r="J376">
        <v>3</v>
      </c>
      <c r="K376" t="s">
        <v>88</v>
      </c>
      <c r="L376" t="s">
        <v>89</v>
      </c>
      <c r="M376">
        <v>4</v>
      </c>
      <c r="N376" t="s">
        <v>111</v>
      </c>
      <c r="O376">
        <v>33</v>
      </c>
      <c r="P376" t="s">
        <v>89</v>
      </c>
      <c r="Q376" t="s">
        <v>91</v>
      </c>
      <c r="R376">
        <v>2</v>
      </c>
      <c r="S376" t="s">
        <v>92</v>
      </c>
      <c r="T376">
        <v>1</v>
      </c>
      <c r="U376" t="s">
        <v>93</v>
      </c>
      <c r="V376" t="s">
        <v>94</v>
      </c>
      <c r="W376">
        <v>1</v>
      </c>
      <c r="X376">
        <v>0</v>
      </c>
    </row>
    <row r="377" spans="2:24" x14ac:dyDescent="0.3">
      <c r="B377">
        <v>373</v>
      </c>
      <c r="C377" t="s">
        <v>12</v>
      </c>
      <c r="D377">
        <v>10</v>
      </c>
      <c r="E377" t="s">
        <v>84</v>
      </c>
      <c r="F377" t="s">
        <v>102</v>
      </c>
      <c r="G377">
        <v>2146</v>
      </c>
      <c r="H377" t="s">
        <v>96</v>
      </c>
      <c r="I377" t="s">
        <v>118</v>
      </c>
      <c r="J377">
        <v>1</v>
      </c>
      <c r="K377" t="s">
        <v>98</v>
      </c>
      <c r="L377" t="s">
        <v>89</v>
      </c>
      <c r="M377">
        <v>3</v>
      </c>
      <c r="N377" t="s">
        <v>90</v>
      </c>
      <c r="O377">
        <v>23</v>
      </c>
      <c r="P377" t="s">
        <v>89</v>
      </c>
      <c r="Q377" t="s">
        <v>112</v>
      </c>
      <c r="R377">
        <v>2</v>
      </c>
      <c r="S377" t="s">
        <v>92</v>
      </c>
      <c r="T377">
        <v>1</v>
      </c>
      <c r="U377" t="s">
        <v>89</v>
      </c>
      <c r="V377" t="s">
        <v>94</v>
      </c>
      <c r="W377">
        <v>1</v>
      </c>
      <c r="X377">
        <v>0</v>
      </c>
    </row>
    <row r="378" spans="2:24" x14ac:dyDescent="0.3">
      <c r="B378">
        <v>374</v>
      </c>
      <c r="C378" t="s">
        <v>12</v>
      </c>
      <c r="D378">
        <v>60</v>
      </c>
      <c r="E378" t="s">
        <v>84</v>
      </c>
      <c r="F378" t="s">
        <v>107</v>
      </c>
      <c r="G378">
        <v>13756</v>
      </c>
      <c r="H378" t="s">
        <v>86</v>
      </c>
      <c r="I378" t="s">
        <v>87</v>
      </c>
      <c r="J378">
        <v>2</v>
      </c>
      <c r="K378" t="s">
        <v>88</v>
      </c>
      <c r="L378" t="s">
        <v>89</v>
      </c>
      <c r="M378">
        <v>4</v>
      </c>
      <c r="N378" t="s">
        <v>108</v>
      </c>
      <c r="O378">
        <v>63</v>
      </c>
      <c r="P378" t="s">
        <v>122</v>
      </c>
      <c r="Q378" t="s">
        <v>105</v>
      </c>
      <c r="R378">
        <v>1</v>
      </c>
      <c r="S378" t="s">
        <v>113</v>
      </c>
      <c r="T378">
        <v>1</v>
      </c>
      <c r="U378" t="s">
        <v>93</v>
      </c>
      <c r="V378" t="s">
        <v>94</v>
      </c>
      <c r="W378">
        <v>1</v>
      </c>
      <c r="X378">
        <v>0</v>
      </c>
    </row>
    <row r="379" spans="2:24" x14ac:dyDescent="0.3">
      <c r="B379">
        <v>375</v>
      </c>
      <c r="C379" t="s">
        <v>10</v>
      </c>
      <c r="D379">
        <v>60</v>
      </c>
      <c r="E379" t="s">
        <v>124</v>
      </c>
      <c r="F379" t="s">
        <v>130</v>
      </c>
      <c r="G379">
        <v>14782</v>
      </c>
      <c r="H379" t="s">
        <v>120</v>
      </c>
      <c r="I379" t="s">
        <v>87</v>
      </c>
      <c r="J379">
        <v>3</v>
      </c>
      <c r="K379" t="s">
        <v>98</v>
      </c>
      <c r="L379" t="s">
        <v>89</v>
      </c>
      <c r="M379">
        <v>4</v>
      </c>
      <c r="N379" t="s">
        <v>108</v>
      </c>
      <c r="O379">
        <v>60</v>
      </c>
      <c r="P379" t="s">
        <v>122</v>
      </c>
      <c r="Q379" t="s">
        <v>105</v>
      </c>
      <c r="R379">
        <v>2</v>
      </c>
      <c r="S379" t="s">
        <v>113</v>
      </c>
      <c r="T379">
        <v>1</v>
      </c>
      <c r="U379" t="s">
        <v>93</v>
      </c>
      <c r="V379" t="s">
        <v>94</v>
      </c>
      <c r="W379">
        <v>2</v>
      </c>
      <c r="X379">
        <v>1</v>
      </c>
    </row>
    <row r="380" spans="2:24" x14ac:dyDescent="0.3">
      <c r="B380">
        <v>376</v>
      </c>
      <c r="C380" t="s">
        <v>8</v>
      </c>
      <c r="D380">
        <v>48</v>
      </c>
      <c r="E380" t="s">
        <v>124</v>
      </c>
      <c r="F380" t="s">
        <v>119</v>
      </c>
      <c r="G380">
        <v>7685</v>
      </c>
      <c r="H380" t="s">
        <v>96</v>
      </c>
      <c r="I380" t="s">
        <v>100</v>
      </c>
      <c r="J380">
        <v>2</v>
      </c>
      <c r="K380" t="s">
        <v>98</v>
      </c>
      <c r="L380" t="s">
        <v>103</v>
      </c>
      <c r="M380">
        <v>4</v>
      </c>
      <c r="N380" t="s">
        <v>111</v>
      </c>
      <c r="O380">
        <v>37</v>
      </c>
      <c r="P380" t="s">
        <v>89</v>
      </c>
      <c r="Q380" t="s">
        <v>112</v>
      </c>
      <c r="R380">
        <v>1</v>
      </c>
      <c r="S380" t="s">
        <v>92</v>
      </c>
      <c r="T380">
        <v>1</v>
      </c>
      <c r="U380" t="s">
        <v>89</v>
      </c>
      <c r="V380" t="s">
        <v>94</v>
      </c>
      <c r="W380">
        <v>2</v>
      </c>
      <c r="X380">
        <v>1</v>
      </c>
    </row>
    <row r="381" spans="2:24" x14ac:dyDescent="0.3">
      <c r="B381">
        <v>377</v>
      </c>
      <c r="C381" t="s">
        <v>12</v>
      </c>
      <c r="D381">
        <v>18</v>
      </c>
      <c r="E381" t="s">
        <v>106</v>
      </c>
      <c r="F381" t="s">
        <v>85</v>
      </c>
      <c r="G381">
        <v>2320</v>
      </c>
      <c r="H381" t="s">
        <v>96</v>
      </c>
      <c r="I381" t="s">
        <v>116</v>
      </c>
      <c r="J381">
        <v>2</v>
      </c>
      <c r="K381" t="s">
        <v>117</v>
      </c>
      <c r="L381" t="s">
        <v>89</v>
      </c>
      <c r="M381">
        <v>3</v>
      </c>
      <c r="N381" t="s">
        <v>90</v>
      </c>
      <c r="O381">
        <v>34</v>
      </c>
      <c r="P381" t="s">
        <v>89</v>
      </c>
      <c r="Q381" t="s">
        <v>91</v>
      </c>
      <c r="R381">
        <v>2</v>
      </c>
      <c r="S381" t="s">
        <v>92</v>
      </c>
      <c r="T381">
        <v>1</v>
      </c>
      <c r="U381" t="s">
        <v>89</v>
      </c>
      <c r="V381" t="s">
        <v>94</v>
      </c>
      <c r="W381">
        <v>1</v>
      </c>
      <c r="X381">
        <v>0</v>
      </c>
    </row>
    <row r="382" spans="2:24" x14ac:dyDescent="0.3">
      <c r="B382">
        <v>378</v>
      </c>
      <c r="C382" t="s">
        <v>12</v>
      </c>
      <c r="D382">
        <v>7</v>
      </c>
      <c r="E382" t="s">
        <v>106</v>
      </c>
      <c r="F382" t="s">
        <v>85</v>
      </c>
      <c r="G382">
        <v>846</v>
      </c>
      <c r="H382" t="s">
        <v>86</v>
      </c>
      <c r="I382" t="s">
        <v>87</v>
      </c>
      <c r="J382">
        <v>3</v>
      </c>
      <c r="K382" t="s">
        <v>88</v>
      </c>
      <c r="L382" t="s">
        <v>89</v>
      </c>
      <c r="M382">
        <v>4</v>
      </c>
      <c r="N382" t="s">
        <v>108</v>
      </c>
      <c r="O382">
        <v>36</v>
      </c>
      <c r="P382" t="s">
        <v>89</v>
      </c>
      <c r="Q382" t="s">
        <v>105</v>
      </c>
      <c r="R382">
        <v>1</v>
      </c>
      <c r="S382" t="s">
        <v>92</v>
      </c>
      <c r="T382">
        <v>1</v>
      </c>
      <c r="U382" t="s">
        <v>89</v>
      </c>
      <c r="V382" t="s">
        <v>94</v>
      </c>
      <c r="W382">
        <v>1</v>
      </c>
      <c r="X382">
        <v>0</v>
      </c>
    </row>
    <row r="383" spans="2:24" x14ac:dyDescent="0.3">
      <c r="B383">
        <v>379</v>
      </c>
      <c r="C383" t="s">
        <v>10</v>
      </c>
      <c r="D383">
        <v>36</v>
      </c>
      <c r="E383" t="s">
        <v>95</v>
      </c>
      <c r="F383" t="s">
        <v>107</v>
      </c>
      <c r="G383">
        <v>14318</v>
      </c>
      <c r="H383" t="s">
        <v>96</v>
      </c>
      <c r="I383" t="s">
        <v>87</v>
      </c>
      <c r="J383">
        <v>4</v>
      </c>
      <c r="K383" t="s">
        <v>88</v>
      </c>
      <c r="L383" t="s">
        <v>89</v>
      </c>
      <c r="M383">
        <v>2</v>
      </c>
      <c r="N383" t="s">
        <v>108</v>
      </c>
      <c r="O383">
        <v>57</v>
      </c>
      <c r="P383" t="s">
        <v>89</v>
      </c>
      <c r="Q383" t="s">
        <v>105</v>
      </c>
      <c r="R383">
        <v>1</v>
      </c>
      <c r="S383" t="s">
        <v>113</v>
      </c>
      <c r="T383">
        <v>1</v>
      </c>
      <c r="U383" t="s">
        <v>93</v>
      </c>
      <c r="V383" t="s">
        <v>94</v>
      </c>
      <c r="W383">
        <v>2</v>
      </c>
      <c r="X383">
        <v>1</v>
      </c>
    </row>
    <row r="384" spans="2:24" x14ac:dyDescent="0.3">
      <c r="B384">
        <v>380</v>
      </c>
      <c r="C384" t="s">
        <v>12</v>
      </c>
      <c r="D384">
        <v>6</v>
      </c>
      <c r="E384" t="s">
        <v>84</v>
      </c>
      <c r="F384" t="s">
        <v>107</v>
      </c>
      <c r="G384">
        <v>362</v>
      </c>
      <c r="H384" t="s">
        <v>120</v>
      </c>
      <c r="I384" t="s">
        <v>97</v>
      </c>
      <c r="J384">
        <v>4</v>
      </c>
      <c r="K384" t="s">
        <v>98</v>
      </c>
      <c r="L384" t="s">
        <v>89</v>
      </c>
      <c r="M384">
        <v>4</v>
      </c>
      <c r="N384" t="s">
        <v>111</v>
      </c>
      <c r="O384">
        <v>52</v>
      </c>
      <c r="P384" t="s">
        <v>89</v>
      </c>
      <c r="Q384" t="s">
        <v>91</v>
      </c>
      <c r="R384">
        <v>2</v>
      </c>
      <c r="S384" t="s">
        <v>101</v>
      </c>
      <c r="T384">
        <v>1</v>
      </c>
      <c r="U384" t="s">
        <v>89</v>
      </c>
      <c r="V384" t="s">
        <v>94</v>
      </c>
      <c r="W384">
        <v>1</v>
      </c>
      <c r="X384">
        <v>0</v>
      </c>
    </row>
    <row r="385" spans="2:24" x14ac:dyDescent="0.3">
      <c r="B385">
        <v>381</v>
      </c>
      <c r="C385" t="s">
        <v>8</v>
      </c>
      <c r="D385">
        <v>20</v>
      </c>
      <c r="E385" t="s">
        <v>95</v>
      </c>
      <c r="F385" t="s">
        <v>102</v>
      </c>
      <c r="G385">
        <v>2212</v>
      </c>
      <c r="H385" t="s">
        <v>86</v>
      </c>
      <c r="I385" t="s">
        <v>100</v>
      </c>
      <c r="J385">
        <v>4</v>
      </c>
      <c r="K385" t="s">
        <v>88</v>
      </c>
      <c r="L385" t="s">
        <v>89</v>
      </c>
      <c r="M385">
        <v>4</v>
      </c>
      <c r="N385" t="s">
        <v>111</v>
      </c>
      <c r="O385">
        <v>39</v>
      </c>
      <c r="P385" t="s">
        <v>89</v>
      </c>
      <c r="Q385" t="s">
        <v>91</v>
      </c>
      <c r="R385">
        <v>1</v>
      </c>
      <c r="S385" t="s">
        <v>92</v>
      </c>
      <c r="T385">
        <v>1</v>
      </c>
      <c r="U385" t="s">
        <v>93</v>
      </c>
      <c r="V385" t="s">
        <v>94</v>
      </c>
      <c r="W385">
        <v>1</v>
      </c>
      <c r="X385">
        <v>0</v>
      </c>
    </row>
    <row r="386" spans="2:24" x14ac:dyDescent="0.3">
      <c r="B386">
        <v>382</v>
      </c>
      <c r="C386" t="s">
        <v>10</v>
      </c>
      <c r="D386">
        <v>18</v>
      </c>
      <c r="E386" t="s">
        <v>95</v>
      </c>
      <c r="F386" t="s">
        <v>110</v>
      </c>
      <c r="G386">
        <v>12976</v>
      </c>
      <c r="H386" t="s">
        <v>96</v>
      </c>
      <c r="I386" t="s">
        <v>116</v>
      </c>
      <c r="J386">
        <v>3</v>
      </c>
      <c r="K386" t="s">
        <v>98</v>
      </c>
      <c r="L386" t="s">
        <v>89</v>
      </c>
      <c r="M386">
        <v>4</v>
      </c>
      <c r="N386" t="s">
        <v>108</v>
      </c>
      <c r="O386">
        <v>38</v>
      </c>
      <c r="P386" t="s">
        <v>89</v>
      </c>
      <c r="Q386" t="s">
        <v>105</v>
      </c>
      <c r="R386">
        <v>1</v>
      </c>
      <c r="S386" t="s">
        <v>113</v>
      </c>
      <c r="T386">
        <v>1</v>
      </c>
      <c r="U386" t="s">
        <v>93</v>
      </c>
      <c r="V386" t="s">
        <v>94</v>
      </c>
      <c r="W386">
        <v>2</v>
      </c>
      <c r="X386">
        <v>1</v>
      </c>
    </row>
    <row r="387" spans="2:24" x14ac:dyDescent="0.3">
      <c r="B387">
        <v>383</v>
      </c>
      <c r="C387" t="s">
        <v>12</v>
      </c>
      <c r="D387">
        <v>22</v>
      </c>
      <c r="E387" t="s">
        <v>95</v>
      </c>
      <c r="F387" t="s">
        <v>107</v>
      </c>
      <c r="G387">
        <v>1283</v>
      </c>
      <c r="H387" t="s">
        <v>86</v>
      </c>
      <c r="I387" t="s">
        <v>100</v>
      </c>
      <c r="J387">
        <v>4</v>
      </c>
      <c r="K387" t="s">
        <v>98</v>
      </c>
      <c r="L387" t="s">
        <v>89</v>
      </c>
      <c r="M387">
        <v>4</v>
      </c>
      <c r="N387" t="s">
        <v>104</v>
      </c>
      <c r="O387">
        <v>25</v>
      </c>
      <c r="P387" t="s">
        <v>89</v>
      </c>
      <c r="Q387" t="s">
        <v>112</v>
      </c>
      <c r="R387">
        <v>1</v>
      </c>
      <c r="S387" t="s">
        <v>92</v>
      </c>
      <c r="T387">
        <v>1</v>
      </c>
      <c r="U387" t="s">
        <v>89</v>
      </c>
      <c r="V387" t="s">
        <v>94</v>
      </c>
      <c r="W387">
        <v>1</v>
      </c>
      <c r="X387">
        <v>0</v>
      </c>
    </row>
    <row r="388" spans="2:24" x14ac:dyDescent="0.3">
      <c r="B388">
        <v>384</v>
      </c>
      <c r="C388" t="s">
        <v>11</v>
      </c>
      <c r="D388">
        <v>12</v>
      </c>
      <c r="E388" t="s">
        <v>95</v>
      </c>
      <c r="F388" t="s">
        <v>107</v>
      </c>
      <c r="G388">
        <v>1330</v>
      </c>
      <c r="H388" t="s">
        <v>96</v>
      </c>
      <c r="I388" t="s">
        <v>118</v>
      </c>
      <c r="J388">
        <v>4</v>
      </c>
      <c r="K388" t="s">
        <v>88</v>
      </c>
      <c r="L388" t="s">
        <v>89</v>
      </c>
      <c r="M388">
        <v>1</v>
      </c>
      <c r="N388" t="s">
        <v>90</v>
      </c>
      <c r="O388">
        <v>26</v>
      </c>
      <c r="P388" t="s">
        <v>89</v>
      </c>
      <c r="Q388" t="s">
        <v>91</v>
      </c>
      <c r="R388">
        <v>1</v>
      </c>
      <c r="S388" t="s">
        <v>92</v>
      </c>
      <c r="T388">
        <v>1</v>
      </c>
      <c r="U388" t="s">
        <v>89</v>
      </c>
      <c r="V388" t="s">
        <v>94</v>
      </c>
      <c r="W388">
        <v>1</v>
      </c>
      <c r="X388">
        <v>0</v>
      </c>
    </row>
    <row r="389" spans="2:24" x14ac:dyDescent="0.3">
      <c r="B389">
        <v>385</v>
      </c>
      <c r="C389" t="s">
        <v>12</v>
      </c>
      <c r="D389">
        <v>30</v>
      </c>
      <c r="E389" t="s">
        <v>106</v>
      </c>
      <c r="F389" t="s">
        <v>119</v>
      </c>
      <c r="G389">
        <v>4272</v>
      </c>
      <c r="H389" t="s">
        <v>120</v>
      </c>
      <c r="I389" t="s">
        <v>97</v>
      </c>
      <c r="J389">
        <v>2</v>
      </c>
      <c r="K389" t="s">
        <v>88</v>
      </c>
      <c r="L389" t="s">
        <v>89</v>
      </c>
      <c r="M389">
        <v>2</v>
      </c>
      <c r="N389" t="s">
        <v>104</v>
      </c>
      <c r="O389">
        <v>26</v>
      </c>
      <c r="P389" t="s">
        <v>89</v>
      </c>
      <c r="Q389" t="s">
        <v>91</v>
      </c>
      <c r="R389">
        <v>2</v>
      </c>
      <c r="S389" t="s">
        <v>101</v>
      </c>
      <c r="T389">
        <v>1</v>
      </c>
      <c r="U389" t="s">
        <v>89</v>
      </c>
      <c r="V389" t="s">
        <v>94</v>
      </c>
      <c r="W389">
        <v>1</v>
      </c>
      <c r="X389">
        <v>0</v>
      </c>
    </row>
    <row r="390" spans="2:24" x14ac:dyDescent="0.3">
      <c r="B390">
        <v>386</v>
      </c>
      <c r="C390" t="s">
        <v>12</v>
      </c>
      <c r="D390">
        <v>18</v>
      </c>
      <c r="E390" t="s">
        <v>84</v>
      </c>
      <c r="F390" t="s">
        <v>85</v>
      </c>
      <c r="G390">
        <v>2238</v>
      </c>
      <c r="H390" t="s">
        <v>96</v>
      </c>
      <c r="I390" t="s">
        <v>97</v>
      </c>
      <c r="J390">
        <v>2</v>
      </c>
      <c r="K390" t="s">
        <v>98</v>
      </c>
      <c r="L390" t="s">
        <v>89</v>
      </c>
      <c r="M390">
        <v>1</v>
      </c>
      <c r="N390" t="s">
        <v>111</v>
      </c>
      <c r="O390">
        <v>25</v>
      </c>
      <c r="P390" t="s">
        <v>89</v>
      </c>
      <c r="Q390" t="s">
        <v>91</v>
      </c>
      <c r="R390">
        <v>2</v>
      </c>
      <c r="S390" t="s">
        <v>92</v>
      </c>
      <c r="T390">
        <v>1</v>
      </c>
      <c r="U390" t="s">
        <v>89</v>
      </c>
      <c r="V390" t="s">
        <v>94</v>
      </c>
      <c r="W390">
        <v>1</v>
      </c>
      <c r="X390">
        <v>0</v>
      </c>
    </row>
    <row r="391" spans="2:24" x14ac:dyDescent="0.3">
      <c r="B391">
        <v>387</v>
      </c>
      <c r="C391" t="s">
        <v>12</v>
      </c>
      <c r="D391">
        <v>18</v>
      </c>
      <c r="E391" t="s">
        <v>95</v>
      </c>
      <c r="F391" t="s">
        <v>85</v>
      </c>
      <c r="G391">
        <v>1126</v>
      </c>
      <c r="H391" t="s">
        <v>86</v>
      </c>
      <c r="I391" t="s">
        <v>118</v>
      </c>
      <c r="J391">
        <v>4</v>
      </c>
      <c r="K391" t="s">
        <v>98</v>
      </c>
      <c r="L391" t="s">
        <v>89</v>
      </c>
      <c r="M391">
        <v>2</v>
      </c>
      <c r="N391" t="s">
        <v>90</v>
      </c>
      <c r="O391">
        <v>21</v>
      </c>
      <c r="P391" t="s">
        <v>89</v>
      </c>
      <c r="Q391" t="s">
        <v>112</v>
      </c>
      <c r="R391">
        <v>1</v>
      </c>
      <c r="S391" t="s">
        <v>92</v>
      </c>
      <c r="T391">
        <v>1</v>
      </c>
      <c r="U391" t="s">
        <v>93</v>
      </c>
      <c r="V391" t="s">
        <v>94</v>
      </c>
      <c r="W391">
        <v>1</v>
      </c>
      <c r="X391">
        <v>0</v>
      </c>
    </row>
    <row r="392" spans="2:24" x14ac:dyDescent="0.3">
      <c r="B392">
        <v>388</v>
      </c>
      <c r="C392" t="s">
        <v>10</v>
      </c>
      <c r="D392">
        <v>18</v>
      </c>
      <c r="E392" t="s">
        <v>84</v>
      </c>
      <c r="F392" t="s">
        <v>102</v>
      </c>
      <c r="G392">
        <v>7374</v>
      </c>
      <c r="H392" t="s">
        <v>96</v>
      </c>
      <c r="I392" t="s">
        <v>116</v>
      </c>
      <c r="J392">
        <v>4</v>
      </c>
      <c r="K392" t="s">
        <v>88</v>
      </c>
      <c r="L392" t="s">
        <v>89</v>
      </c>
      <c r="M392">
        <v>4</v>
      </c>
      <c r="N392" t="s">
        <v>104</v>
      </c>
      <c r="O392">
        <v>40</v>
      </c>
      <c r="P392" t="s">
        <v>125</v>
      </c>
      <c r="Q392" t="s">
        <v>91</v>
      </c>
      <c r="R392">
        <v>2</v>
      </c>
      <c r="S392" t="s">
        <v>113</v>
      </c>
      <c r="T392">
        <v>1</v>
      </c>
      <c r="U392" t="s">
        <v>93</v>
      </c>
      <c r="V392" t="s">
        <v>94</v>
      </c>
      <c r="W392">
        <v>1</v>
      </c>
      <c r="X392">
        <v>0</v>
      </c>
    </row>
    <row r="393" spans="2:24" x14ac:dyDescent="0.3">
      <c r="B393">
        <v>389</v>
      </c>
      <c r="C393" t="s">
        <v>10</v>
      </c>
      <c r="D393">
        <v>15</v>
      </c>
      <c r="E393" t="s">
        <v>84</v>
      </c>
      <c r="F393" t="s">
        <v>119</v>
      </c>
      <c r="G393">
        <v>2326</v>
      </c>
      <c r="H393" t="s">
        <v>109</v>
      </c>
      <c r="I393" t="s">
        <v>97</v>
      </c>
      <c r="J393">
        <v>2</v>
      </c>
      <c r="K393" t="s">
        <v>88</v>
      </c>
      <c r="L393" t="s">
        <v>89</v>
      </c>
      <c r="M393">
        <v>4</v>
      </c>
      <c r="N393" t="s">
        <v>111</v>
      </c>
      <c r="O393">
        <v>27</v>
      </c>
      <c r="P393" t="s">
        <v>122</v>
      </c>
      <c r="Q393" t="s">
        <v>91</v>
      </c>
      <c r="R393">
        <v>1</v>
      </c>
      <c r="S393" t="s">
        <v>92</v>
      </c>
      <c r="T393">
        <v>1</v>
      </c>
      <c r="U393" t="s">
        <v>89</v>
      </c>
      <c r="V393" t="s">
        <v>94</v>
      </c>
      <c r="W393">
        <v>1</v>
      </c>
      <c r="X393">
        <v>0</v>
      </c>
    </row>
    <row r="394" spans="2:24" x14ac:dyDescent="0.3">
      <c r="B394">
        <v>390</v>
      </c>
      <c r="C394" t="s">
        <v>12</v>
      </c>
      <c r="D394">
        <v>9</v>
      </c>
      <c r="E394" t="s">
        <v>95</v>
      </c>
      <c r="F394" t="s">
        <v>119</v>
      </c>
      <c r="G394">
        <v>1449</v>
      </c>
      <c r="H394" t="s">
        <v>96</v>
      </c>
      <c r="I394" t="s">
        <v>100</v>
      </c>
      <c r="J394">
        <v>3</v>
      </c>
      <c r="K394" t="s">
        <v>98</v>
      </c>
      <c r="L394" t="s">
        <v>89</v>
      </c>
      <c r="M394">
        <v>2</v>
      </c>
      <c r="N394" t="s">
        <v>111</v>
      </c>
      <c r="O394">
        <v>27</v>
      </c>
      <c r="P394" t="s">
        <v>89</v>
      </c>
      <c r="Q394" t="s">
        <v>91</v>
      </c>
      <c r="R394">
        <v>2</v>
      </c>
      <c r="S394" t="s">
        <v>92</v>
      </c>
      <c r="T394">
        <v>1</v>
      </c>
      <c r="U394" t="s">
        <v>89</v>
      </c>
      <c r="V394" t="s">
        <v>94</v>
      </c>
      <c r="W394">
        <v>1</v>
      </c>
      <c r="X394">
        <v>0</v>
      </c>
    </row>
    <row r="395" spans="2:24" x14ac:dyDescent="0.3">
      <c r="B395">
        <v>391</v>
      </c>
      <c r="C395" t="s">
        <v>12</v>
      </c>
      <c r="D395">
        <v>18</v>
      </c>
      <c r="E395" t="s">
        <v>95</v>
      </c>
      <c r="F395" t="s">
        <v>107</v>
      </c>
      <c r="G395">
        <v>1820</v>
      </c>
      <c r="H395" t="s">
        <v>96</v>
      </c>
      <c r="I395" t="s">
        <v>97</v>
      </c>
      <c r="J395">
        <v>2</v>
      </c>
      <c r="K395" t="s">
        <v>117</v>
      </c>
      <c r="L395" t="s">
        <v>89</v>
      </c>
      <c r="M395">
        <v>2</v>
      </c>
      <c r="N395" t="s">
        <v>104</v>
      </c>
      <c r="O395">
        <v>30</v>
      </c>
      <c r="P395" t="s">
        <v>89</v>
      </c>
      <c r="Q395" t="s">
        <v>91</v>
      </c>
      <c r="R395">
        <v>1</v>
      </c>
      <c r="S395" t="s">
        <v>113</v>
      </c>
      <c r="T395">
        <v>1</v>
      </c>
      <c r="U395" t="s">
        <v>93</v>
      </c>
      <c r="V395" t="s">
        <v>94</v>
      </c>
      <c r="W395">
        <v>1</v>
      </c>
      <c r="X395">
        <v>0</v>
      </c>
    </row>
    <row r="396" spans="2:24" x14ac:dyDescent="0.3">
      <c r="B396">
        <v>392</v>
      </c>
      <c r="C396" t="s">
        <v>10</v>
      </c>
      <c r="D396">
        <v>12</v>
      </c>
      <c r="E396" t="s">
        <v>95</v>
      </c>
      <c r="F396" t="s">
        <v>102</v>
      </c>
      <c r="G396">
        <v>983</v>
      </c>
      <c r="H396" t="s">
        <v>114</v>
      </c>
      <c r="I396" t="s">
        <v>118</v>
      </c>
      <c r="J396">
        <v>1</v>
      </c>
      <c r="K396" t="s">
        <v>98</v>
      </c>
      <c r="L396" t="s">
        <v>89</v>
      </c>
      <c r="M396">
        <v>4</v>
      </c>
      <c r="N396" t="s">
        <v>90</v>
      </c>
      <c r="O396">
        <v>19</v>
      </c>
      <c r="P396" t="s">
        <v>89</v>
      </c>
      <c r="Q396" t="s">
        <v>112</v>
      </c>
      <c r="R396">
        <v>1</v>
      </c>
      <c r="S396" t="s">
        <v>101</v>
      </c>
      <c r="T396">
        <v>1</v>
      </c>
      <c r="U396" t="s">
        <v>89</v>
      </c>
      <c r="V396" t="s">
        <v>94</v>
      </c>
      <c r="W396">
        <v>1</v>
      </c>
      <c r="X396">
        <v>0</v>
      </c>
    </row>
    <row r="397" spans="2:24" x14ac:dyDescent="0.3">
      <c r="B397">
        <v>393</v>
      </c>
      <c r="C397" t="s">
        <v>8</v>
      </c>
      <c r="D397">
        <v>36</v>
      </c>
      <c r="E397" t="s">
        <v>95</v>
      </c>
      <c r="F397" t="s">
        <v>107</v>
      </c>
      <c r="G397">
        <v>3249</v>
      </c>
      <c r="H397" t="s">
        <v>96</v>
      </c>
      <c r="I397" t="s">
        <v>100</v>
      </c>
      <c r="J397">
        <v>2</v>
      </c>
      <c r="K397" t="s">
        <v>88</v>
      </c>
      <c r="L397" t="s">
        <v>89</v>
      </c>
      <c r="M397">
        <v>4</v>
      </c>
      <c r="N397" t="s">
        <v>108</v>
      </c>
      <c r="O397">
        <v>39</v>
      </c>
      <c r="P397" t="s">
        <v>122</v>
      </c>
      <c r="Q397" t="s">
        <v>105</v>
      </c>
      <c r="R397">
        <v>1</v>
      </c>
      <c r="S397" t="s">
        <v>113</v>
      </c>
      <c r="T397">
        <v>2</v>
      </c>
      <c r="U397" t="s">
        <v>93</v>
      </c>
      <c r="V397" t="s">
        <v>94</v>
      </c>
      <c r="W397">
        <v>1</v>
      </c>
      <c r="X397">
        <v>0</v>
      </c>
    </row>
    <row r="398" spans="2:24" x14ac:dyDescent="0.3">
      <c r="B398">
        <v>394</v>
      </c>
      <c r="C398" t="s">
        <v>8</v>
      </c>
      <c r="D398">
        <v>6</v>
      </c>
      <c r="E398" t="s">
        <v>84</v>
      </c>
      <c r="F398" t="s">
        <v>85</v>
      </c>
      <c r="G398">
        <v>1957</v>
      </c>
      <c r="H398" t="s">
        <v>96</v>
      </c>
      <c r="I398" t="s">
        <v>100</v>
      </c>
      <c r="J398">
        <v>1</v>
      </c>
      <c r="K398" t="s">
        <v>98</v>
      </c>
      <c r="L398" t="s">
        <v>89</v>
      </c>
      <c r="M398">
        <v>4</v>
      </c>
      <c r="N398" t="s">
        <v>111</v>
      </c>
      <c r="O398">
        <v>31</v>
      </c>
      <c r="P398" t="s">
        <v>89</v>
      </c>
      <c r="Q398" t="s">
        <v>91</v>
      </c>
      <c r="R398">
        <v>1</v>
      </c>
      <c r="S398" t="s">
        <v>92</v>
      </c>
      <c r="T398">
        <v>1</v>
      </c>
      <c r="U398" t="s">
        <v>89</v>
      </c>
      <c r="V398" t="s">
        <v>94</v>
      </c>
      <c r="W398">
        <v>1</v>
      </c>
      <c r="X398">
        <v>0</v>
      </c>
    </row>
    <row r="399" spans="2:24" x14ac:dyDescent="0.3">
      <c r="B399">
        <v>395</v>
      </c>
      <c r="C399" t="s">
        <v>12</v>
      </c>
      <c r="D399">
        <v>9</v>
      </c>
      <c r="E399" t="s">
        <v>84</v>
      </c>
      <c r="F399" t="s">
        <v>102</v>
      </c>
      <c r="G399">
        <v>2406</v>
      </c>
      <c r="H399" t="s">
        <v>96</v>
      </c>
      <c r="I399" t="s">
        <v>116</v>
      </c>
      <c r="J399">
        <v>2</v>
      </c>
      <c r="K399" t="s">
        <v>88</v>
      </c>
      <c r="L399" t="s">
        <v>89</v>
      </c>
      <c r="M399">
        <v>3</v>
      </c>
      <c r="N399" t="s">
        <v>111</v>
      </c>
      <c r="O399">
        <v>31</v>
      </c>
      <c r="P399" t="s">
        <v>89</v>
      </c>
      <c r="Q399" t="s">
        <v>91</v>
      </c>
      <c r="R399">
        <v>1</v>
      </c>
      <c r="S399" t="s">
        <v>113</v>
      </c>
      <c r="T399">
        <v>1</v>
      </c>
      <c r="U399" t="s">
        <v>89</v>
      </c>
      <c r="V399" t="s">
        <v>94</v>
      </c>
      <c r="W399">
        <v>1</v>
      </c>
      <c r="X399">
        <v>0</v>
      </c>
    </row>
    <row r="400" spans="2:24" x14ac:dyDescent="0.3">
      <c r="B400">
        <v>396</v>
      </c>
      <c r="C400" t="s">
        <v>10</v>
      </c>
      <c r="D400">
        <v>39</v>
      </c>
      <c r="E400" t="s">
        <v>106</v>
      </c>
      <c r="F400" t="s">
        <v>99</v>
      </c>
      <c r="G400">
        <v>11760</v>
      </c>
      <c r="H400" t="s">
        <v>120</v>
      </c>
      <c r="I400" t="s">
        <v>100</v>
      </c>
      <c r="J400">
        <v>2</v>
      </c>
      <c r="K400" t="s">
        <v>88</v>
      </c>
      <c r="L400" t="s">
        <v>89</v>
      </c>
      <c r="M400">
        <v>3</v>
      </c>
      <c r="N400" t="s">
        <v>108</v>
      </c>
      <c r="O400">
        <v>32</v>
      </c>
      <c r="P400" t="s">
        <v>89</v>
      </c>
      <c r="Q400" t="s">
        <v>112</v>
      </c>
      <c r="R400">
        <v>1</v>
      </c>
      <c r="S400" t="s">
        <v>92</v>
      </c>
      <c r="T400">
        <v>1</v>
      </c>
      <c r="U400" t="s">
        <v>93</v>
      </c>
      <c r="V400" t="s">
        <v>94</v>
      </c>
      <c r="W400">
        <v>1</v>
      </c>
      <c r="X400">
        <v>0</v>
      </c>
    </row>
    <row r="401" spans="2:24" x14ac:dyDescent="0.3">
      <c r="B401">
        <v>397</v>
      </c>
      <c r="C401" t="s">
        <v>8</v>
      </c>
      <c r="D401">
        <v>12</v>
      </c>
      <c r="E401" t="s">
        <v>95</v>
      </c>
      <c r="F401" t="s">
        <v>102</v>
      </c>
      <c r="G401">
        <v>2578</v>
      </c>
      <c r="H401" t="s">
        <v>96</v>
      </c>
      <c r="I401" t="s">
        <v>116</v>
      </c>
      <c r="J401">
        <v>3</v>
      </c>
      <c r="K401" t="s">
        <v>98</v>
      </c>
      <c r="L401" t="s">
        <v>89</v>
      </c>
      <c r="M401">
        <v>4</v>
      </c>
      <c r="N401" t="s">
        <v>108</v>
      </c>
      <c r="O401">
        <v>55</v>
      </c>
      <c r="P401" t="s">
        <v>89</v>
      </c>
      <c r="Q401" t="s">
        <v>105</v>
      </c>
      <c r="R401">
        <v>1</v>
      </c>
      <c r="S401" t="s">
        <v>113</v>
      </c>
      <c r="T401">
        <v>1</v>
      </c>
      <c r="U401" t="s">
        <v>89</v>
      </c>
      <c r="V401" t="s">
        <v>94</v>
      </c>
      <c r="W401">
        <v>1</v>
      </c>
      <c r="X401">
        <v>0</v>
      </c>
    </row>
    <row r="402" spans="2:24" x14ac:dyDescent="0.3">
      <c r="B402">
        <v>398</v>
      </c>
      <c r="C402" t="s">
        <v>8</v>
      </c>
      <c r="D402">
        <v>36</v>
      </c>
      <c r="E402" t="s">
        <v>84</v>
      </c>
      <c r="F402" t="s">
        <v>102</v>
      </c>
      <c r="G402">
        <v>2348</v>
      </c>
      <c r="H402" t="s">
        <v>96</v>
      </c>
      <c r="I402" t="s">
        <v>97</v>
      </c>
      <c r="J402">
        <v>3</v>
      </c>
      <c r="K402" t="s">
        <v>117</v>
      </c>
      <c r="L402" t="s">
        <v>89</v>
      </c>
      <c r="M402">
        <v>2</v>
      </c>
      <c r="N402" t="s">
        <v>104</v>
      </c>
      <c r="O402">
        <v>46</v>
      </c>
      <c r="P402" t="s">
        <v>89</v>
      </c>
      <c r="Q402" t="s">
        <v>91</v>
      </c>
      <c r="R402">
        <v>2</v>
      </c>
      <c r="S402" t="s">
        <v>92</v>
      </c>
      <c r="T402">
        <v>1</v>
      </c>
      <c r="U402" t="s">
        <v>93</v>
      </c>
      <c r="V402" t="s">
        <v>94</v>
      </c>
      <c r="W402">
        <v>1</v>
      </c>
      <c r="X402">
        <v>0</v>
      </c>
    </row>
    <row r="403" spans="2:24" x14ac:dyDescent="0.3">
      <c r="B403">
        <v>399</v>
      </c>
      <c r="C403" t="s">
        <v>10</v>
      </c>
      <c r="D403">
        <v>12</v>
      </c>
      <c r="E403" t="s">
        <v>95</v>
      </c>
      <c r="F403" t="s">
        <v>107</v>
      </c>
      <c r="G403">
        <v>1223</v>
      </c>
      <c r="H403" t="s">
        <v>96</v>
      </c>
      <c r="I403" t="s">
        <v>87</v>
      </c>
      <c r="J403">
        <v>1</v>
      </c>
      <c r="K403" t="s">
        <v>115</v>
      </c>
      <c r="L403" t="s">
        <v>89</v>
      </c>
      <c r="M403">
        <v>1</v>
      </c>
      <c r="N403" t="s">
        <v>90</v>
      </c>
      <c r="O403">
        <v>46</v>
      </c>
      <c r="P403" t="s">
        <v>89</v>
      </c>
      <c r="Q403" t="s">
        <v>112</v>
      </c>
      <c r="R403">
        <v>2</v>
      </c>
      <c r="S403" t="s">
        <v>92</v>
      </c>
      <c r="T403">
        <v>1</v>
      </c>
      <c r="U403" t="s">
        <v>89</v>
      </c>
      <c r="V403" t="s">
        <v>94</v>
      </c>
      <c r="W403">
        <v>2</v>
      </c>
      <c r="X403">
        <v>1</v>
      </c>
    </row>
    <row r="404" spans="2:24" x14ac:dyDescent="0.3">
      <c r="B404">
        <v>400</v>
      </c>
      <c r="C404" t="s">
        <v>12</v>
      </c>
      <c r="D404">
        <v>24</v>
      </c>
      <c r="E404" t="s">
        <v>84</v>
      </c>
      <c r="F404" t="s">
        <v>85</v>
      </c>
      <c r="G404">
        <v>1516</v>
      </c>
      <c r="H404" t="s">
        <v>114</v>
      </c>
      <c r="I404" t="s">
        <v>97</v>
      </c>
      <c r="J404">
        <v>4</v>
      </c>
      <c r="K404" t="s">
        <v>98</v>
      </c>
      <c r="L404" t="s">
        <v>89</v>
      </c>
      <c r="M404">
        <v>1</v>
      </c>
      <c r="N404" t="s">
        <v>90</v>
      </c>
      <c r="O404">
        <v>43</v>
      </c>
      <c r="P404" t="s">
        <v>89</v>
      </c>
      <c r="Q404" t="s">
        <v>91</v>
      </c>
      <c r="R404">
        <v>2</v>
      </c>
      <c r="S404" t="s">
        <v>101</v>
      </c>
      <c r="T404">
        <v>1</v>
      </c>
      <c r="U404" t="s">
        <v>89</v>
      </c>
      <c r="V404" t="s">
        <v>94</v>
      </c>
      <c r="W404">
        <v>1</v>
      </c>
      <c r="X404">
        <v>0</v>
      </c>
    </row>
    <row r="405" spans="2:24" x14ac:dyDescent="0.3">
      <c r="B405">
        <v>401</v>
      </c>
      <c r="C405" t="s">
        <v>12</v>
      </c>
      <c r="D405">
        <v>18</v>
      </c>
      <c r="E405" t="s">
        <v>95</v>
      </c>
      <c r="F405" t="s">
        <v>85</v>
      </c>
      <c r="G405">
        <v>1473</v>
      </c>
      <c r="H405" t="s">
        <v>96</v>
      </c>
      <c r="I405" t="s">
        <v>118</v>
      </c>
      <c r="J405">
        <v>3</v>
      </c>
      <c r="K405" t="s">
        <v>117</v>
      </c>
      <c r="L405" t="s">
        <v>89</v>
      </c>
      <c r="M405">
        <v>4</v>
      </c>
      <c r="N405" t="s">
        <v>90</v>
      </c>
      <c r="O405">
        <v>39</v>
      </c>
      <c r="P405" t="s">
        <v>89</v>
      </c>
      <c r="Q405" t="s">
        <v>91</v>
      </c>
      <c r="R405">
        <v>1</v>
      </c>
      <c r="S405" t="s">
        <v>92</v>
      </c>
      <c r="T405">
        <v>1</v>
      </c>
      <c r="U405" t="s">
        <v>93</v>
      </c>
      <c r="V405" t="s">
        <v>94</v>
      </c>
      <c r="W405">
        <v>1</v>
      </c>
      <c r="X405">
        <v>0</v>
      </c>
    </row>
    <row r="406" spans="2:24" x14ac:dyDescent="0.3">
      <c r="B406">
        <v>402</v>
      </c>
      <c r="C406" t="s">
        <v>10</v>
      </c>
      <c r="D406">
        <v>18</v>
      </c>
      <c r="E406" t="s">
        <v>84</v>
      </c>
      <c r="F406" t="s">
        <v>119</v>
      </c>
      <c r="G406">
        <v>1887</v>
      </c>
      <c r="H406" t="s">
        <v>86</v>
      </c>
      <c r="I406" t="s">
        <v>97</v>
      </c>
      <c r="J406">
        <v>4</v>
      </c>
      <c r="K406" t="s">
        <v>117</v>
      </c>
      <c r="L406" t="s">
        <v>89</v>
      </c>
      <c r="M406">
        <v>4</v>
      </c>
      <c r="N406" t="s">
        <v>90</v>
      </c>
      <c r="O406">
        <v>28</v>
      </c>
      <c r="P406" t="s">
        <v>122</v>
      </c>
      <c r="Q406" t="s">
        <v>91</v>
      </c>
      <c r="R406">
        <v>2</v>
      </c>
      <c r="S406" t="s">
        <v>92</v>
      </c>
      <c r="T406">
        <v>1</v>
      </c>
      <c r="U406" t="s">
        <v>89</v>
      </c>
      <c r="V406" t="s">
        <v>94</v>
      </c>
      <c r="W406">
        <v>1</v>
      </c>
      <c r="X406">
        <v>0</v>
      </c>
    </row>
    <row r="407" spans="2:24" x14ac:dyDescent="0.3">
      <c r="B407">
        <v>403</v>
      </c>
      <c r="C407" t="s">
        <v>12</v>
      </c>
      <c r="D407">
        <v>24</v>
      </c>
      <c r="E407" t="s">
        <v>106</v>
      </c>
      <c r="F407" t="s">
        <v>119</v>
      </c>
      <c r="G407">
        <v>8648</v>
      </c>
      <c r="H407" t="s">
        <v>96</v>
      </c>
      <c r="I407" t="s">
        <v>118</v>
      </c>
      <c r="J407">
        <v>2</v>
      </c>
      <c r="K407" t="s">
        <v>88</v>
      </c>
      <c r="L407" t="s">
        <v>89</v>
      </c>
      <c r="M407">
        <v>2</v>
      </c>
      <c r="N407" t="s">
        <v>111</v>
      </c>
      <c r="O407">
        <v>27</v>
      </c>
      <c r="P407" t="s">
        <v>122</v>
      </c>
      <c r="Q407" t="s">
        <v>91</v>
      </c>
      <c r="R407">
        <v>2</v>
      </c>
      <c r="S407" t="s">
        <v>92</v>
      </c>
      <c r="T407">
        <v>1</v>
      </c>
      <c r="U407" t="s">
        <v>93</v>
      </c>
      <c r="V407" t="s">
        <v>94</v>
      </c>
      <c r="W407">
        <v>2</v>
      </c>
      <c r="X407">
        <v>1</v>
      </c>
    </row>
    <row r="408" spans="2:24" x14ac:dyDescent="0.3">
      <c r="B408">
        <v>404</v>
      </c>
      <c r="C408" t="s">
        <v>12</v>
      </c>
      <c r="D408">
        <v>14</v>
      </c>
      <c r="E408" t="s">
        <v>106</v>
      </c>
      <c r="F408" t="s">
        <v>107</v>
      </c>
      <c r="G408">
        <v>802</v>
      </c>
      <c r="H408" t="s">
        <v>96</v>
      </c>
      <c r="I408" t="s">
        <v>97</v>
      </c>
      <c r="J408">
        <v>4</v>
      </c>
      <c r="K408" t="s">
        <v>88</v>
      </c>
      <c r="L408" t="s">
        <v>89</v>
      </c>
      <c r="M408">
        <v>2</v>
      </c>
      <c r="N408" t="s">
        <v>111</v>
      </c>
      <c r="O408">
        <v>27</v>
      </c>
      <c r="P408" t="s">
        <v>89</v>
      </c>
      <c r="Q408" t="s">
        <v>91</v>
      </c>
      <c r="R408">
        <v>2</v>
      </c>
      <c r="S408" t="s">
        <v>101</v>
      </c>
      <c r="T408">
        <v>1</v>
      </c>
      <c r="U408" t="s">
        <v>89</v>
      </c>
      <c r="V408" t="s">
        <v>94</v>
      </c>
      <c r="W408">
        <v>1</v>
      </c>
      <c r="X408">
        <v>0</v>
      </c>
    </row>
    <row r="409" spans="2:24" x14ac:dyDescent="0.3">
      <c r="B409">
        <v>405</v>
      </c>
      <c r="C409" t="s">
        <v>10</v>
      </c>
      <c r="D409">
        <v>18</v>
      </c>
      <c r="E409" t="s">
        <v>106</v>
      </c>
      <c r="F409" t="s">
        <v>107</v>
      </c>
      <c r="G409">
        <v>2899</v>
      </c>
      <c r="H409" t="s">
        <v>86</v>
      </c>
      <c r="I409" t="s">
        <v>87</v>
      </c>
      <c r="J409">
        <v>4</v>
      </c>
      <c r="K409" t="s">
        <v>88</v>
      </c>
      <c r="L409" t="s">
        <v>89</v>
      </c>
      <c r="M409">
        <v>4</v>
      </c>
      <c r="N409" t="s">
        <v>111</v>
      </c>
      <c r="O409">
        <v>43</v>
      </c>
      <c r="P409" t="s">
        <v>89</v>
      </c>
      <c r="Q409" t="s">
        <v>91</v>
      </c>
      <c r="R409">
        <v>1</v>
      </c>
      <c r="S409" t="s">
        <v>92</v>
      </c>
      <c r="T409">
        <v>2</v>
      </c>
      <c r="U409" t="s">
        <v>89</v>
      </c>
      <c r="V409" t="s">
        <v>94</v>
      </c>
      <c r="W409">
        <v>1</v>
      </c>
      <c r="X409">
        <v>0</v>
      </c>
    </row>
    <row r="410" spans="2:24" x14ac:dyDescent="0.3">
      <c r="B410">
        <v>406</v>
      </c>
      <c r="C410" t="s">
        <v>10</v>
      </c>
      <c r="D410">
        <v>24</v>
      </c>
      <c r="E410" t="s">
        <v>95</v>
      </c>
      <c r="F410" t="s">
        <v>85</v>
      </c>
      <c r="G410">
        <v>2039</v>
      </c>
      <c r="H410" t="s">
        <v>96</v>
      </c>
      <c r="I410" t="s">
        <v>118</v>
      </c>
      <c r="J410">
        <v>1</v>
      </c>
      <c r="K410" t="s">
        <v>117</v>
      </c>
      <c r="L410" t="s">
        <v>89</v>
      </c>
      <c r="M410">
        <v>1</v>
      </c>
      <c r="N410" t="s">
        <v>104</v>
      </c>
      <c r="O410">
        <v>22</v>
      </c>
      <c r="P410" t="s">
        <v>89</v>
      </c>
      <c r="Q410" t="s">
        <v>91</v>
      </c>
      <c r="R410">
        <v>1</v>
      </c>
      <c r="S410" t="s">
        <v>92</v>
      </c>
      <c r="T410">
        <v>1</v>
      </c>
      <c r="U410" t="s">
        <v>93</v>
      </c>
      <c r="V410" t="s">
        <v>94</v>
      </c>
      <c r="W410">
        <v>2</v>
      </c>
      <c r="X410">
        <v>1</v>
      </c>
    </row>
    <row r="411" spans="2:24" x14ac:dyDescent="0.3">
      <c r="B411">
        <v>407</v>
      </c>
      <c r="C411" t="s">
        <v>12</v>
      </c>
      <c r="D411">
        <v>24</v>
      </c>
      <c r="E411" t="s">
        <v>84</v>
      </c>
      <c r="F411" t="s">
        <v>110</v>
      </c>
      <c r="G411">
        <v>2197</v>
      </c>
      <c r="H411" t="s">
        <v>86</v>
      </c>
      <c r="I411" t="s">
        <v>100</v>
      </c>
      <c r="J411">
        <v>4</v>
      </c>
      <c r="K411" t="s">
        <v>88</v>
      </c>
      <c r="L411" t="s">
        <v>89</v>
      </c>
      <c r="M411">
        <v>4</v>
      </c>
      <c r="N411" t="s">
        <v>111</v>
      </c>
      <c r="O411">
        <v>43</v>
      </c>
      <c r="P411" t="s">
        <v>89</v>
      </c>
      <c r="Q411" t="s">
        <v>91</v>
      </c>
      <c r="R411">
        <v>2</v>
      </c>
      <c r="S411" t="s">
        <v>92</v>
      </c>
      <c r="T411">
        <v>2</v>
      </c>
      <c r="U411" t="s">
        <v>93</v>
      </c>
      <c r="V411" t="s">
        <v>94</v>
      </c>
      <c r="W411">
        <v>1</v>
      </c>
      <c r="X411">
        <v>0</v>
      </c>
    </row>
    <row r="412" spans="2:24" x14ac:dyDescent="0.3">
      <c r="B412">
        <v>408</v>
      </c>
      <c r="C412" t="s">
        <v>8</v>
      </c>
      <c r="D412">
        <v>15</v>
      </c>
      <c r="E412" t="s">
        <v>95</v>
      </c>
      <c r="F412" t="s">
        <v>85</v>
      </c>
      <c r="G412">
        <v>1053</v>
      </c>
      <c r="H412" t="s">
        <v>96</v>
      </c>
      <c r="I412" t="s">
        <v>118</v>
      </c>
      <c r="J412">
        <v>4</v>
      </c>
      <c r="K412" t="s">
        <v>117</v>
      </c>
      <c r="L412" t="s">
        <v>89</v>
      </c>
      <c r="M412">
        <v>2</v>
      </c>
      <c r="N412" t="s">
        <v>90</v>
      </c>
      <c r="O412">
        <v>27</v>
      </c>
      <c r="P412" t="s">
        <v>89</v>
      </c>
      <c r="Q412" t="s">
        <v>91</v>
      </c>
      <c r="R412">
        <v>1</v>
      </c>
      <c r="S412" t="s">
        <v>92</v>
      </c>
      <c r="T412">
        <v>1</v>
      </c>
      <c r="U412" t="s">
        <v>89</v>
      </c>
      <c r="V412" t="s">
        <v>123</v>
      </c>
      <c r="W412">
        <v>1</v>
      </c>
      <c r="X412">
        <v>0</v>
      </c>
    </row>
    <row r="413" spans="2:24" x14ac:dyDescent="0.3">
      <c r="B413">
        <v>409</v>
      </c>
      <c r="C413" t="s">
        <v>12</v>
      </c>
      <c r="D413">
        <v>24</v>
      </c>
      <c r="E413" t="s">
        <v>95</v>
      </c>
      <c r="F413" t="s">
        <v>85</v>
      </c>
      <c r="G413">
        <v>3235</v>
      </c>
      <c r="H413" t="s">
        <v>109</v>
      </c>
      <c r="I413" t="s">
        <v>87</v>
      </c>
      <c r="J413">
        <v>3</v>
      </c>
      <c r="K413" t="s">
        <v>115</v>
      </c>
      <c r="L413" t="s">
        <v>89</v>
      </c>
      <c r="M413">
        <v>2</v>
      </c>
      <c r="N413" t="s">
        <v>111</v>
      </c>
      <c r="O413">
        <v>26</v>
      </c>
      <c r="P413" t="s">
        <v>89</v>
      </c>
      <c r="Q413" t="s">
        <v>91</v>
      </c>
      <c r="R413">
        <v>1</v>
      </c>
      <c r="S413" t="s">
        <v>113</v>
      </c>
      <c r="T413">
        <v>1</v>
      </c>
      <c r="U413" t="s">
        <v>93</v>
      </c>
      <c r="V413" t="s">
        <v>94</v>
      </c>
      <c r="W413">
        <v>1</v>
      </c>
      <c r="X413">
        <v>0</v>
      </c>
    </row>
    <row r="414" spans="2:24" x14ac:dyDescent="0.3">
      <c r="B414">
        <v>410</v>
      </c>
      <c r="C414" t="s">
        <v>11</v>
      </c>
      <c r="D414">
        <v>12</v>
      </c>
      <c r="E414" t="s">
        <v>84</v>
      </c>
      <c r="F414" t="s">
        <v>107</v>
      </c>
      <c r="G414">
        <v>939</v>
      </c>
      <c r="H414" t="s">
        <v>109</v>
      </c>
      <c r="I414" t="s">
        <v>100</v>
      </c>
      <c r="J414">
        <v>4</v>
      </c>
      <c r="K414" t="s">
        <v>117</v>
      </c>
      <c r="L414" t="s">
        <v>89</v>
      </c>
      <c r="M414">
        <v>2</v>
      </c>
      <c r="N414" t="s">
        <v>90</v>
      </c>
      <c r="O414">
        <v>28</v>
      </c>
      <c r="P414" t="s">
        <v>89</v>
      </c>
      <c r="Q414" t="s">
        <v>91</v>
      </c>
      <c r="R414">
        <v>3</v>
      </c>
      <c r="S414" t="s">
        <v>92</v>
      </c>
      <c r="T414">
        <v>1</v>
      </c>
      <c r="U414" t="s">
        <v>93</v>
      </c>
      <c r="V414" t="s">
        <v>94</v>
      </c>
      <c r="W414">
        <v>2</v>
      </c>
      <c r="X414">
        <v>1</v>
      </c>
    </row>
    <row r="415" spans="2:24" x14ac:dyDescent="0.3">
      <c r="B415">
        <v>411</v>
      </c>
      <c r="C415" t="s">
        <v>10</v>
      </c>
      <c r="D415">
        <v>24</v>
      </c>
      <c r="E415" t="s">
        <v>95</v>
      </c>
      <c r="F415" t="s">
        <v>85</v>
      </c>
      <c r="G415">
        <v>1967</v>
      </c>
      <c r="H415" t="s">
        <v>96</v>
      </c>
      <c r="I415" t="s">
        <v>87</v>
      </c>
      <c r="J415">
        <v>4</v>
      </c>
      <c r="K415" t="s">
        <v>98</v>
      </c>
      <c r="L415" t="s">
        <v>89</v>
      </c>
      <c r="M415">
        <v>4</v>
      </c>
      <c r="N415" t="s">
        <v>111</v>
      </c>
      <c r="O415">
        <v>20</v>
      </c>
      <c r="P415" t="s">
        <v>89</v>
      </c>
      <c r="Q415" t="s">
        <v>91</v>
      </c>
      <c r="R415">
        <v>1</v>
      </c>
      <c r="S415" t="s">
        <v>92</v>
      </c>
      <c r="T415">
        <v>1</v>
      </c>
      <c r="U415" t="s">
        <v>93</v>
      </c>
      <c r="V415" t="s">
        <v>94</v>
      </c>
      <c r="W415">
        <v>1</v>
      </c>
      <c r="X415">
        <v>0</v>
      </c>
    </row>
    <row r="416" spans="2:24" x14ac:dyDescent="0.3">
      <c r="B416">
        <v>412</v>
      </c>
      <c r="C416" t="s">
        <v>12</v>
      </c>
      <c r="D416">
        <v>33</v>
      </c>
      <c r="E416" t="s">
        <v>84</v>
      </c>
      <c r="F416" t="s">
        <v>110</v>
      </c>
      <c r="G416">
        <v>7253</v>
      </c>
      <c r="H416" t="s">
        <v>96</v>
      </c>
      <c r="I416" t="s">
        <v>100</v>
      </c>
      <c r="J416">
        <v>3</v>
      </c>
      <c r="K416" t="s">
        <v>88</v>
      </c>
      <c r="L416" t="s">
        <v>89</v>
      </c>
      <c r="M416">
        <v>2</v>
      </c>
      <c r="N416" t="s">
        <v>111</v>
      </c>
      <c r="O416">
        <v>35</v>
      </c>
      <c r="P416" t="s">
        <v>89</v>
      </c>
      <c r="Q416" t="s">
        <v>91</v>
      </c>
      <c r="R416">
        <v>2</v>
      </c>
      <c r="S416" t="s">
        <v>113</v>
      </c>
      <c r="T416">
        <v>1</v>
      </c>
      <c r="U416" t="s">
        <v>93</v>
      </c>
      <c r="V416" t="s">
        <v>94</v>
      </c>
      <c r="W416">
        <v>1</v>
      </c>
      <c r="X416">
        <v>0</v>
      </c>
    </row>
    <row r="417" spans="2:24" x14ac:dyDescent="0.3">
      <c r="B417">
        <v>413</v>
      </c>
      <c r="C417" t="s">
        <v>12</v>
      </c>
      <c r="D417">
        <v>12</v>
      </c>
      <c r="E417" t="s">
        <v>84</v>
      </c>
      <c r="F417" t="s">
        <v>119</v>
      </c>
      <c r="G417">
        <v>2292</v>
      </c>
      <c r="H417" t="s">
        <v>96</v>
      </c>
      <c r="I417" t="s">
        <v>116</v>
      </c>
      <c r="J417">
        <v>4</v>
      </c>
      <c r="K417" t="s">
        <v>88</v>
      </c>
      <c r="L417" t="s">
        <v>89</v>
      </c>
      <c r="M417">
        <v>2</v>
      </c>
      <c r="N417" t="s">
        <v>111</v>
      </c>
      <c r="O417">
        <v>42</v>
      </c>
      <c r="P417" t="s">
        <v>125</v>
      </c>
      <c r="Q417" t="s">
        <v>91</v>
      </c>
      <c r="R417">
        <v>2</v>
      </c>
      <c r="S417" t="s">
        <v>113</v>
      </c>
      <c r="T417">
        <v>1</v>
      </c>
      <c r="U417" t="s">
        <v>93</v>
      </c>
      <c r="V417" t="s">
        <v>94</v>
      </c>
      <c r="W417">
        <v>2</v>
      </c>
      <c r="X417">
        <v>1</v>
      </c>
    </row>
    <row r="418" spans="2:24" x14ac:dyDescent="0.3">
      <c r="B418">
        <v>414</v>
      </c>
      <c r="C418" t="s">
        <v>12</v>
      </c>
      <c r="D418">
        <v>10</v>
      </c>
      <c r="E418" t="s">
        <v>95</v>
      </c>
      <c r="F418" t="s">
        <v>107</v>
      </c>
      <c r="G418">
        <v>1597</v>
      </c>
      <c r="H418" t="s">
        <v>109</v>
      </c>
      <c r="I418" t="s">
        <v>97</v>
      </c>
      <c r="J418">
        <v>3</v>
      </c>
      <c r="K418" t="s">
        <v>88</v>
      </c>
      <c r="L418" t="s">
        <v>89</v>
      </c>
      <c r="M418">
        <v>2</v>
      </c>
      <c r="N418" t="s">
        <v>108</v>
      </c>
      <c r="O418">
        <v>40</v>
      </c>
      <c r="P418" t="s">
        <v>89</v>
      </c>
      <c r="Q418" t="s">
        <v>112</v>
      </c>
      <c r="R418">
        <v>1</v>
      </c>
      <c r="S418" t="s">
        <v>101</v>
      </c>
      <c r="T418">
        <v>2</v>
      </c>
      <c r="U418" t="s">
        <v>89</v>
      </c>
      <c r="V418" t="s">
        <v>123</v>
      </c>
      <c r="W418">
        <v>1</v>
      </c>
      <c r="X418">
        <v>0</v>
      </c>
    </row>
    <row r="419" spans="2:24" x14ac:dyDescent="0.3">
      <c r="B419">
        <v>415</v>
      </c>
      <c r="C419" t="s">
        <v>8</v>
      </c>
      <c r="D419">
        <v>24</v>
      </c>
      <c r="E419" t="s">
        <v>95</v>
      </c>
      <c r="F419" t="s">
        <v>107</v>
      </c>
      <c r="G419">
        <v>1381</v>
      </c>
      <c r="H419" t="s">
        <v>86</v>
      </c>
      <c r="I419" t="s">
        <v>97</v>
      </c>
      <c r="J419">
        <v>4</v>
      </c>
      <c r="K419" t="s">
        <v>98</v>
      </c>
      <c r="L419" t="s">
        <v>89</v>
      </c>
      <c r="M419">
        <v>2</v>
      </c>
      <c r="N419" t="s">
        <v>104</v>
      </c>
      <c r="O419">
        <v>35</v>
      </c>
      <c r="P419" t="s">
        <v>89</v>
      </c>
      <c r="Q419" t="s">
        <v>91</v>
      </c>
      <c r="R419">
        <v>1</v>
      </c>
      <c r="S419" t="s">
        <v>92</v>
      </c>
      <c r="T419">
        <v>1</v>
      </c>
      <c r="U419" t="s">
        <v>89</v>
      </c>
      <c r="V419" t="s">
        <v>94</v>
      </c>
      <c r="W419">
        <v>2</v>
      </c>
      <c r="X419">
        <v>1</v>
      </c>
    </row>
    <row r="420" spans="2:24" x14ac:dyDescent="0.3">
      <c r="B420">
        <v>416</v>
      </c>
      <c r="C420" t="s">
        <v>12</v>
      </c>
      <c r="D420">
        <v>36</v>
      </c>
      <c r="E420" t="s">
        <v>84</v>
      </c>
      <c r="F420" t="s">
        <v>110</v>
      </c>
      <c r="G420">
        <v>5842</v>
      </c>
      <c r="H420" t="s">
        <v>96</v>
      </c>
      <c r="I420" t="s">
        <v>87</v>
      </c>
      <c r="J420">
        <v>2</v>
      </c>
      <c r="K420" t="s">
        <v>88</v>
      </c>
      <c r="L420" t="s">
        <v>89</v>
      </c>
      <c r="M420">
        <v>2</v>
      </c>
      <c r="N420" t="s">
        <v>104</v>
      </c>
      <c r="O420">
        <v>35</v>
      </c>
      <c r="P420" t="s">
        <v>89</v>
      </c>
      <c r="Q420" t="s">
        <v>91</v>
      </c>
      <c r="R420">
        <v>2</v>
      </c>
      <c r="S420" t="s">
        <v>92</v>
      </c>
      <c r="T420">
        <v>2</v>
      </c>
      <c r="U420" t="s">
        <v>93</v>
      </c>
      <c r="V420" t="s">
        <v>94</v>
      </c>
      <c r="W420">
        <v>1</v>
      </c>
      <c r="X420">
        <v>0</v>
      </c>
    </row>
    <row r="421" spans="2:24" x14ac:dyDescent="0.3">
      <c r="B421">
        <v>417</v>
      </c>
      <c r="C421" t="s">
        <v>8</v>
      </c>
      <c r="D421">
        <v>12</v>
      </c>
      <c r="E421" t="s">
        <v>95</v>
      </c>
      <c r="F421" t="s">
        <v>107</v>
      </c>
      <c r="G421">
        <v>2579</v>
      </c>
      <c r="H421" t="s">
        <v>96</v>
      </c>
      <c r="I421" t="s">
        <v>118</v>
      </c>
      <c r="J421">
        <v>4</v>
      </c>
      <c r="K421" t="s">
        <v>88</v>
      </c>
      <c r="L421" t="s">
        <v>89</v>
      </c>
      <c r="M421">
        <v>1</v>
      </c>
      <c r="N421" t="s">
        <v>90</v>
      </c>
      <c r="O421">
        <v>33</v>
      </c>
      <c r="P421" t="s">
        <v>89</v>
      </c>
      <c r="Q421" t="s">
        <v>91</v>
      </c>
      <c r="R421">
        <v>1</v>
      </c>
      <c r="S421" t="s">
        <v>101</v>
      </c>
      <c r="T421">
        <v>2</v>
      </c>
      <c r="U421" t="s">
        <v>89</v>
      </c>
      <c r="V421" t="s">
        <v>94</v>
      </c>
      <c r="W421">
        <v>2</v>
      </c>
      <c r="X421">
        <v>1</v>
      </c>
    </row>
    <row r="422" spans="2:24" x14ac:dyDescent="0.3">
      <c r="B422">
        <v>418</v>
      </c>
      <c r="C422" t="s">
        <v>8</v>
      </c>
      <c r="D422">
        <v>18</v>
      </c>
      <c r="E422" t="s">
        <v>106</v>
      </c>
      <c r="F422" t="s">
        <v>99</v>
      </c>
      <c r="G422">
        <v>8471</v>
      </c>
      <c r="H422" t="s">
        <v>86</v>
      </c>
      <c r="I422" t="s">
        <v>97</v>
      </c>
      <c r="J422">
        <v>1</v>
      </c>
      <c r="K422" t="s">
        <v>98</v>
      </c>
      <c r="L422" t="s">
        <v>89</v>
      </c>
      <c r="M422">
        <v>2</v>
      </c>
      <c r="N422" t="s">
        <v>111</v>
      </c>
      <c r="O422">
        <v>23</v>
      </c>
      <c r="P422" t="s">
        <v>89</v>
      </c>
      <c r="Q422" t="s">
        <v>112</v>
      </c>
      <c r="R422">
        <v>2</v>
      </c>
      <c r="S422" t="s">
        <v>92</v>
      </c>
      <c r="T422">
        <v>1</v>
      </c>
      <c r="U422" t="s">
        <v>93</v>
      </c>
      <c r="V422" t="s">
        <v>94</v>
      </c>
      <c r="W422">
        <v>1</v>
      </c>
      <c r="X422">
        <v>0</v>
      </c>
    </row>
    <row r="423" spans="2:24" x14ac:dyDescent="0.3">
      <c r="B423">
        <v>419</v>
      </c>
      <c r="C423" t="s">
        <v>12</v>
      </c>
      <c r="D423">
        <v>21</v>
      </c>
      <c r="E423" t="s">
        <v>95</v>
      </c>
      <c r="F423" t="s">
        <v>107</v>
      </c>
      <c r="G423">
        <v>2782</v>
      </c>
      <c r="H423" t="s">
        <v>109</v>
      </c>
      <c r="I423" t="s">
        <v>100</v>
      </c>
      <c r="J423">
        <v>1</v>
      </c>
      <c r="K423" t="s">
        <v>98</v>
      </c>
      <c r="L423" t="s">
        <v>89</v>
      </c>
      <c r="M423">
        <v>2</v>
      </c>
      <c r="N423" t="s">
        <v>111</v>
      </c>
      <c r="O423">
        <v>31</v>
      </c>
      <c r="P423" t="s">
        <v>122</v>
      </c>
      <c r="Q423" t="s">
        <v>91</v>
      </c>
      <c r="R423">
        <v>1</v>
      </c>
      <c r="S423" t="s">
        <v>113</v>
      </c>
      <c r="T423">
        <v>1</v>
      </c>
      <c r="U423" t="s">
        <v>89</v>
      </c>
      <c r="V423" t="s">
        <v>94</v>
      </c>
      <c r="W423">
        <v>1</v>
      </c>
      <c r="X423">
        <v>0</v>
      </c>
    </row>
    <row r="424" spans="2:24" x14ac:dyDescent="0.3">
      <c r="B424">
        <v>420</v>
      </c>
      <c r="C424" t="s">
        <v>10</v>
      </c>
      <c r="D424">
        <v>18</v>
      </c>
      <c r="E424" t="s">
        <v>95</v>
      </c>
      <c r="F424" t="s">
        <v>107</v>
      </c>
      <c r="G424">
        <v>1042</v>
      </c>
      <c r="H424" t="s">
        <v>86</v>
      </c>
      <c r="I424" t="s">
        <v>97</v>
      </c>
      <c r="J424">
        <v>4</v>
      </c>
      <c r="K424" t="s">
        <v>98</v>
      </c>
      <c r="L424" t="s">
        <v>89</v>
      </c>
      <c r="M424">
        <v>2</v>
      </c>
      <c r="N424" t="s">
        <v>104</v>
      </c>
      <c r="O424">
        <v>33</v>
      </c>
      <c r="P424" t="s">
        <v>89</v>
      </c>
      <c r="Q424" t="s">
        <v>91</v>
      </c>
      <c r="R424">
        <v>1</v>
      </c>
      <c r="S424" t="s">
        <v>92</v>
      </c>
      <c r="T424">
        <v>1</v>
      </c>
      <c r="U424" t="s">
        <v>89</v>
      </c>
      <c r="V424" t="s">
        <v>94</v>
      </c>
      <c r="W424">
        <v>2</v>
      </c>
      <c r="X424">
        <v>1</v>
      </c>
    </row>
    <row r="425" spans="2:24" x14ac:dyDescent="0.3">
      <c r="B425">
        <v>421</v>
      </c>
      <c r="C425" t="s">
        <v>12</v>
      </c>
      <c r="D425">
        <v>15</v>
      </c>
      <c r="E425" t="s">
        <v>95</v>
      </c>
      <c r="F425" t="s">
        <v>107</v>
      </c>
      <c r="G425">
        <v>3186</v>
      </c>
      <c r="H425" t="s">
        <v>114</v>
      </c>
      <c r="I425" t="s">
        <v>100</v>
      </c>
      <c r="J425">
        <v>2</v>
      </c>
      <c r="K425" t="s">
        <v>98</v>
      </c>
      <c r="L425" t="s">
        <v>89</v>
      </c>
      <c r="M425">
        <v>3</v>
      </c>
      <c r="N425" t="s">
        <v>111</v>
      </c>
      <c r="O425">
        <v>20</v>
      </c>
      <c r="P425" t="s">
        <v>89</v>
      </c>
      <c r="Q425" t="s">
        <v>112</v>
      </c>
      <c r="R425">
        <v>1</v>
      </c>
      <c r="S425" t="s">
        <v>92</v>
      </c>
      <c r="T425">
        <v>1</v>
      </c>
      <c r="U425" t="s">
        <v>89</v>
      </c>
      <c r="V425" t="s">
        <v>94</v>
      </c>
      <c r="W425">
        <v>1</v>
      </c>
      <c r="X425">
        <v>0</v>
      </c>
    </row>
    <row r="426" spans="2:24" x14ac:dyDescent="0.3">
      <c r="B426">
        <v>422</v>
      </c>
      <c r="C426" t="s">
        <v>10</v>
      </c>
      <c r="D426">
        <v>12</v>
      </c>
      <c r="E426" t="s">
        <v>95</v>
      </c>
      <c r="F426" t="s">
        <v>110</v>
      </c>
      <c r="G426">
        <v>2028</v>
      </c>
      <c r="H426" t="s">
        <v>86</v>
      </c>
      <c r="I426" t="s">
        <v>97</v>
      </c>
      <c r="J426">
        <v>4</v>
      </c>
      <c r="K426" t="s">
        <v>88</v>
      </c>
      <c r="L426" t="s">
        <v>89</v>
      </c>
      <c r="M426">
        <v>2</v>
      </c>
      <c r="N426" t="s">
        <v>111</v>
      </c>
      <c r="O426">
        <v>30</v>
      </c>
      <c r="P426" t="s">
        <v>89</v>
      </c>
      <c r="Q426" t="s">
        <v>91</v>
      </c>
      <c r="R426">
        <v>1</v>
      </c>
      <c r="S426" t="s">
        <v>92</v>
      </c>
      <c r="T426">
        <v>1</v>
      </c>
      <c r="U426" t="s">
        <v>89</v>
      </c>
      <c r="V426" t="s">
        <v>94</v>
      </c>
      <c r="W426">
        <v>1</v>
      </c>
      <c r="X426">
        <v>0</v>
      </c>
    </row>
    <row r="427" spans="2:24" x14ac:dyDescent="0.3">
      <c r="B427">
        <v>423</v>
      </c>
      <c r="C427" t="s">
        <v>10</v>
      </c>
      <c r="D427">
        <v>12</v>
      </c>
      <c r="E427" t="s">
        <v>84</v>
      </c>
      <c r="F427" t="s">
        <v>107</v>
      </c>
      <c r="G427">
        <v>958</v>
      </c>
      <c r="H427" t="s">
        <v>96</v>
      </c>
      <c r="I427" t="s">
        <v>100</v>
      </c>
      <c r="J427">
        <v>2</v>
      </c>
      <c r="K427" t="s">
        <v>88</v>
      </c>
      <c r="L427" t="s">
        <v>89</v>
      </c>
      <c r="M427">
        <v>3</v>
      </c>
      <c r="N427" t="s">
        <v>90</v>
      </c>
      <c r="O427">
        <v>47</v>
      </c>
      <c r="P427" t="s">
        <v>89</v>
      </c>
      <c r="Q427" t="s">
        <v>91</v>
      </c>
      <c r="R427">
        <v>2</v>
      </c>
      <c r="S427" t="s">
        <v>101</v>
      </c>
      <c r="T427">
        <v>2</v>
      </c>
      <c r="U427" t="s">
        <v>89</v>
      </c>
      <c r="V427" t="s">
        <v>94</v>
      </c>
      <c r="W427">
        <v>1</v>
      </c>
      <c r="X427">
        <v>0</v>
      </c>
    </row>
    <row r="428" spans="2:24" x14ac:dyDescent="0.3">
      <c r="B428">
        <v>424</v>
      </c>
      <c r="C428" t="s">
        <v>12</v>
      </c>
      <c r="D428">
        <v>21</v>
      </c>
      <c r="E428" t="s">
        <v>106</v>
      </c>
      <c r="F428" t="s">
        <v>102</v>
      </c>
      <c r="G428">
        <v>1591</v>
      </c>
      <c r="H428" t="s">
        <v>120</v>
      </c>
      <c r="I428" t="s">
        <v>100</v>
      </c>
      <c r="J428">
        <v>4</v>
      </c>
      <c r="K428" t="s">
        <v>88</v>
      </c>
      <c r="L428" t="s">
        <v>89</v>
      </c>
      <c r="M428">
        <v>3</v>
      </c>
      <c r="N428" t="s">
        <v>90</v>
      </c>
      <c r="O428">
        <v>34</v>
      </c>
      <c r="P428" t="s">
        <v>89</v>
      </c>
      <c r="Q428" t="s">
        <v>91</v>
      </c>
      <c r="R428">
        <v>2</v>
      </c>
      <c r="S428" t="s">
        <v>113</v>
      </c>
      <c r="T428">
        <v>1</v>
      </c>
      <c r="U428" t="s">
        <v>89</v>
      </c>
      <c r="V428" t="s">
        <v>94</v>
      </c>
      <c r="W428">
        <v>1</v>
      </c>
      <c r="X428">
        <v>0</v>
      </c>
    </row>
    <row r="429" spans="2:24" x14ac:dyDescent="0.3">
      <c r="B429">
        <v>425</v>
      </c>
      <c r="C429" t="s">
        <v>10</v>
      </c>
      <c r="D429">
        <v>12</v>
      </c>
      <c r="E429" t="s">
        <v>95</v>
      </c>
      <c r="F429" t="s">
        <v>102</v>
      </c>
      <c r="G429">
        <v>2762</v>
      </c>
      <c r="H429" t="s">
        <v>86</v>
      </c>
      <c r="I429" t="s">
        <v>87</v>
      </c>
      <c r="J429">
        <v>1</v>
      </c>
      <c r="K429" t="s">
        <v>98</v>
      </c>
      <c r="L429" t="s">
        <v>89</v>
      </c>
      <c r="M429">
        <v>2</v>
      </c>
      <c r="N429" t="s">
        <v>104</v>
      </c>
      <c r="O429">
        <v>25</v>
      </c>
      <c r="P429" t="s">
        <v>122</v>
      </c>
      <c r="Q429" t="s">
        <v>91</v>
      </c>
      <c r="R429">
        <v>1</v>
      </c>
      <c r="S429" t="s">
        <v>92</v>
      </c>
      <c r="T429">
        <v>1</v>
      </c>
      <c r="U429" t="s">
        <v>93</v>
      </c>
      <c r="V429" t="s">
        <v>94</v>
      </c>
      <c r="W429">
        <v>2</v>
      </c>
      <c r="X429">
        <v>1</v>
      </c>
    </row>
    <row r="430" spans="2:24" x14ac:dyDescent="0.3">
      <c r="B430">
        <v>426</v>
      </c>
      <c r="C430" t="s">
        <v>10</v>
      </c>
      <c r="D430">
        <v>18</v>
      </c>
      <c r="E430" t="s">
        <v>95</v>
      </c>
      <c r="F430" t="s">
        <v>110</v>
      </c>
      <c r="G430">
        <v>2779</v>
      </c>
      <c r="H430" t="s">
        <v>96</v>
      </c>
      <c r="I430" t="s">
        <v>97</v>
      </c>
      <c r="J430">
        <v>1</v>
      </c>
      <c r="K430" t="s">
        <v>117</v>
      </c>
      <c r="L430" t="s">
        <v>89</v>
      </c>
      <c r="M430">
        <v>3</v>
      </c>
      <c r="N430" t="s">
        <v>111</v>
      </c>
      <c r="O430">
        <v>21</v>
      </c>
      <c r="P430" t="s">
        <v>89</v>
      </c>
      <c r="Q430" t="s">
        <v>112</v>
      </c>
      <c r="R430">
        <v>1</v>
      </c>
      <c r="S430" t="s">
        <v>92</v>
      </c>
      <c r="T430">
        <v>1</v>
      </c>
      <c r="U430" t="s">
        <v>93</v>
      </c>
      <c r="V430" t="s">
        <v>94</v>
      </c>
      <c r="W430">
        <v>1</v>
      </c>
      <c r="X430">
        <v>0</v>
      </c>
    </row>
    <row r="431" spans="2:24" x14ac:dyDescent="0.3">
      <c r="B431">
        <v>427</v>
      </c>
      <c r="C431" t="s">
        <v>12</v>
      </c>
      <c r="D431">
        <v>28</v>
      </c>
      <c r="E431" t="s">
        <v>84</v>
      </c>
      <c r="F431" t="s">
        <v>85</v>
      </c>
      <c r="G431">
        <v>2743</v>
      </c>
      <c r="H431" t="s">
        <v>96</v>
      </c>
      <c r="I431" t="s">
        <v>87</v>
      </c>
      <c r="J431">
        <v>4</v>
      </c>
      <c r="K431" t="s">
        <v>88</v>
      </c>
      <c r="L431" t="s">
        <v>89</v>
      </c>
      <c r="M431">
        <v>2</v>
      </c>
      <c r="N431" t="s">
        <v>111</v>
      </c>
      <c r="O431">
        <v>29</v>
      </c>
      <c r="P431" t="s">
        <v>89</v>
      </c>
      <c r="Q431" t="s">
        <v>91</v>
      </c>
      <c r="R431">
        <v>2</v>
      </c>
      <c r="S431" t="s">
        <v>92</v>
      </c>
      <c r="T431">
        <v>1</v>
      </c>
      <c r="U431" t="s">
        <v>89</v>
      </c>
      <c r="V431" t="s">
        <v>94</v>
      </c>
      <c r="W431">
        <v>1</v>
      </c>
      <c r="X431">
        <v>0</v>
      </c>
    </row>
    <row r="432" spans="2:24" x14ac:dyDescent="0.3">
      <c r="B432">
        <v>428</v>
      </c>
      <c r="C432" t="s">
        <v>12</v>
      </c>
      <c r="D432">
        <v>18</v>
      </c>
      <c r="E432" t="s">
        <v>84</v>
      </c>
      <c r="F432" t="s">
        <v>85</v>
      </c>
      <c r="G432">
        <v>1149</v>
      </c>
      <c r="H432" t="s">
        <v>114</v>
      </c>
      <c r="I432" t="s">
        <v>97</v>
      </c>
      <c r="J432">
        <v>4</v>
      </c>
      <c r="K432" t="s">
        <v>88</v>
      </c>
      <c r="L432" t="s">
        <v>89</v>
      </c>
      <c r="M432">
        <v>3</v>
      </c>
      <c r="N432" t="s">
        <v>90</v>
      </c>
      <c r="O432">
        <v>46</v>
      </c>
      <c r="P432" t="s">
        <v>89</v>
      </c>
      <c r="Q432" t="s">
        <v>91</v>
      </c>
      <c r="R432">
        <v>2</v>
      </c>
      <c r="S432" t="s">
        <v>92</v>
      </c>
      <c r="T432">
        <v>1</v>
      </c>
      <c r="U432" t="s">
        <v>89</v>
      </c>
      <c r="V432" t="s">
        <v>94</v>
      </c>
      <c r="W432">
        <v>1</v>
      </c>
      <c r="X432">
        <v>0</v>
      </c>
    </row>
    <row r="433" spans="2:24" x14ac:dyDescent="0.3">
      <c r="B433">
        <v>429</v>
      </c>
      <c r="C433" t="s">
        <v>12</v>
      </c>
      <c r="D433">
        <v>9</v>
      </c>
      <c r="E433" t="s">
        <v>95</v>
      </c>
      <c r="F433" t="s">
        <v>102</v>
      </c>
      <c r="G433">
        <v>1313</v>
      </c>
      <c r="H433" t="s">
        <v>96</v>
      </c>
      <c r="I433" t="s">
        <v>87</v>
      </c>
      <c r="J433">
        <v>1</v>
      </c>
      <c r="K433" t="s">
        <v>88</v>
      </c>
      <c r="L433" t="s">
        <v>89</v>
      </c>
      <c r="M433">
        <v>4</v>
      </c>
      <c r="N433" t="s">
        <v>111</v>
      </c>
      <c r="O433">
        <v>20</v>
      </c>
      <c r="P433" t="s">
        <v>89</v>
      </c>
      <c r="Q433" t="s">
        <v>91</v>
      </c>
      <c r="R433">
        <v>1</v>
      </c>
      <c r="S433" t="s">
        <v>92</v>
      </c>
      <c r="T433">
        <v>1</v>
      </c>
      <c r="U433" t="s">
        <v>89</v>
      </c>
      <c r="V433" t="s">
        <v>94</v>
      </c>
      <c r="W433">
        <v>1</v>
      </c>
      <c r="X433">
        <v>0</v>
      </c>
    </row>
    <row r="434" spans="2:24" x14ac:dyDescent="0.3">
      <c r="B434">
        <v>430</v>
      </c>
      <c r="C434" t="s">
        <v>8</v>
      </c>
      <c r="D434">
        <v>18</v>
      </c>
      <c r="E434" t="s">
        <v>84</v>
      </c>
      <c r="F434" t="s">
        <v>128</v>
      </c>
      <c r="G434">
        <v>1190</v>
      </c>
      <c r="H434" t="s">
        <v>96</v>
      </c>
      <c r="I434" t="s">
        <v>116</v>
      </c>
      <c r="J434">
        <v>2</v>
      </c>
      <c r="K434" t="s">
        <v>98</v>
      </c>
      <c r="L434" t="s">
        <v>89</v>
      </c>
      <c r="M434">
        <v>4</v>
      </c>
      <c r="N434" t="s">
        <v>108</v>
      </c>
      <c r="O434">
        <v>55</v>
      </c>
      <c r="P434" t="s">
        <v>89</v>
      </c>
      <c r="Q434" t="s">
        <v>105</v>
      </c>
      <c r="R434">
        <v>3</v>
      </c>
      <c r="S434" t="s">
        <v>129</v>
      </c>
      <c r="T434">
        <v>2</v>
      </c>
      <c r="U434" t="s">
        <v>89</v>
      </c>
      <c r="V434" t="s">
        <v>94</v>
      </c>
      <c r="W434">
        <v>2</v>
      </c>
      <c r="X434">
        <v>1</v>
      </c>
    </row>
    <row r="435" spans="2:24" x14ac:dyDescent="0.3">
      <c r="B435">
        <v>431</v>
      </c>
      <c r="C435" t="s">
        <v>12</v>
      </c>
      <c r="D435">
        <v>5</v>
      </c>
      <c r="E435" t="s">
        <v>95</v>
      </c>
      <c r="F435" t="s">
        <v>119</v>
      </c>
      <c r="G435">
        <v>3448</v>
      </c>
      <c r="H435" t="s">
        <v>96</v>
      </c>
      <c r="I435" t="s">
        <v>100</v>
      </c>
      <c r="J435">
        <v>1</v>
      </c>
      <c r="K435" t="s">
        <v>88</v>
      </c>
      <c r="L435" t="s">
        <v>89</v>
      </c>
      <c r="M435">
        <v>4</v>
      </c>
      <c r="N435" t="s">
        <v>90</v>
      </c>
      <c r="O435">
        <v>74</v>
      </c>
      <c r="P435" t="s">
        <v>89</v>
      </c>
      <c r="Q435" t="s">
        <v>91</v>
      </c>
      <c r="R435">
        <v>1</v>
      </c>
      <c r="S435" t="s">
        <v>101</v>
      </c>
      <c r="T435">
        <v>1</v>
      </c>
      <c r="U435" t="s">
        <v>89</v>
      </c>
      <c r="V435" t="s">
        <v>94</v>
      </c>
      <c r="W435">
        <v>1</v>
      </c>
      <c r="X435">
        <v>0</v>
      </c>
    </row>
    <row r="436" spans="2:24" x14ac:dyDescent="0.3">
      <c r="B436">
        <v>432</v>
      </c>
      <c r="C436" t="s">
        <v>10</v>
      </c>
      <c r="D436">
        <v>24</v>
      </c>
      <c r="E436" t="s">
        <v>95</v>
      </c>
      <c r="F436" t="s">
        <v>130</v>
      </c>
      <c r="G436">
        <v>11328</v>
      </c>
      <c r="H436" t="s">
        <v>96</v>
      </c>
      <c r="I436" t="s">
        <v>97</v>
      </c>
      <c r="J436">
        <v>2</v>
      </c>
      <c r="K436" t="s">
        <v>88</v>
      </c>
      <c r="L436" t="s">
        <v>126</v>
      </c>
      <c r="M436">
        <v>3</v>
      </c>
      <c r="N436" t="s">
        <v>111</v>
      </c>
      <c r="O436">
        <v>29</v>
      </c>
      <c r="P436" t="s">
        <v>122</v>
      </c>
      <c r="Q436" t="s">
        <v>91</v>
      </c>
      <c r="R436">
        <v>2</v>
      </c>
      <c r="S436" t="s">
        <v>113</v>
      </c>
      <c r="T436">
        <v>1</v>
      </c>
      <c r="U436" t="s">
        <v>93</v>
      </c>
      <c r="V436" t="s">
        <v>94</v>
      </c>
      <c r="W436">
        <v>2</v>
      </c>
      <c r="X436">
        <v>1</v>
      </c>
    </row>
    <row r="437" spans="2:24" x14ac:dyDescent="0.3">
      <c r="B437">
        <v>433</v>
      </c>
      <c r="C437" t="s">
        <v>8</v>
      </c>
      <c r="D437">
        <v>6</v>
      </c>
      <c r="E437" t="s">
        <v>84</v>
      </c>
      <c r="F437" t="s">
        <v>102</v>
      </c>
      <c r="G437">
        <v>1872</v>
      </c>
      <c r="H437" t="s">
        <v>96</v>
      </c>
      <c r="I437" t="s">
        <v>116</v>
      </c>
      <c r="J437">
        <v>4</v>
      </c>
      <c r="K437" t="s">
        <v>88</v>
      </c>
      <c r="L437" t="s">
        <v>89</v>
      </c>
      <c r="M437">
        <v>4</v>
      </c>
      <c r="N437" t="s">
        <v>108</v>
      </c>
      <c r="O437">
        <v>36</v>
      </c>
      <c r="P437" t="s">
        <v>89</v>
      </c>
      <c r="Q437" t="s">
        <v>105</v>
      </c>
      <c r="R437">
        <v>3</v>
      </c>
      <c r="S437" t="s">
        <v>113</v>
      </c>
      <c r="T437">
        <v>1</v>
      </c>
      <c r="U437" t="s">
        <v>93</v>
      </c>
      <c r="V437" t="s">
        <v>94</v>
      </c>
      <c r="W437">
        <v>1</v>
      </c>
      <c r="X437">
        <v>0</v>
      </c>
    </row>
    <row r="438" spans="2:24" x14ac:dyDescent="0.3">
      <c r="B438">
        <v>434</v>
      </c>
      <c r="C438" t="s">
        <v>12</v>
      </c>
      <c r="D438">
        <v>24</v>
      </c>
      <c r="E438" t="s">
        <v>84</v>
      </c>
      <c r="F438" t="s">
        <v>128</v>
      </c>
      <c r="G438">
        <v>2058</v>
      </c>
      <c r="H438" t="s">
        <v>96</v>
      </c>
      <c r="I438" t="s">
        <v>97</v>
      </c>
      <c r="J438">
        <v>4</v>
      </c>
      <c r="K438" t="s">
        <v>115</v>
      </c>
      <c r="L438" t="s">
        <v>89</v>
      </c>
      <c r="M438">
        <v>2</v>
      </c>
      <c r="N438" t="s">
        <v>90</v>
      </c>
      <c r="O438">
        <v>33</v>
      </c>
      <c r="P438" t="s">
        <v>89</v>
      </c>
      <c r="Q438" t="s">
        <v>91</v>
      </c>
      <c r="R438">
        <v>2</v>
      </c>
      <c r="S438" t="s">
        <v>92</v>
      </c>
      <c r="T438">
        <v>1</v>
      </c>
      <c r="U438" t="s">
        <v>93</v>
      </c>
      <c r="V438" t="s">
        <v>94</v>
      </c>
      <c r="W438">
        <v>1</v>
      </c>
      <c r="X438">
        <v>0</v>
      </c>
    </row>
    <row r="439" spans="2:24" x14ac:dyDescent="0.3">
      <c r="B439">
        <v>435</v>
      </c>
      <c r="C439" t="s">
        <v>8</v>
      </c>
      <c r="D439">
        <v>9</v>
      </c>
      <c r="E439" t="s">
        <v>95</v>
      </c>
      <c r="F439" t="s">
        <v>102</v>
      </c>
      <c r="G439">
        <v>2136</v>
      </c>
      <c r="H439" t="s">
        <v>96</v>
      </c>
      <c r="I439" t="s">
        <v>97</v>
      </c>
      <c r="J439">
        <v>3</v>
      </c>
      <c r="K439" t="s">
        <v>88</v>
      </c>
      <c r="L439" t="s">
        <v>89</v>
      </c>
      <c r="M439">
        <v>2</v>
      </c>
      <c r="N439" t="s">
        <v>90</v>
      </c>
      <c r="O439">
        <v>25</v>
      </c>
      <c r="P439" t="s">
        <v>89</v>
      </c>
      <c r="Q439" t="s">
        <v>91</v>
      </c>
      <c r="R439">
        <v>1</v>
      </c>
      <c r="S439" t="s">
        <v>92</v>
      </c>
      <c r="T439">
        <v>1</v>
      </c>
      <c r="U439" t="s">
        <v>89</v>
      </c>
      <c r="V439" t="s">
        <v>94</v>
      </c>
      <c r="W439">
        <v>1</v>
      </c>
      <c r="X439">
        <v>0</v>
      </c>
    </row>
    <row r="440" spans="2:24" x14ac:dyDescent="0.3">
      <c r="B440">
        <v>436</v>
      </c>
      <c r="C440" t="s">
        <v>10</v>
      </c>
      <c r="D440">
        <v>12</v>
      </c>
      <c r="E440" t="s">
        <v>95</v>
      </c>
      <c r="F440" t="s">
        <v>85</v>
      </c>
      <c r="G440">
        <v>1484</v>
      </c>
      <c r="H440" t="s">
        <v>86</v>
      </c>
      <c r="I440" t="s">
        <v>97</v>
      </c>
      <c r="J440">
        <v>2</v>
      </c>
      <c r="K440" t="s">
        <v>117</v>
      </c>
      <c r="L440" t="s">
        <v>89</v>
      </c>
      <c r="M440">
        <v>1</v>
      </c>
      <c r="N440" t="s">
        <v>90</v>
      </c>
      <c r="O440">
        <v>25</v>
      </c>
      <c r="P440" t="s">
        <v>89</v>
      </c>
      <c r="Q440" t="s">
        <v>91</v>
      </c>
      <c r="R440">
        <v>1</v>
      </c>
      <c r="S440" t="s">
        <v>92</v>
      </c>
      <c r="T440">
        <v>1</v>
      </c>
      <c r="U440" t="s">
        <v>93</v>
      </c>
      <c r="V440" t="s">
        <v>94</v>
      </c>
      <c r="W440">
        <v>2</v>
      </c>
      <c r="X440">
        <v>1</v>
      </c>
    </row>
    <row r="441" spans="2:24" x14ac:dyDescent="0.3">
      <c r="B441">
        <v>437</v>
      </c>
      <c r="C441" t="s">
        <v>12</v>
      </c>
      <c r="D441">
        <v>6</v>
      </c>
      <c r="E441" t="s">
        <v>95</v>
      </c>
      <c r="F441" t="s">
        <v>128</v>
      </c>
      <c r="G441">
        <v>660</v>
      </c>
      <c r="H441" t="s">
        <v>109</v>
      </c>
      <c r="I441" t="s">
        <v>100</v>
      </c>
      <c r="J441">
        <v>2</v>
      </c>
      <c r="K441" t="s">
        <v>117</v>
      </c>
      <c r="L441" t="s">
        <v>89</v>
      </c>
      <c r="M441">
        <v>4</v>
      </c>
      <c r="N441" t="s">
        <v>90</v>
      </c>
      <c r="O441">
        <v>23</v>
      </c>
      <c r="P441" t="s">
        <v>89</v>
      </c>
      <c r="Q441" t="s">
        <v>112</v>
      </c>
      <c r="R441">
        <v>1</v>
      </c>
      <c r="S441" t="s">
        <v>101</v>
      </c>
      <c r="T441">
        <v>1</v>
      </c>
      <c r="U441" t="s">
        <v>89</v>
      </c>
      <c r="V441" t="s">
        <v>94</v>
      </c>
      <c r="W441">
        <v>1</v>
      </c>
      <c r="X441">
        <v>0</v>
      </c>
    </row>
    <row r="442" spans="2:24" x14ac:dyDescent="0.3">
      <c r="B442">
        <v>438</v>
      </c>
      <c r="C442" t="s">
        <v>12</v>
      </c>
      <c r="D442">
        <v>24</v>
      </c>
      <c r="E442" t="s">
        <v>84</v>
      </c>
      <c r="F442" t="s">
        <v>107</v>
      </c>
      <c r="G442">
        <v>1287</v>
      </c>
      <c r="H442" t="s">
        <v>114</v>
      </c>
      <c r="I442" t="s">
        <v>87</v>
      </c>
      <c r="J442">
        <v>4</v>
      </c>
      <c r="K442" t="s">
        <v>98</v>
      </c>
      <c r="L442" t="s">
        <v>89</v>
      </c>
      <c r="M442">
        <v>4</v>
      </c>
      <c r="N442" t="s">
        <v>90</v>
      </c>
      <c r="O442">
        <v>37</v>
      </c>
      <c r="P442" t="s">
        <v>89</v>
      </c>
      <c r="Q442" t="s">
        <v>91</v>
      </c>
      <c r="R442">
        <v>2</v>
      </c>
      <c r="S442" t="s">
        <v>92</v>
      </c>
      <c r="T442">
        <v>1</v>
      </c>
      <c r="U442" t="s">
        <v>93</v>
      </c>
      <c r="V442" t="s">
        <v>94</v>
      </c>
      <c r="W442">
        <v>1</v>
      </c>
      <c r="X442">
        <v>0</v>
      </c>
    </row>
    <row r="443" spans="2:24" x14ac:dyDescent="0.3">
      <c r="B443">
        <v>439</v>
      </c>
      <c r="C443" t="s">
        <v>8</v>
      </c>
      <c r="D443">
        <v>42</v>
      </c>
      <c r="E443" t="s">
        <v>84</v>
      </c>
      <c r="F443" t="s">
        <v>128</v>
      </c>
      <c r="G443">
        <v>3394</v>
      </c>
      <c r="H443" t="s">
        <v>96</v>
      </c>
      <c r="I443" t="s">
        <v>116</v>
      </c>
      <c r="J443">
        <v>4</v>
      </c>
      <c r="K443" t="s">
        <v>88</v>
      </c>
      <c r="L443" t="s">
        <v>126</v>
      </c>
      <c r="M443">
        <v>4</v>
      </c>
      <c r="N443" t="s">
        <v>111</v>
      </c>
      <c r="O443">
        <v>65</v>
      </c>
      <c r="P443" t="s">
        <v>89</v>
      </c>
      <c r="Q443" t="s">
        <v>91</v>
      </c>
      <c r="R443">
        <v>2</v>
      </c>
      <c r="S443" t="s">
        <v>129</v>
      </c>
      <c r="T443">
        <v>1</v>
      </c>
      <c r="U443" t="s">
        <v>89</v>
      </c>
      <c r="V443" t="s">
        <v>94</v>
      </c>
      <c r="W443">
        <v>1</v>
      </c>
      <c r="X443">
        <v>0</v>
      </c>
    </row>
    <row r="444" spans="2:24" x14ac:dyDescent="0.3">
      <c r="B444">
        <v>440</v>
      </c>
      <c r="C444" t="s">
        <v>11</v>
      </c>
      <c r="D444">
        <v>12</v>
      </c>
      <c r="E444" t="s">
        <v>124</v>
      </c>
      <c r="F444" t="s">
        <v>119</v>
      </c>
      <c r="G444">
        <v>609</v>
      </c>
      <c r="H444" t="s">
        <v>96</v>
      </c>
      <c r="I444" t="s">
        <v>118</v>
      </c>
      <c r="J444">
        <v>4</v>
      </c>
      <c r="K444" t="s">
        <v>98</v>
      </c>
      <c r="L444" t="s">
        <v>89</v>
      </c>
      <c r="M444">
        <v>1</v>
      </c>
      <c r="N444" t="s">
        <v>90</v>
      </c>
      <c r="O444">
        <v>26</v>
      </c>
      <c r="P444" t="s">
        <v>89</v>
      </c>
      <c r="Q444" t="s">
        <v>91</v>
      </c>
      <c r="R444">
        <v>1</v>
      </c>
      <c r="S444" t="s">
        <v>129</v>
      </c>
      <c r="T444">
        <v>1</v>
      </c>
      <c r="U444" t="s">
        <v>89</v>
      </c>
      <c r="V444" t="s">
        <v>94</v>
      </c>
      <c r="W444">
        <v>2</v>
      </c>
      <c r="X444">
        <v>1</v>
      </c>
    </row>
    <row r="445" spans="2:24" x14ac:dyDescent="0.3">
      <c r="B445">
        <v>441</v>
      </c>
      <c r="C445" t="s">
        <v>12</v>
      </c>
      <c r="D445">
        <v>12</v>
      </c>
      <c r="E445" t="s">
        <v>95</v>
      </c>
      <c r="F445" t="s">
        <v>107</v>
      </c>
      <c r="G445">
        <v>1884</v>
      </c>
      <c r="H445" t="s">
        <v>96</v>
      </c>
      <c r="I445" t="s">
        <v>87</v>
      </c>
      <c r="J445">
        <v>4</v>
      </c>
      <c r="K445" t="s">
        <v>88</v>
      </c>
      <c r="L445" t="s">
        <v>89</v>
      </c>
      <c r="M445">
        <v>4</v>
      </c>
      <c r="N445" t="s">
        <v>111</v>
      </c>
      <c r="O445">
        <v>39</v>
      </c>
      <c r="P445" t="s">
        <v>89</v>
      </c>
      <c r="Q445" t="s">
        <v>91</v>
      </c>
      <c r="R445">
        <v>1</v>
      </c>
      <c r="S445" t="s">
        <v>113</v>
      </c>
      <c r="T445">
        <v>1</v>
      </c>
      <c r="U445" t="s">
        <v>93</v>
      </c>
      <c r="V445" t="s">
        <v>94</v>
      </c>
      <c r="W445">
        <v>1</v>
      </c>
      <c r="X445">
        <v>0</v>
      </c>
    </row>
    <row r="446" spans="2:24" x14ac:dyDescent="0.3">
      <c r="B446">
        <v>442</v>
      </c>
      <c r="C446" t="s">
        <v>8</v>
      </c>
      <c r="D446">
        <v>12</v>
      </c>
      <c r="E446" t="s">
        <v>95</v>
      </c>
      <c r="F446" t="s">
        <v>102</v>
      </c>
      <c r="G446">
        <v>1620</v>
      </c>
      <c r="H446" t="s">
        <v>96</v>
      </c>
      <c r="I446" t="s">
        <v>97</v>
      </c>
      <c r="J446">
        <v>2</v>
      </c>
      <c r="K446" t="s">
        <v>98</v>
      </c>
      <c r="L446" t="s">
        <v>126</v>
      </c>
      <c r="M446">
        <v>3</v>
      </c>
      <c r="N446" t="s">
        <v>104</v>
      </c>
      <c r="O446">
        <v>30</v>
      </c>
      <c r="P446" t="s">
        <v>89</v>
      </c>
      <c r="Q446" t="s">
        <v>91</v>
      </c>
      <c r="R446">
        <v>1</v>
      </c>
      <c r="S446" t="s">
        <v>92</v>
      </c>
      <c r="T446">
        <v>1</v>
      </c>
      <c r="U446" t="s">
        <v>89</v>
      </c>
      <c r="V446" t="s">
        <v>94</v>
      </c>
      <c r="W446">
        <v>1</v>
      </c>
      <c r="X446">
        <v>0</v>
      </c>
    </row>
    <row r="447" spans="2:24" x14ac:dyDescent="0.3">
      <c r="B447">
        <v>443</v>
      </c>
      <c r="C447" t="s">
        <v>10</v>
      </c>
      <c r="D447">
        <v>20</v>
      </c>
      <c r="E447" t="s">
        <v>106</v>
      </c>
      <c r="F447" t="s">
        <v>130</v>
      </c>
      <c r="G447">
        <v>2629</v>
      </c>
      <c r="H447" t="s">
        <v>96</v>
      </c>
      <c r="I447" t="s">
        <v>97</v>
      </c>
      <c r="J447">
        <v>2</v>
      </c>
      <c r="K447" t="s">
        <v>88</v>
      </c>
      <c r="L447" t="s">
        <v>89</v>
      </c>
      <c r="M447">
        <v>3</v>
      </c>
      <c r="N447" t="s">
        <v>111</v>
      </c>
      <c r="O447">
        <v>29</v>
      </c>
      <c r="P447" t="s">
        <v>122</v>
      </c>
      <c r="Q447" t="s">
        <v>91</v>
      </c>
      <c r="R447">
        <v>2</v>
      </c>
      <c r="S447" t="s">
        <v>92</v>
      </c>
      <c r="T447">
        <v>1</v>
      </c>
      <c r="U447" t="s">
        <v>93</v>
      </c>
      <c r="V447" t="s">
        <v>94</v>
      </c>
      <c r="W447">
        <v>1</v>
      </c>
      <c r="X447">
        <v>0</v>
      </c>
    </row>
    <row r="448" spans="2:24" x14ac:dyDescent="0.3">
      <c r="B448">
        <v>444</v>
      </c>
      <c r="C448" t="s">
        <v>12</v>
      </c>
      <c r="D448">
        <v>12</v>
      </c>
      <c r="E448" t="s">
        <v>95</v>
      </c>
      <c r="F448" t="s">
        <v>99</v>
      </c>
      <c r="G448">
        <v>719</v>
      </c>
      <c r="H448" t="s">
        <v>96</v>
      </c>
      <c r="I448" t="s">
        <v>87</v>
      </c>
      <c r="J448">
        <v>4</v>
      </c>
      <c r="K448" t="s">
        <v>88</v>
      </c>
      <c r="L448" t="s">
        <v>89</v>
      </c>
      <c r="M448">
        <v>4</v>
      </c>
      <c r="N448" t="s">
        <v>111</v>
      </c>
      <c r="O448">
        <v>41</v>
      </c>
      <c r="P448" t="s">
        <v>122</v>
      </c>
      <c r="Q448" t="s">
        <v>91</v>
      </c>
      <c r="R448">
        <v>1</v>
      </c>
      <c r="S448" t="s">
        <v>101</v>
      </c>
      <c r="T448">
        <v>2</v>
      </c>
      <c r="U448" t="s">
        <v>89</v>
      </c>
      <c r="V448" t="s">
        <v>94</v>
      </c>
      <c r="W448">
        <v>2</v>
      </c>
      <c r="X448">
        <v>1</v>
      </c>
    </row>
    <row r="449" spans="2:24" x14ac:dyDescent="0.3">
      <c r="B449">
        <v>445</v>
      </c>
      <c r="C449" t="s">
        <v>10</v>
      </c>
      <c r="D449">
        <v>48</v>
      </c>
      <c r="E449" t="s">
        <v>84</v>
      </c>
      <c r="F449" t="s">
        <v>102</v>
      </c>
      <c r="G449">
        <v>5096</v>
      </c>
      <c r="H449" t="s">
        <v>96</v>
      </c>
      <c r="I449" t="s">
        <v>97</v>
      </c>
      <c r="J449">
        <v>2</v>
      </c>
      <c r="K449" t="s">
        <v>98</v>
      </c>
      <c r="L449" t="s">
        <v>89</v>
      </c>
      <c r="M449">
        <v>3</v>
      </c>
      <c r="N449" t="s">
        <v>111</v>
      </c>
      <c r="O449">
        <v>30</v>
      </c>
      <c r="P449" t="s">
        <v>89</v>
      </c>
      <c r="Q449" t="s">
        <v>91</v>
      </c>
      <c r="R449">
        <v>1</v>
      </c>
      <c r="S449" t="s">
        <v>113</v>
      </c>
      <c r="T449">
        <v>1</v>
      </c>
      <c r="U449" t="s">
        <v>93</v>
      </c>
      <c r="V449" t="s">
        <v>94</v>
      </c>
      <c r="W449">
        <v>2</v>
      </c>
      <c r="X449">
        <v>1</v>
      </c>
    </row>
    <row r="450" spans="2:24" x14ac:dyDescent="0.3">
      <c r="B450">
        <v>446</v>
      </c>
      <c r="C450" t="s">
        <v>12</v>
      </c>
      <c r="D450">
        <v>9</v>
      </c>
      <c r="E450" t="s">
        <v>84</v>
      </c>
      <c r="F450" t="s">
        <v>99</v>
      </c>
      <c r="G450">
        <v>1244</v>
      </c>
      <c r="H450" t="s">
        <v>86</v>
      </c>
      <c r="I450" t="s">
        <v>87</v>
      </c>
      <c r="J450">
        <v>4</v>
      </c>
      <c r="K450" t="s">
        <v>98</v>
      </c>
      <c r="L450" t="s">
        <v>89</v>
      </c>
      <c r="M450">
        <v>4</v>
      </c>
      <c r="N450" t="s">
        <v>104</v>
      </c>
      <c r="O450">
        <v>41</v>
      </c>
      <c r="P450" t="s">
        <v>89</v>
      </c>
      <c r="Q450" t="s">
        <v>112</v>
      </c>
      <c r="R450">
        <v>2</v>
      </c>
      <c r="S450" t="s">
        <v>101</v>
      </c>
      <c r="T450">
        <v>1</v>
      </c>
      <c r="U450" t="s">
        <v>89</v>
      </c>
      <c r="V450" t="s">
        <v>94</v>
      </c>
      <c r="W450">
        <v>1</v>
      </c>
      <c r="X450">
        <v>0</v>
      </c>
    </row>
    <row r="451" spans="2:24" x14ac:dyDescent="0.3">
      <c r="B451">
        <v>447</v>
      </c>
      <c r="C451" t="s">
        <v>8</v>
      </c>
      <c r="D451">
        <v>36</v>
      </c>
      <c r="E451" t="s">
        <v>95</v>
      </c>
      <c r="F451" t="s">
        <v>107</v>
      </c>
      <c r="G451">
        <v>1842</v>
      </c>
      <c r="H451" t="s">
        <v>96</v>
      </c>
      <c r="I451" t="s">
        <v>118</v>
      </c>
      <c r="J451">
        <v>4</v>
      </c>
      <c r="K451" t="s">
        <v>98</v>
      </c>
      <c r="L451" t="s">
        <v>89</v>
      </c>
      <c r="M451">
        <v>4</v>
      </c>
      <c r="N451" t="s">
        <v>111</v>
      </c>
      <c r="O451">
        <v>34</v>
      </c>
      <c r="P451" t="s">
        <v>89</v>
      </c>
      <c r="Q451" t="s">
        <v>91</v>
      </c>
      <c r="R451">
        <v>1</v>
      </c>
      <c r="S451" t="s">
        <v>92</v>
      </c>
      <c r="T451">
        <v>1</v>
      </c>
      <c r="U451" t="s">
        <v>93</v>
      </c>
      <c r="V451" t="s">
        <v>94</v>
      </c>
      <c r="W451">
        <v>2</v>
      </c>
      <c r="X451">
        <v>1</v>
      </c>
    </row>
    <row r="452" spans="2:24" x14ac:dyDescent="0.3">
      <c r="B452">
        <v>448</v>
      </c>
      <c r="C452" t="s">
        <v>10</v>
      </c>
      <c r="D452">
        <v>7</v>
      </c>
      <c r="E452" t="s">
        <v>95</v>
      </c>
      <c r="F452" t="s">
        <v>85</v>
      </c>
      <c r="G452">
        <v>2576</v>
      </c>
      <c r="H452" t="s">
        <v>96</v>
      </c>
      <c r="I452" t="s">
        <v>97</v>
      </c>
      <c r="J452">
        <v>2</v>
      </c>
      <c r="K452" t="s">
        <v>88</v>
      </c>
      <c r="L452" t="s">
        <v>103</v>
      </c>
      <c r="M452">
        <v>2</v>
      </c>
      <c r="N452" t="s">
        <v>90</v>
      </c>
      <c r="O452">
        <v>35</v>
      </c>
      <c r="P452" t="s">
        <v>89</v>
      </c>
      <c r="Q452" t="s">
        <v>91</v>
      </c>
      <c r="R452">
        <v>1</v>
      </c>
      <c r="S452" t="s">
        <v>92</v>
      </c>
      <c r="T452">
        <v>1</v>
      </c>
      <c r="U452" t="s">
        <v>89</v>
      </c>
      <c r="V452" t="s">
        <v>94</v>
      </c>
      <c r="W452">
        <v>1</v>
      </c>
      <c r="X452">
        <v>0</v>
      </c>
    </row>
    <row r="453" spans="2:24" x14ac:dyDescent="0.3">
      <c r="B453">
        <v>449</v>
      </c>
      <c r="C453" t="s">
        <v>11</v>
      </c>
      <c r="D453">
        <v>12</v>
      </c>
      <c r="E453" t="s">
        <v>95</v>
      </c>
      <c r="F453" t="s">
        <v>102</v>
      </c>
      <c r="G453">
        <v>1424</v>
      </c>
      <c r="H453" t="s">
        <v>86</v>
      </c>
      <c r="I453" t="s">
        <v>87</v>
      </c>
      <c r="J453">
        <v>3</v>
      </c>
      <c r="K453" t="s">
        <v>98</v>
      </c>
      <c r="L453" t="s">
        <v>89</v>
      </c>
      <c r="M453">
        <v>4</v>
      </c>
      <c r="N453" t="s">
        <v>90</v>
      </c>
      <c r="O453">
        <v>55</v>
      </c>
      <c r="P453" t="s">
        <v>89</v>
      </c>
      <c r="Q453" t="s">
        <v>91</v>
      </c>
      <c r="R453">
        <v>1</v>
      </c>
      <c r="S453" t="s">
        <v>113</v>
      </c>
      <c r="T453">
        <v>1</v>
      </c>
      <c r="U453" t="s">
        <v>93</v>
      </c>
      <c r="V453" t="s">
        <v>94</v>
      </c>
      <c r="W453">
        <v>1</v>
      </c>
      <c r="X453">
        <v>0</v>
      </c>
    </row>
    <row r="454" spans="2:24" x14ac:dyDescent="0.3">
      <c r="B454">
        <v>450</v>
      </c>
      <c r="C454" t="s">
        <v>10</v>
      </c>
      <c r="D454">
        <v>15</v>
      </c>
      <c r="E454" t="s">
        <v>106</v>
      </c>
      <c r="F454" t="s">
        <v>128</v>
      </c>
      <c r="G454">
        <v>1512</v>
      </c>
      <c r="H454" t="s">
        <v>114</v>
      </c>
      <c r="I454" t="s">
        <v>97</v>
      </c>
      <c r="J454">
        <v>3</v>
      </c>
      <c r="K454" t="s">
        <v>117</v>
      </c>
      <c r="L454" t="s">
        <v>89</v>
      </c>
      <c r="M454">
        <v>3</v>
      </c>
      <c r="N454" t="s">
        <v>104</v>
      </c>
      <c r="O454">
        <v>61</v>
      </c>
      <c r="P454" t="s">
        <v>125</v>
      </c>
      <c r="Q454" t="s">
        <v>91</v>
      </c>
      <c r="R454">
        <v>2</v>
      </c>
      <c r="S454" t="s">
        <v>92</v>
      </c>
      <c r="T454">
        <v>1</v>
      </c>
      <c r="U454" t="s">
        <v>89</v>
      </c>
      <c r="V454" t="s">
        <v>94</v>
      </c>
      <c r="W454">
        <v>2</v>
      </c>
      <c r="X454">
        <v>1</v>
      </c>
    </row>
    <row r="455" spans="2:24" x14ac:dyDescent="0.3">
      <c r="B455">
        <v>451</v>
      </c>
      <c r="C455" t="s">
        <v>12</v>
      </c>
      <c r="D455">
        <v>36</v>
      </c>
      <c r="E455" t="s">
        <v>84</v>
      </c>
      <c r="F455" t="s">
        <v>110</v>
      </c>
      <c r="G455">
        <v>11054</v>
      </c>
      <c r="H455" t="s">
        <v>86</v>
      </c>
      <c r="I455" t="s">
        <v>97</v>
      </c>
      <c r="J455">
        <v>4</v>
      </c>
      <c r="K455" t="s">
        <v>88</v>
      </c>
      <c r="L455" t="s">
        <v>89</v>
      </c>
      <c r="M455">
        <v>2</v>
      </c>
      <c r="N455" t="s">
        <v>111</v>
      </c>
      <c r="O455">
        <v>30</v>
      </c>
      <c r="P455" t="s">
        <v>89</v>
      </c>
      <c r="Q455" t="s">
        <v>91</v>
      </c>
      <c r="R455">
        <v>1</v>
      </c>
      <c r="S455" t="s">
        <v>113</v>
      </c>
      <c r="T455">
        <v>1</v>
      </c>
      <c r="U455" t="s">
        <v>93</v>
      </c>
      <c r="V455" t="s">
        <v>94</v>
      </c>
      <c r="W455">
        <v>1</v>
      </c>
      <c r="X455">
        <v>0</v>
      </c>
    </row>
    <row r="456" spans="2:24" x14ac:dyDescent="0.3">
      <c r="B456">
        <v>452</v>
      </c>
      <c r="C456" t="s">
        <v>12</v>
      </c>
      <c r="D456">
        <v>6</v>
      </c>
      <c r="E456" t="s">
        <v>95</v>
      </c>
      <c r="F456" t="s">
        <v>85</v>
      </c>
      <c r="G456">
        <v>518</v>
      </c>
      <c r="H456" t="s">
        <v>96</v>
      </c>
      <c r="I456" t="s">
        <v>97</v>
      </c>
      <c r="J456">
        <v>3</v>
      </c>
      <c r="K456" t="s">
        <v>98</v>
      </c>
      <c r="L456" t="s">
        <v>89</v>
      </c>
      <c r="M456">
        <v>1</v>
      </c>
      <c r="N456" t="s">
        <v>90</v>
      </c>
      <c r="O456">
        <v>29</v>
      </c>
      <c r="P456" t="s">
        <v>89</v>
      </c>
      <c r="Q456" t="s">
        <v>91</v>
      </c>
      <c r="R456">
        <v>1</v>
      </c>
      <c r="S456" t="s">
        <v>92</v>
      </c>
      <c r="T456">
        <v>1</v>
      </c>
      <c r="U456" t="s">
        <v>89</v>
      </c>
      <c r="V456" t="s">
        <v>94</v>
      </c>
      <c r="W456">
        <v>1</v>
      </c>
      <c r="X456">
        <v>0</v>
      </c>
    </row>
    <row r="457" spans="2:24" x14ac:dyDescent="0.3">
      <c r="B457">
        <v>453</v>
      </c>
      <c r="C457" t="s">
        <v>12</v>
      </c>
      <c r="D457">
        <v>12</v>
      </c>
      <c r="E457" t="s">
        <v>121</v>
      </c>
      <c r="F457" t="s">
        <v>102</v>
      </c>
      <c r="G457">
        <v>2759</v>
      </c>
      <c r="H457" t="s">
        <v>96</v>
      </c>
      <c r="I457" t="s">
        <v>87</v>
      </c>
      <c r="J457">
        <v>2</v>
      </c>
      <c r="K457" t="s">
        <v>88</v>
      </c>
      <c r="L457" t="s">
        <v>89</v>
      </c>
      <c r="M457">
        <v>4</v>
      </c>
      <c r="N457" t="s">
        <v>104</v>
      </c>
      <c r="O457">
        <v>34</v>
      </c>
      <c r="P457" t="s">
        <v>89</v>
      </c>
      <c r="Q457" t="s">
        <v>91</v>
      </c>
      <c r="R457">
        <v>2</v>
      </c>
      <c r="S457" t="s">
        <v>92</v>
      </c>
      <c r="T457">
        <v>1</v>
      </c>
      <c r="U457" t="s">
        <v>89</v>
      </c>
      <c r="V457" t="s">
        <v>94</v>
      </c>
      <c r="W457">
        <v>1</v>
      </c>
      <c r="X457">
        <v>0</v>
      </c>
    </row>
    <row r="458" spans="2:24" x14ac:dyDescent="0.3">
      <c r="B458">
        <v>454</v>
      </c>
      <c r="C458" t="s">
        <v>12</v>
      </c>
      <c r="D458">
        <v>24</v>
      </c>
      <c r="E458" t="s">
        <v>95</v>
      </c>
      <c r="F458" t="s">
        <v>110</v>
      </c>
      <c r="G458">
        <v>2670</v>
      </c>
      <c r="H458" t="s">
        <v>96</v>
      </c>
      <c r="I458" t="s">
        <v>87</v>
      </c>
      <c r="J458">
        <v>4</v>
      </c>
      <c r="K458" t="s">
        <v>88</v>
      </c>
      <c r="L458" t="s">
        <v>89</v>
      </c>
      <c r="M458">
        <v>4</v>
      </c>
      <c r="N458" t="s">
        <v>111</v>
      </c>
      <c r="O458">
        <v>35</v>
      </c>
      <c r="P458" t="s">
        <v>89</v>
      </c>
      <c r="Q458" t="s">
        <v>91</v>
      </c>
      <c r="R458">
        <v>1</v>
      </c>
      <c r="S458" t="s">
        <v>113</v>
      </c>
      <c r="T458">
        <v>1</v>
      </c>
      <c r="U458" t="s">
        <v>93</v>
      </c>
      <c r="V458" t="s">
        <v>94</v>
      </c>
      <c r="W458">
        <v>1</v>
      </c>
      <c r="X458">
        <v>0</v>
      </c>
    </row>
    <row r="459" spans="2:24" x14ac:dyDescent="0.3">
      <c r="B459">
        <v>455</v>
      </c>
      <c r="C459" t="s">
        <v>8</v>
      </c>
      <c r="D459">
        <v>24</v>
      </c>
      <c r="E459" t="s">
        <v>95</v>
      </c>
      <c r="F459" t="s">
        <v>107</v>
      </c>
      <c r="G459">
        <v>4817</v>
      </c>
      <c r="H459" t="s">
        <v>96</v>
      </c>
      <c r="I459" t="s">
        <v>100</v>
      </c>
      <c r="J459">
        <v>2</v>
      </c>
      <c r="K459" t="s">
        <v>88</v>
      </c>
      <c r="L459" t="s">
        <v>126</v>
      </c>
      <c r="M459">
        <v>3</v>
      </c>
      <c r="N459" t="s">
        <v>104</v>
      </c>
      <c r="O459">
        <v>31</v>
      </c>
      <c r="P459" t="s">
        <v>89</v>
      </c>
      <c r="Q459" t="s">
        <v>91</v>
      </c>
      <c r="R459">
        <v>1</v>
      </c>
      <c r="S459" t="s">
        <v>92</v>
      </c>
      <c r="T459">
        <v>1</v>
      </c>
      <c r="U459" t="s">
        <v>93</v>
      </c>
      <c r="V459" t="s">
        <v>94</v>
      </c>
      <c r="W459">
        <v>2</v>
      </c>
      <c r="X459">
        <v>1</v>
      </c>
    </row>
    <row r="460" spans="2:24" x14ac:dyDescent="0.3">
      <c r="B460">
        <v>456</v>
      </c>
      <c r="C460" t="s">
        <v>12</v>
      </c>
      <c r="D460">
        <v>24</v>
      </c>
      <c r="E460" t="s">
        <v>95</v>
      </c>
      <c r="F460" t="s">
        <v>110</v>
      </c>
      <c r="G460">
        <v>2679</v>
      </c>
      <c r="H460" t="s">
        <v>96</v>
      </c>
      <c r="I460" t="s">
        <v>118</v>
      </c>
      <c r="J460">
        <v>4</v>
      </c>
      <c r="K460" t="s">
        <v>98</v>
      </c>
      <c r="L460" t="s">
        <v>89</v>
      </c>
      <c r="M460">
        <v>1</v>
      </c>
      <c r="N460" t="s">
        <v>108</v>
      </c>
      <c r="O460">
        <v>29</v>
      </c>
      <c r="P460" t="s">
        <v>89</v>
      </c>
      <c r="Q460" t="s">
        <v>91</v>
      </c>
      <c r="R460">
        <v>1</v>
      </c>
      <c r="S460" t="s">
        <v>113</v>
      </c>
      <c r="T460">
        <v>1</v>
      </c>
      <c r="U460" t="s">
        <v>93</v>
      </c>
      <c r="V460" t="s">
        <v>94</v>
      </c>
      <c r="W460">
        <v>1</v>
      </c>
      <c r="X460">
        <v>0</v>
      </c>
    </row>
    <row r="461" spans="2:24" x14ac:dyDescent="0.3">
      <c r="B461">
        <v>457</v>
      </c>
      <c r="C461" t="s">
        <v>8</v>
      </c>
      <c r="D461">
        <v>11</v>
      </c>
      <c r="E461" t="s">
        <v>84</v>
      </c>
      <c r="F461" t="s">
        <v>107</v>
      </c>
      <c r="G461">
        <v>3905</v>
      </c>
      <c r="H461" t="s">
        <v>96</v>
      </c>
      <c r="I461" t="s">
        <v>97</v>
      </c>
      <c r="J461">
        <v>2</v>
      </c>
      <c r="K461" t="s">
        <v>88</v>
      </c>
      <c r="L461" t="s">
        <v>89</v>
      </c>
      <c r="M461">
        <v>2</v>
      </c>
      <c r="N461" t="s">
        <v>90</v>
      </c>
      <c r="O461">
        <v>36</v>
      </c>
      <c r="P461" t="s">
        <v>89</v>
      </c>
      <c r="Q461" t="s">
        <v>112</v>
      </c>
      <c r="R461">
        <v>2</v>
      </c>
      <c r="S461" t="s">
        <v>92</v>
      </c>
      <c r="T461">
        <v>2</v>
      </c>
      <c r="U461" t="s">
        <v>89</v>
      </c>
      <c r="V461" t="s">
        <v>94</v>
      </c>
      <c r="W461">
        <v>1</v>
      </c>
      <c r="X461">
        <v>0</v>
      </c>
    </row>
    <row r="462" spans="2:24" x14ac:dyDescent="0.3">
      <c r="B462">
        <v>458</v>
      </c>
      <c r="C462" t="s">
        <v>8</v>
      </c>
      <c r="D462">
        <v>12</v>
      </c>
      <c r="E462" t="s">
        <v>95</v>
      </c>
      <c r="F462" t="s">
        <v>110</v>
      </c>
      <c r="G462">
        <v>3386</v>
      </c>
      <c r="H462" t="s">
        <v>96</v>
      </c>
      <c r="I462" t="s">
        <v>87</v>
      </c>
      <c r="J462">
        <v>3</v>
      </c>
      <c r="K462" t="s">
        <v>88</v>
      </c>
      <c r="L462" t="s">
        <v>89</v>
      </c>
      <c r="M462">
        <v>4</v>
      </c>
      <c r="N462" t="s">
        <v>108</v>
      </c>
      <c r="O462">
        <v>35</v>
      </c>
      <c r="P462" t="s">
        <v>89</v>
      </c>
      <c r="Q462" t="s">
        <v>105</v>
      </c>
      <c r="R462">
        <v>1</v>
      </c>
      <c r="S462" t="s">
        <v>92</v>
      </c>
      <c r="T462">
        <v>1</v>
      </c>
      <c r="U462" t="s">
        <v>93</v>
      </c>
      <c r="V462" t="s">
        <v>94</v>
      </c>
      <c r="W462">
        <v>2</v>
      </c>
      <c r="X462">
        <v>1</v>
      </c>
    </row>
    <row r="463" spans="2:24" x14ac:dyDescent="0.3">
      <c r="B463">
        <v>459</v>
      </c>
      <c r="C463" t="s">
        <v>8</v>
      </c>
      <c r="D463">
        <v>6</v>
      </c>
      <c r="E463" t="s">
        <v>95</v>
      </c>
      <c r="F463" t="s">
        <v>127</v>
      </c>
      <c r="G463">
        <v>343</v>
      </c>
      <c r="H463" t="s">
        <v>96</v>
      </c>
      <c r="I463" t="s">
        <v>118</v>
      </c>
      <c r="J463">
        <v>4</v>
      </c>
      <c r="K463" t="s">
        <v>98</v>
      </c>
      <c r="L463" t="s">
        <v>89</v>
      </c>
      <c r="M463">
        <v>1</v>
      </c>
      <c r="N463" t="s">
        <v>90</v>
      </c>
      <c r="O463">
        <v>27</v>
      </c>
      <c r="P463" t="s">
        <v>89</v>
      </c>
      <c r="Q463" t="s">
        <v>91</v>
      </c>
      <c r="R463">
        <v>1</v>
      </c>
      <c r="S463" t="s">
        <v>92</v>
      </c>
      <c r="T463">
        <v>1</v>
      </c>
      <c r="U463" t="s">
        <v>89</v>
      </c>
      <c r="V463" t="s">
        <v>94</v>
      </c>
      <c r="W463">
        <v>1</v>
      </c>
      <c r="X463">
        <v>0</v>
      </c>
    </row>
    <row r="464" spans="2:24" x14ac:dyDescent="0.3">
      <c r="B464">
        <v>460</v>
      </c>
      <c r="C464" t="s">
        <v>12</v>
      </c>
      <c r="D464">
        <v>18</v>
      </c>
      <c r="E464" t="s">
        <v>95</v>
      </c>
      <c r="F464" t="s">
        <v>85</v>
      </c>
      <c r="G464">
        <v>4594</v>
      </c>
      <c r="H464" t="s">
        <v>96</v>
      </c>
      <c r="I464" t="s">
        <v>118</v>
      </c>
      <c r="J464">
        <v>3</v>
      </c>
      <c r="K464" t="s">
        <v>88</v>
      </c>
      <c r="L464" t="s">
        <v>89</v>
      </c>
      <c r="M464">
        <v>2</v>
      </c>
      <c r="N464" t="s">
        <v>111</v>
      </c>
      <c r="O464">
        <v>32</v>
      </c>
      <c r="P464" t="s">
        <v>89</v>
      </c>
      <c r="Q464" t="s">
        <v>91</v>
      </c>
      <c r="R464">
        <v>1</v>
      </c>
      <c r="S464" t="s">
        <v>92</v>
      </c>
      <c r="T464">
        <v>1</v>
      </c>
      <c r="U464" t="s">
        <v>93</v>
      </c>
      <c r="V464" t="s">
        <v>94</v>
      </c>
      <c r="W464">
        <v>1</v>
      </c>
      <c r="X464">
        <v>0</v>
      </c>
    </row>
    <row r="465" spans="2:24" x14ac:dyDescent="0.3">
      <c r="B465">
        <v>461</v>
      </c>
      <c r="C465" t="s">
        <v>8</v>
      </c>
      <c r="D465">
        <v>36</v>
      </c>
      <c r="E465" t="s">
        <v>95</v>
      </c>
      <c r="F465" t="s">
        <v>102</v>
      </c>
      <c r="G465">
        <v>3620</v>
      </c>
      <c r="H465" t="s">
        <v>96</v>
      </c>
      <c r="I465" t="s">
        <v>97</v>
      </c>
      <c r="J465">
        <v>1</v>
      </c>
      <c r="K465" t="s">
        <v>88</v>
      </c>
      <c r="L465" t="s">
        <v>103</v>
      </c>
      <c r="M465">
        <v>2</v>
      </c>
      <c r="N465" t="s">
        <v>104</v>
      </c>
      <c r="O465">
        <v>37</v>
      </c>
      <c r="P465" t="s">
        <v>89</v>
      </c>
      <c r="Q465" t="s">
        <v>91</v>
      </c>
      <c r="R465">
        <v>1</v>
      </c>
      <c r="S465" t="s">
        <v>92</v>
      </c>
      <c r="T465">
        <v>2</v>
      </c>
      <c r="U465" t="s">
        <v>89</v>
      </c>
      <c r="V465" t="s">
        <v>94</v>
      </c>
      <c r="W465">
        <v>1</v>
      </c>
      <c r="X465">
        <v>0</v>
      </c>
    </row>
    <row r="466" spans="2:24" x14ac:dyDescent="0.3">
      <c r="B466">
        <v>462</v>
      </c>
      <c r="C466" t="s">
        <v>8</v>
      </c>
      <c r="D466">
        <v>15</v>
      </c>
      <c r="E466" t="s">
        <v>95</v>
      </c>
      <c r="F466" t="s">
        <v>107</v>
      </c>
      <c r="G466">
        <v>1721</v>
      </c>
      <c r="H466" t="s">
        <v>96</v>
      </c>
      <c r="I466" t="s">
        <v>118</v>
      </c>
      <c r="J466">
        <v>2</v>
      </c>
      <c r="K466" t="s">
        <v>88</v>
      </c>
      <c r="L466" t="s">
        <v>89</v>
      </c>
      <c r="M466">
        <v>3</v>
      </c>
      <c r="N466" t="s">
        <v>90</v>
      </c>
      <c r="O466">
        <v>36</v>
      </c>
      <c r="P466" t="s">
        <v>89</v>
      </c>
      <c r="Q466" t="s">
        <v>91</v>
      </c>
      <c r="R466">
        <v>1</v>
      </c>
      <c r="S466" t="s">
        <v>92</v>
      </c>
      <c r="T466">
        <v>1</v>
      </c>
      <c r="U466" t="s">
        <v>89</v>
      </c>
      <c r="V466" t="s">
        <v>94</v>
      </c>
      <c r="W466">
        <v>1</v>
      </c>
      <c r="X466">
        <v>0</v>
      </c>
    </row>
    <row r="467" spans="2:24" x14ac:dyDescent="0.3">
      <c r="B467">
        <v>463</v>
      </c>
      <c r="C467" t="s">
        <v>10</v>
      </c>
      <c r="D467">
        <v>12</v>
      </c>
      <c r="E467" t="s">
        <v>95</v>
      </c>
      <c r="F467" t="s">
        <v>102</v>
      </c>
      <c r="G467">
        <v>3017</v>
      </c>
      <c r="H467" t="s">
        <v>96</v>
      </c>
      <c r="I467" t="s">
        <v>118</v>
      </c>
      <c r="J467">
        <v>3</v>
      </c>
      <c r="K467" t="s">
        <v>98</v>
      </c>
      <c r="L467" t="s">
        <v>89</v>
      </c>
      <c r="M467">
        <v>1</v>
      </c>
      <c r="N467" t="s">
        <v>90</v>
      </c>
      <c r="O467">
        <v>34</v>
      </c>
      <c r="P467" t="s">
        <v>89</v>
      </c>
      <c r="Q467" t="s">
        <v>112</v>
      </c>
      <c r="R467">
        <v>1</v>
      </c>
      <c r="S467" t="s">
        <v>113</v>
      </c>
      <c r="T467">
        <v>1</v>
      </c>
      <c r="U467" t="s">
        <v>89</v>
      </c>
      <c r="V467" t="s">
        <v>94</v>
      </c>
      <c r="W467">
        <v>1</v>
      </c>
      <c r="X467">
        <v>0</v>
      </c>
    </row>
    <row r="468" spans="2:24" x14ac:dyDescent="0.3">
      <c r="B468">
        <v>464</v>
      </c>
      <c r="C468" t="s">
        <v>10</v>
      </c>
      <c r="D468">
        <v>12</v>
      </c>
      <c r="E468" t="s">
        <v>95</v>
      </c>
      <c r="F468" t="s">
        <v>131</v>
      </c>
      <c r="G468">
        <v>754</v>
      </c>
      <c r="H468" t="s">
        <v>86</v>
      </c>
      <c r="I468" t="s">
        <v>87</v>
      </c>
      <c r="J468">
        <v>4</v>
      </c>
      <c r="K468" t="s">
        <v>88</v>
      </c>
      <c r="L468" t="s">
        <v>89</v>
      </c>
      <c r="M468">
        <v>4</v>
      </c>
      <c r="N468" t="s">
        <v>104</v>
      </c>
      <c r="O468">
        <v>38</v>
      </c>
      <c r="P468" t="s">
        <v>89</v>
      </c>
      <c r="Q468" t="s">
        <v>91</v>
      </c>
      <c r="R468">
        <v>2</v>
      </c>
      <c r="S468" t="s">
        <v>92</v>
      </c>
      <c r="T468">
        <v>1</v>
      </c>
      <c r="U468" t="s">
        <v>89</v>
      </c>
      <c r="V468" t="s">
        <v>94</v>
      </c>
      <c r="W468">
        <v>1</v>
      </c>
      <c r="X468">
        <v>0</v>
      </c>
    </row>
    <row r="469" spans="2:24" x14ac:dyDescent="0.3">
      <c r="B469">
        <v>465</v>
      </c>
      <c r="C469" t="s">
        <v>12</v>
      </c>
      <c r="D469">
        <v>18</v>
      </c>
      <c r="E469" t="s">
        <v>95</v>
      </c>
      <c r="F469" t="s">
        <v>119</v>
      </c>
      <c r="G469">
        <v>1950</v>
      </c>
      <c r="H469" t="s">
        <v>96</v>
      </c>
      <c r="I469" t="s">
        <v>100</v>
      </c>
      <c r="J469">
        <v>4</v>
      </c>
      <c r="K469" t="s">
        <v>88</v>
      </c>
      <c r="L469" t="s">
        <v>89</v>
      </c>
      <c r="M469">
        <v>1</v>
      </c>
      <c r="N469" t="s">
        <v>111</v>
      </c>
      <c r="O469">
        <v>34</v>
      </c>
      <c r="P469" t="s">
        <v>125</v>
      </c>
      <c r="Q469" t="s">
        <v>91</v>
      </c>
      <c r="R469">
        <v>2</v>
      </c>
      <c r="S469" t="s">
        <v>92</v>
      </c>
      <c r="T469">
        <v>1</v>
      </c>
      <c r="U469" t="s">
        <v>93</v>
      </c>
      <c r="V469" t="s">
        <v>94</v>
      </c>
      <c r="W469">
        <v>1</v>
      </c>
      <c r="X469">
        <v>0</v>
      </c>
    </row>
    <row r="470" spans="2:24" x14ac:dyDescent="0.3">
      <c r="B470">
        <v>466</v>
      </c>
      <c r="C470" t="s">
        <v>8</v>
      </c>
      <c r="D470">
        <v>24</v>
      </c>
      <c r="E470" t="s">
        <v>95</v>
      </c>
      <c r="F470" t="s">
        <v>110</v>
      </c>
      <c r="G470">
        <v>2924</v>
      </c>
      <c r="H470" t="s">
        <v>96</v>
      </c>
      <c r="I470" t="s">
        <v>97</v>
      </c>
      <c r="J470">
        <v>3</v>
      </c>
      <c r="K470" t="s">
        <v>88</v>
      </c>
      <c r="L470" t="s">
        <v>103</v>
      </c>
      <c r="M470">
        <v>4</v>
      </c>
      <c r="N470" t="s">
        <v>108</v>
      </c>
      <c r="O470">
        <v>63</v>
      </c>
      <c r="P470" t="s">
        <v>122</v>
      </c>
      <c r="Q470" t="s">
        <v>91</v>
      </c>
      <c r="R470">
        <v>1</v>
      </c>
      <c r="S470" t="s">
        <v>92</v>
      </c>
      <c r="T470">
        <v>2</v>
      </c>
      <c r="U470" t="s">
        <v>93</v>
      </c>
      <c r="V470" t="s">
        <v>94</v>
      </c>
      <c r="W470">
        <v>1</v>
      </c>
      <c r="X470">
        <v>0</v>
      </c>
    </row>
    <row r="471" spans="2:24" x14ac:dyDescent="0.3">
      <c r="B471">
        <v>467</v>
      </c>
      <c r="C471" t="s">
        <v>8</v>
      </c>
      <c r="D471">
        <v>24</v>
      </c>
      <c r="E471" t="s">
        <v>106</v>
      </c>
      <c r="F471" t="s">
        <v>85</v>
      </c>
      <c r="G471">
        <v>1659</v>
      </c>
      <c r="H471" t="s">
        <v>96</v>
      </c>
      <c r="I471" t="s">
        <v>118</v>
      </c>
      <c r="J471">
        <v>4</v>
      </c>
      <c r="K471" t="s">
        <v>98</v>
      </c>
      <c r="L471" t="s">
        <v>89</v>
      </c>
      <c r="M471">
        <v>2</v>
      </c>
      <c r="N471" t="s">
        <v>111</v>
      </c>
      <c r="O471">
        <v>29</v>
      </c>
      <c r="P471" t="s">
        <v>89</v>
      </c>
      <c r="Q471" t="s">
        <v>112</v>
      </c>
      <c r="R471">
        <v>1</v>
      </c>
      <c r="S471" t="s">
        <v>101</v>
      </c>
      <c r="T471">
        <v>1</v>
      </c>
      <c r="U471" t="s">
        <v>93</v>
      </c>
      <c r="V471" t="s">
        <v>94</v>
      </c>
      <c r="W471">
        <v>2</v>
      </c>
      <c r="X471">
        <v>1</v>
      </c>
    </row>
    <row r="472" spans="2:24" x14ac:dyDescent="0.3">
      <c r="B472">
        <v>468</v>
      </c>
      <c r="C472" t="s">
        <v>12</v>
      </c>
      <c r="D472">
        <v>48</v>
      </c>
      <c r="E472" t="s">
        <v>106</v>
      </c>
      <c r="F472" t="s">
        <v>85</v>
      </c>
      <c r="G472">
        <v>7238</v>
      </c>
      <c r="H472" t="s">
        <v>86</v>
      </c>
      <c r="I472" t="s">
        <v>87</v>
      </c>
      <c r="J472">
        <v>3</v>
      </c>
      <c r="K472" t="s">
        <v>88</v>
      </c>
      <c r="L472" t="s">
        <v>89</v>
      </c>
      <c r="M472">
        <v>3</v>
      </c>
      <c r="N472" t="s">
        <v>111</v>
      </c>
      <c r="O472">
        <v>32</v>
      </c>
      <c r="P472" t="s">
        <v>122</v>
      </c>
      <c r="Q472" t="s">
        <v>91</v>
      </c>
      <c r="R472">
        <v>2</v>
      </c>
      <c r="S472" t="s">
        <v>92</v>
      </c>
      <c r="T472">
        <v>2</v>
      </c>
      <c r="U472" t="s">
        <v>89</v>
      </c>
      <c r="V472" t="s">
        <v>94</v>
      </c>
      <c r="W472">
        <v>1</v>
      </c>
      <c r="X472">
        <v>0</v>
      </c>
    </row>
    <row r="473" spans="2:24" x14ac:dyDescent="0.3">
      <c r="B473">
        <v>469</v>
      </c>
      <c r="C473" t="s">
        <v>12</v>
      </c>
      <c r="D473">
        <v>33</v>
      </c>
      <c r="E473" t="s">
        <v>106</v>
      </c>
      <c r="F473" t="s">
        <v>119</v>
      </c>
      <c r="G473">
        <v>2764</v>
      </c>
      <c r="H473" t="s">
        <v>96</v>
      </c>
      <c r="I473" t="s">
        <v>97</v>
      </c>
      <c r="J473">
        <v>2</v>
      </c>
      <c r="K473" t="s">
        <v>98</v>
      </c>
      <c r="L473" t="s">
        <v>89</v>
      </c>
      <c r="M473">
        <v>2</v>
      </c>
      <c r="N473" t="s">
        <v>111</v>
      </c>
      <c r="O473">
        <v>26</v>
      </c>
      <c r="P473" t="s">
        <v>89</v>
      </c>
      <c r="Q473" t="s">
        <v>91</v>
      </c>
      <c r="R473">
        <v>2</v>
      </c>
      <c r="S473" t="s">
        <v>92</v>
      </c>
      <c r="T473">
        <v>1</v>
      </c>
      <c r="U473" t="s">
        <v>93</v>
      </c>
      <c r="V473" t="s">
        <v>94</v>
      </c>
      <c r="W473">
        <v>1</v>
      </c>
      <c r="X473">
        <v>0</v>
      </c>
    </row>
    <row r="474" spans="2:24" x14ac:dyDescent="0.3">
      <c r="B474">
        <v>470</v>
      </c>
      <c r="C474" t="s">
        <v>12</v>
      </c>
      <c r="D474">
        <v>24</v>
      </c>
      <c r="E474" t="s">
        <v>106</v>
      </c>
      <c r="F474" t="s">
        <v>110</v>
      </c>
      <c r="G474">
        <v>4679</v>
      </c>
      <c r="H474" t="s">
        <v>96</v>
      </c>
      <c r="I474" t="s">
        <v>100</v>
      </c>
      <c r="J474">
        <v>3</v>
      </c>
      <c r="K474" t="s">
        <v>88</v>
      </c>
      <c r="L474" t="s">
        <v>89</v>
      </c>
      <c r="M474">
        <v>3</v>
      </c>
      <c r="N474" t="s">
        <v>111</v>
      </c>
      <c r="O474">
        <v>35</v>
      </c>
      <c r="P474" t="s">
        <v>89</v>
      </c>
      <c r="Q474" t="s">
        <v>91</v>
      </c>
      <c r="R474">
        <v>2</v>
      </c>
      <c r="S474" t="s">
        <v>101</v>
      </c>
      <c r="T474">
        <v>1</v>
      </c>
      <c r="U474" t="s">
        <v>93</v>
      </c>
      <c r="V474" t="s">
        <v>94</v>
      </c>
      <c r="W474">
        <v>1</v>
      </c>
      <c r="X474">
        <v>0</v>
      </c>
    </row>
    <row r="475" spans="2:24" x14ac:dyDescent="0.3">
      <c r="B475">
        <v>471</v>
      </c>
      <c r="C475" t="s">
        <v>10</v>
      </c>
      <c r="D475">
        <v>24</v>
      </c>
      <c r="E475" t="s">
        <v>95</v>
      </c>
      <c r="F475" t="s">
        <v>85</v>
      </c>
      <c r="G475">
        <v>3092</v>
      </c>
      <c r="H475" t="s">
        <v>120</v>
      </c>
      <c r="I475" t="s">
        <v>118</v>
      </c>
      <c r="J475">
        <v>3</v>
      </c>
      <c r="K475" t="s">
        <v>117</v>
      </c>
      <c r="L475" t="s">
        <v>89</v>
      </c>
      <c r="M475">
        <v>2</v>
      </c>
      <c r="N475" t="s">
        <v>111</v>
      </c>
      <c r="O475">
        <v>22</v>
      </c>
      <c r="P475" t="s">
        <v>89</v>
      </c>
      <c r="Q475" t="s">
        <v>112</v>
      </c>
      <c r="R475">
        <v>1</v>
      </c>
      <c r="S475" t="s">
        <v>92</v>
      </c>
      <c r="T475">
        <v>1</v>
      </c>
      <c r="U475" t="s">
        <v>93</v>
      </c>
      <c r="V475" t="s">
        <v>94</v>
      </c>
      <c r="W475">
        <v>2</v>
      </c>
      <c r="X475">
        <v>1</v>
      </c>
    </row>
    <row r="476" spans="2:24" x14ac:dyDescent="0.3">
      <c r="B476">
        <v>472</v>
      </c>
      <c r="C476" t="s">
        <v>8</v>
      </c>
      <c r="D476">
        <v>6</v>
      </c>
      <c r="E476" t="s">
        <v>95</v>
      </c>
      <c r="F476" t="s">
        <v>99</v>
      </c>
      <c r="G476">
        <v>448</v>
      </c>
      <c r="H476" t="s">
        <v>96</v>
      </c>
      <c r="I476" t="s">
        <v>118</v>
      </c>
      <c r="J476">
        <v>4</v>
      </c>
      <c r="K476" t="s">
        <v>98</v>
      </c>
      <c r="L476" t="s">
        <v>89</v>
      </c>
      <c r="M476">
        <v>4</v>
      </c>
      <c r="N476" t="s">
        <v>104</v>
      </c>
      <c r="O476">
        <v>23</v>
      </c>
      <c r="P476" t="s">
        <v>89</v>
      </c>
      <c r="Q476" t="s">
        <v>91</v>
      </c>
      <c r="R476">
        <v>1</v>
      </c>
      <c r="S476" t="s">
        <v>92</v>
      </c>
      <c r="T476">
        <v>1</v>
      </c>
      <c r="U476" t="s">
        <v>89</v>
      </c>
      <c r="V476" t="s">
        <v>94</v>
      </c>
      <c r="W476">
        <v>2</v>
      </c>
      <c r="X476">
        <v>1</v>
      </c>
    </row>
    <row r="477" spans="2:24" x14ac:dyDescent="0.3">
      <c r="B477">
        <v>473</v>
      </c>
      <c r="C477" t="s">
        <v>8</v>
      </c>
      <c r="D477">
        <v>9</v>
      </c>
      <c r="E477" t="s">
        <v>95</v>
      </c>
      <c r="F477" t="s">
        <v>107</v>
      </c>
      <c r="G477">
        <v>654</v>
      </c>
      <c r="H477" t="s">
        <v>96</v>
      </c>
      <c r="I477" t="s">
        <v>97</v>
      </c>
      <c r="J477">
        <v>4</v>
      </c>
      <c r="K477" t="s">
        <v>88</v>
      </c>
      <c r="L477" t="s">
        <v>89</v>
      </c>
      <c r="M477">
        <v>3</v>
      </c>
      <c r="N477" t="s">
        <v>111</v>
      </c>
      <c r="O477">
        <v>28</v>
      </c>
      <c r="P477" t="s">
        <v>89</v>
      </c>
      <c r="Q477" t="s">
        <v>91</v>
      </c>
      <c r="R477">
        <v>1</v>
      </c>
      <c r="S477" t="s">
        <v>101</v>
      </c>
      <c r="T477">
        <v>1</v>
      </c>
      <c r="U477" t="s">
        <v>89</v>
      </c>
      <c r="V477" t="s">
        <v>94</v>
      </c>
      <c r="W477">
        <v>2</v>
      </c>
      <c r="X477">
        <v>1</v>
      </c>
    </row>
    <row r="478" spans="2:24" x14ac:dyDescent="0.3">
      <c r="B478">
        <v>474</v>
      </c>
      <c r="C478" t="s">
        <v>12</v>
      </c>
      <c r="D478">
        <v>6</v>
      </c>
      <c r="E478" t="s">
        <v>95</v>
      </c>
      <c r="F478" t="s">
        <v>131</v>
      </c>
      <c r="G478">
        <v>1238</v>
      </c>
      <c r="H478" t="s">
        <v>86</v>
      </c>
      <c r="I478" t="s">
        <v>116</v>
      </c>
      <c r="J478">
        <v>4</v>
      </c>
      <c r="K478" t="s">
        <v>88</v>
      </c>
      <c r="L478" t="s">
        <v>89</v>
      </c>
      <c r="M478">
        <v>4</v>
      </c>
      <c r="N478" t="s">
        <v>104</v>
      </c>
      <c r="O478">
        <v>36</v>
      </c>
      <c r="P478" t="s">
        <v>89</v>
      </c>
      <c r="Q478" t="s">
        <v>91</v>
      </c>
      <c r="R478">
        <v>1</v>
      </c>
      <c r="S478" t="s">
        <v>113</v>
      </c>
      <c r="T478">
        <v>2</v>
      </c>
      <c r="U478" t="s">
        <v>93</v>
      </c>
      <c r="V478" t="s">
        <v>94</v>
      </c>
      <c r="W478">
        <v>1</v>
      </c>
      <c r="X478">
        <v>0</v>
      </c>
    </row>
    <row r="479" spans="2:24" x14ac:dyDescent="0.3">
      <c r="B479">
        <v>475</v>
      </c>
      <c r="C479" t="s">
        <v>10</v>
      </c>
      <c r="D479">
        <v>18</v>
      </c>
      <c r="E479" t="s">
        <v>84</v>
      </c>
      <c r="F479" t="s">
        <v>85</v>
      </c>
      <c r="G479">
        <v>1245</v>
      </c>
      <c r="H479" t="s">
        <v>96</v>
      </c>
      <c r="I479" t="s">
        <v>97</v>
      </c>
      <c r="J479">
        <v>4</v>
      </c>
      <c r="K479" t="s">
        <v>117</v>
      </c>
      <c r="L479" t="s">
        <v>89</v>
      </c>
      <c r="M479">
        <v>2</v>
      </c>
      <c r="N479" t="s">
        <v>111</v>
      </c>
      <c r="O479">
        <v>33</v>
      </c>
      <c r="P479" t="s">
        <v>89</v>
      </c>
      <c r="Q479" t="s">
        <v>91</v>
      </c>
      <c r="R479">
        <v>1</v>
      </c>
      <c r="S479" t="s">
        <v>92</v>
      </c>
      <c r="T479">
        <v>1</v>
      </c>
      <c r="U479" t="s">
        <v>89</v>
      </c>
      <c r="V479" t="s">
        <v>94</v>
      </c>
      <c r="W479">
        <v>2</v>
      </c>
      <c r="X479">
        <v>1</v>
      </c>
    </row>
    <row r="480" spans="2:24" x14ac:dyDescent="0.3">
      <c r="B480">
        <v>476</v>
      </c>
      <c r="C480" t="s">
        <v>8</v>
      </c>
      <c r="D480">
        <v>18</v>
      </c>
      <c r="E480" t="s">
        <v>121</v>
      </c>
      <c r="F480" t="s">
        <v>102</v>
      </c>
      <c r="G480">
        <v>3114</v>
      </c>
      <c r="H480" t="s">
        <v>96</v>
      </c>
      <c r="I480" t="s">
        <v>118</v>
      </c>
      <c r="J480">
        <v>1</v>
      </c>
      <c r="K480" t="s">
        <v>98</v>
      </c>
      <c r="L480" t="s">
        <v>89</v>
      </c>
      <c r="M480">
        <v>4</v>
      </c>
      <c r="N480" t="s">
        <v>104</v>
      </c>
      <c r="O480">
        <v>26</v>
      </c>
      <c r="P480" t="s">
        <v>89</v>
      </c>
      <c r="Q480" t="s">
        <v>112</v>
      </c>
      <c r="R480">
        <v>1</v>
      </c>
      <c r="S480" t="s">
        <v>92</v>
      </c>
      <c r="T480">
        <v>1</v>
      </c>
      <c r="U480" t="s">
        <v>89</v>
      </c>
      <c r="V480" t="s">
        <v>94</v>
      </c>
      <c r="W480">
        <v>2</v>
      </c>
      <c r="X480">
        <v>1</v>
      </c>
    </row>
    <row r="481" spans="2:24" x14ac:dyDescent="0.3">
      <c r="B481">
        <v>477</v>
      </c>
      <c r="C481" t="s">
        <v>12</v>
      </c>
      <c r="D481">
        <v>39</v>
      </c>
      <c r="E481" t="s">
        <v>95</v>
      </c>
      <c r="F481" t="s">
        <v>110</v>
      </c>
      <c r="G481">
        <v>2569</v>
      </c>
      <c r="H481" t="s">
        <v>109</v>
      </c>
      <c r="I481" t="s">
        <v>97</v>
      </c>
      <c r="J481">
        <v>4</v>
      </c>
      <c r="K481" t="s">
        <v>88</v>
      </c>
      <c r="L481" t="s">
        <v>89</v>
      </c>
      <c r="M481">
        <v>4</v>
      </c>
      <c r="N481" t="s">
        <v>111</v>
      </c>
      <c r="O481">
        <v>24</v>
      </c>
      <c r="P481" t="s">
        <v>89</v>
      </c>
      <c r="Q481" t="s">
        <v>91</v>
      </c>
      <c r="R481">
        <v>1</v>
      </c>
      <c r="S481" t="s">
        <v>92</v>
      </c>
      <c r="T481">
        <v>1</v>
      </c>
      <c r="U481" t="s">
        <v>89</v>
      </c>
      <c r="V481" t="s">
        <v>94</v>
      </c>
      <c r="W481">
        <v>1</v>
      </c>
      <c r="X481">
        <v>0</v>
      </c>
    </row>
    <row r="482" spans="2:24" x14ac:dyDescent="0.3">
      <c r="B482">
        <v>478</v>
      </c>
      <c r="C482" t="s">
        <v>11</v>
      </c>
      <c r="D482">
        <v>24</v>
      </c>
      <c r="E482" t="s">
        <v>95</v>
      </c>
      <c r="F482" t="s">
        <v>85</v>
      </c>
      <c r="G482">
        <v>5152</v>
      </c>
      <c r="H482" t="s">
        <v>96</v>
      </c>
      <c r="I482" t="s">
        <v>100</v>
      </c>
      <c r="J482">
        <v>4</v>
      </c>
      <c r="K482" t="s">
        <v>88</v>
      </c>
      <c r="L482" t="s">
        <v>89</v>
      </c>
      <c r="M482">
        <v>2</v>
      </c>
      <c r="N482" t="s">
        <v>111</v>
      </c>
      <c r="O482">
        <v>25</v>
      </c>
      <c r="P482" t="s">
        <v>122</v>
      </c>
      <c r="Q482" t="s">
        <v>91</v>
      </c>
      <c r="R482">
        <v>1</v>
      </c>
      <c r="S482" t="s">
        <v>92</v>
      </c>
      <c r="T482">
        <v>1</v>
      </c>
      <c r="U482" t="s">
        <v>89</v>
      </c>
      <c r="V482" t="s">
        <v>94</v>
      </c>
      <c r="W482">
        <v>1</v>
      </c>
      <c r="X482">
        <v>0</v>
      </c>
    </row>
    <row r="483" spans="2:24" x14ac:dyDescent="0.3">
      <c r="B483">
        <v>479</v>
      </c>
      <c r="C483" t="s">
        <v>10</v>
      </c>
      <c r="D483">
        <v>12</v>
      </c>
      <c r="E483" t="s">
        <v>95</v>
      </c>
      <c r="F483" t="s">
        <v>119</v>
      </c>
      <c r="G483">
        <v>1037</v>
      </c>
      <c r="H483" t="s">
        <v>120</v>
      </c>
      <c r="I483" t="s">
        <v>100</v>
      </c>
      <c r="J483">
        <v>3</v>
      </c>
      <c r="K483" t="s">
        <v>88</v>
      </c>
      <c r="L483" t="s">
        <v>89</v>
      </c>
      <c r="M483">
        <v>4</v>
      </c>
      <c r="N483" t="s">
        <v>90</v>
      </c>
      <c r="O483">
        <v>39</v>
      </c>
      <c r="P483" t="s">
        <v>89</v>
      </c>
      <c r="Q483" t="s">
        <v>91</v>
      </c>
      <c r="R483">
        <v>1</v>
      </c>
      <c r="S483" t="s">
        <v>101</v>
      </c>
      <c r="T483">
        <v>1</v>
      </c>
      <c r="U483" t="s">
        <v>89</v>
      </c>
      <c r="V483" t="s">
        <v>94</v>
      </c>
      <c r="W483">
        <v>1</v>
      </c>
      <c r="X483">
        <v>0</v>
      </c>
    </row>
    <row r="484" spans="2:24" x14ac:dyDescent="0.3">
      <c r="B484">
        <v>480</v>
      </c>
      <c r="C484" t="s">
        <v>8</v>
      </c>
      <c r="D484">
        <v>15</v>
      </c>
      <c r="E484" t="s">
        <v>84</v>
      </c>
      <c r="F484" t="s">
        <v>102</v>
      </c>
      <c r="G484">
        <v>1478</v>
      </c>
      <c r="H484" t="s">
        <v>96</v>
      </c>
      <c r="I484" t="s">
        <v>87</v>
      </c>
      <c r="J484">
        <v>4</v>
      </c>
      <c r="K484" t="s">
        <v>88</v>
      </c>
      <c r="L484" t="s">
        <v>89</v>
      </c>
      <c r="M484">
        <v>4</v>
      </c>
      <c r="N484" t="s">
        <v>111</v>
      </c>
      <c r="O484">
        <v>44</v>
      </c>
      <c r="P484" t="s">
        <v>89</v>
      </c>
      <c r="Q484" t="s">
        <v>91</v>
      </c>
      <c r="R484">
        <v>2</v>
      </c>
      <c r="S484" t="s">
        <v>92</v>
      </c>
      <c r="T484">
        <v>2</v>
      </c>
      <c r="U484" t="s">
        <v>93</v>
      </c>
      <c r="V484" t="s">
        <v>94</v>
      </c>
      <c r="W484">
        <v>1</v>
      </c>
      <c r="X484">
        <v>0</v>
      </c>
    </row>
    <row r="485" spans="2:24" x14ac:dyDescent="0.3">
      <c r="B485">
        <v>481</v>
      </c>
      <c r="C485" t="s">
        <v>10</v>
      </c>
      <c r="D485">
        <v>12</v>
      </c>
      <c r="E485" t="s">
        <v>84</v>
      </c>
      <c r="F485" t="s">
        <v>85</v>
      </c>
      <c r="G485">
        <v>3573</v>
      </c>
      <c r="H485" t="s">
        <v>96</v>
      </c>
      <c r="I485" t="s">
        <v>97</v>
      </c>
      <c r="J485">
        <v>1</v>
      </c>
      <c r="K485" t="s">
        <v>98</v>
      </c>
      <c r="L485" t="s">
        <v>89</v>
      </c>
      <c r="M485">
        <v>1</v>
      </c>
      <c r="N485" t="s">
        <v>90</v>
      </c>
      <c r="O485">
        <v>23</v>
      </c>
      <c r="P485" t="s">
        <v>89</v>
      </c>
      <c r="Q485" t="s">
        <v>91</v>
      </c>
      <c r="R485">
        <v>1</v>
      </c>
      <c r="S485" t="s">
        <v>101</v>
      </c>
      <c r="T485">
        <v>1</v>
      </c>
      <c r="U485" t="s">
        <v>89</v>
      </c>
      <c r="V485" t="s">
        <v>94</v>
      </c>
      <c r="W485">
        <v>1</v>
      </c>
      <c r="X485">
        <v>0</v>
      </c>
    </row>
    <row r="486" spans="2:24" x14ac:dyDescent="0.3">
      <c r="B486">
        <v>482</v>
      </c>
      <c r="C486" t="s">
        <v>10</v>
      </c>
      <c r="D486">
        <v>24</v>
      </c>
      <c r="E486" t="s">
        <v>95</v>
      </c>
      <c r="F486" t="s">
        <v>107</v>
      </c>
      <c r="G486">
        <v>1201</v>
      </c>
      <c r="H486" t="s">
        <v>96</v>
      </c>
      <c r="I486" t="s">
        <v>118</v>
      </c>
      <c r="J486">
        <v>4</v>
      </c>
      <c r="K486" t="s">
        <v>88</v>
      </c>
      <c r="L486" t="s">
        <v>89</v>
      </c>
      <c r="M486">
        <v>1</v>
      </c>
      <c r="N486" t="s">
        <v>104</v>
      </c>
      <c r="O486">
        <v>26</v>
      </c>
      <c r="P486" t="s">
        <v>89</v>
      </c>
      <c r="Q486" t="s">
        <v>91</v>
      </c>
      <c r="R486">
        <v>1</v>
      </c>
      <c r="S486" t="s">
        <v>92</v>
      </c>
      <c r="T486">
        <v>1</v>
      </c>
      <c r="U486" t="s">
        <v>89</v>
      </c>
      <c r="V486" t="s">
        <v>94</v>
      </c>
      <c r="W486">
        <v>1</v>
      </c>
      <c r="X486">
        <v>0</v>
      </c>
    </row>
    <row r="487" spans="2:24" x14ac:dyDescent="0.3">
      <c r="B487">
        <v>483</v>
      </c>
      <c r="C487" t="s">
        <v>8</v>
      </c>
      <c r="D487">
        <v>30</v>
      </c>
      <c r="E487" t="s">
        <v>95</v>
      </c>
      <c r="F487" t="s">
        <v>102</v>
      </c>
      <c r="G487">
        <v>3622</v>
      </c>
      <c r="H487" t="s">
        <v>114</v>
      </c>
      <c r="I487" t="s">
        <v>87</v>
      </c>
      <c r="J487">
        <v>4</v>
      </c>
      <c r="K487" t="s">
        <v>98</v>
      </c>
      <c r="L487" t="s">
        <v>89</v>
      </c>
      <c r="M487">
        <v>4</v>
      </c>
      <c r="N487" t="s">
        <v>104</v>
      </c>
      <c r="O487">
        <v>57</v>
      </c>
      <c r="P487" t="s">
        <v>89</v>
      </c>
      <c r="Q487" t="s">
        <v>112</v>
      </c>
      <c r="R487">
        <v>2</v>
      </c>
      <c r="S487" t="s">
        <v>92</v>
      </c>
      <c r="T487">
        <v>1</v>
      </c>
      <c r="U487" t="s">
        <v>93</v>
      </c>
      <c r="V487" t="s">
        <v>94</v>
      </c>
      <c r="W487">
        <v>1</v>
      </c>
      <c r="X487">
        <v>0</v>
      </c>
    </row>
    <row r="488" spans="2:24" x14ac:dyDescent="0.3">
      <c r="B488">
        <v>484</v>
      </c>
      <c r="C488" t="s">
        <v>12</v>
      </c>
      <c r="D488">
        <v>15</v>
      </c>
      <c r="E488" t="s">
        <v>106</v>
      </c>
      <c r="F488" t="s">
        <v>102</v>
      </c>
      <c r="G488">
        <v>960</v>
      </c>
      <c r="H488" t="s">
        <v>114</v>
      </c>
      <c r="I488" t="s">
        <v>100</v>
      </c>
      <c r="J488">
        <v>3</v>
      </c>
      <c r="K488" t="s">
        <v>98</v>
      </c>
      <c r="L488" t="s">
        <v>89</v>
      </c>
      <c r="M488">
        <v>2</v>
      </c>
      <c r="N488" t="s">
        <v>104</v>
      </c>
      <c r="O488">
        <v>30</v>
      </c>
      <c r="P488" t="s">
        <v>89</v>
      </c>
      <c r="Q488" t="s">
        <v>91</v>
      </c>
      <c r="R488">
        <v>2</v>
      </c>
      <c r="S488" t="s">
        <v>92</v>
      </c>
      <c r="T488">
        <v>1</v>
      </c>
      <c r="U488" t="s">
        <v>89</v>
      </c>
      <c r="V488" t="s">
        <v>94</v>
      </c>
      <c r="W488">
        <v>1</v>
      </c>
      <c r="X488">
        <v>0</v>
      </c>
    </row>
    <row r="489" spans="2:24" x14ac:dyDescent="0.3">
      <c r="B489">
        <v>485</v>
      </c>
      <c r="C489" t="s">
        <v>12</v>
      </c>
      <c r="D489">
        <v>12</v>
      </c>
      <c r="E489" t="s">
        <v>84</v>
      </c>
      <c r="F489" t="s">
        <v>107</v>
      </c>
      <c r="G489">
        <v>1163</v>
      </c>
      <c r="H489" t="s">
        <v>109</v>
      </c>
      <c r="I489" t="s">
        <v>97</v>
      </c>
      <c r="J489">
        <v>4</v>
      </c>
      <c r="K489" t="s">
        <v>88</v>
      </c>
      <c r="L489" t="s">
        <v>89</v>
      </c>
      <c r="M489">
        <v>4</v>
      </c>
      <c r="N489" t="s">
        <v>90</v>
      </c>
      <c r="O489">
        <v>44</v>
      </c>
      <c r="P489" t="s">
        <v>89</v>
      </c>
      <c r="Q489" t="s">
        <v>91</v>
      </c>
      <c r="R489">
        <v>1</v>
      </c>
      <c r="S489" t="s">
        <v>92</v>
      </c>
      <c r="T489">
        <v>1</v>
      </c>
      <c r="U489" t="s">
        <v>93</v>
      </c>
      <c r="V489" t="s">
        <v>94</v>
      </c>
      <c r="W489">
        <v>1</v>
      </c>
      <c r="X489">
        <v>0</v>
      </c>
    </row>
    <row r="490" spans="2:24" x14ac:dyDescent="0.3">
      <c r="B490">
        <v>486</v>
      </c>
      <c r="C490" t="s">
        <v>10</v>
      </c>
      <c r="D490">
        <v>6</v>
      </c>
      <c r="E490" t="s">
        <v>106</v>
      </c>
      <c r="F490" t="s">
        <v>107</v>
      </c>
      <c r="G490">
        <v>1209</v>
      </c>
      <c r="H490" t="s">
        <v>96</v>
      </c>
      <c r="I490" t="s">
        <v>116</v>
      </c>
      <c r="J490">
        <v>4</v>
      </c>
      <c r="K490" t="s">
        <v>88</v>
      </c>
      <c r="L490" t="s">
        <v>89</v>
      </c>
      <c r="M490">
        <v>4</v>
      </c>
      <c r="N490" t="s">
        <v>104</v>
      </c>
      <c r="O490">
        <v>47</v>
      </c>
      <c r="P490" t="s">
        <v>89</v>
      </c>
      <c r="Q490" t="s">
        <v>91</v>
      </c>
      <c r="R490">
        <v>1</v>
      </c>
      <c r="S490" t="s">
        <v>113</v>
      </c>
      <c r="T490">
        <v>1</v>
      </c>
      <c r="U490" t="s">
        <v>93</v>
      </c>
      <c r="V490" t="s">
        <v>94</v>
      </c>
      <c r="W490">
        <v>2</v>
      </c>
      <c r="X490">
        <v>1</v>
      </c>
    </row>
    <row r="491" spans="2:24" x14ac:dyDescent="0.3">
      <c r="B491">
        <v>487</v>
      </c>
      <c r="C491" t="s">
        <v>12</v>
      </c>
      <c r="D491">
        <v>12</v>
      </c>
      <c r="E491" t="s">
        <v>95</v>
      </c>
      <c r="F491" t="s">
        <v>85</v>
      </c>
      <c r="G491">
        <v>3077</v>
      </c>
      <c r="H491" t="s">
        <v>96</v>
      </c>
      <c r="I491" t="s">
        <v>97</v>
      </c>
      <c r="J491">
        <v>2</v>
      </c>
      <c r="K491" t="s">
        <v>88</v>
      </c>
      <c r="L491" t="s">
        <v>89</v>
      </c>
      <c r="M491">
        <v>4</v>
      </c>
      <c r="N491" t="s">
        <v>111</v>
      </c>
      <c r="O491">
        <v>52</v>
      </c>
      <c r="P491" t="s">
        <v>89</v>
      </c>
      <c r="Q491" t="s">
        <v>91</v>
      </c>
      <c r="R491">
        <v>1</v>
      </c>
      <c r="S491" t="s">
        <v>92</v>
      </c>
      <c r="T491">
        <v>1</v>
      </c>
      <c r="U491" t="s">
        <v>93</v>
      </c>
      <c r="V491" t="s">
        <v>94</v>
      </c>
      <c r="W491">
        <v>1</v>
      </c>
      <c r="X491">
        <v>0</v>
      </c>
    </row>
    <row r="492" spans="2:24" x14ac:dyDescent="0.3">
      <c r="B492">
        <v>488</v>
      </c>
      <c r="C492" t="s">
        <v>12</v>
      </c>
      <c r="D492">
        <v>24</v>
      </c>
      <c r="E492" t="s">
        <v>95</v>
      </c>
      <c r="F492" t="s">
        <v>107</v>
      </c>
      <c r="G492">
        <v>3757</v>
      </c>
      <c r="H492" t="s">
        <v>96</v>
      </c>
      <c r="I492" t="s">
        <v>87</v>
      </c>
      <c r="J492">
        <v>4</v>
      </c>
      <c r="K492" t="s">
        <v>98</v>
      </c>
      <c r="L492" t="s">
        <v>126</v>
      </c>
      <c r="M492">
        <v>4</v>
      </c>
      <c r="N492" t="s">
        <v>108</v>
      </c>
      <c r="O492">
        <v>62</v>
      </c>
      <c r="P492" t="s">
        <v>89</v>
      </c>
      <c r="Q492" t="s">
        <v>105</v>
      </c>
      <c r="R492">
        <v>1</v>
      </c>
      <c r="S492" t="s">
        <v>92</v>
      </c>
      <c r="T492">
        <v>1</v>
      </c>
      <c r="U492" t="s">
        <v>93</v>
      </c>
      <c r="V492" t="s">
        <v>94</v>
      </c>
      <c r="W492">
        <v>1</v>
      </c>
      <c r="X492">
        <v>0</v>
      </c>
    </row>
    <row r="493" spans="2:24" x14ac:dyDescent="0.3">
      <c r="B493">
        <v>489</v>
      </c>
      <c r="C493" t="s">
        <v>12</v>
      </c>
      <c r="D493">
        <v>10</v>
      </c>
      <c r="E493" t="s">
        <v>95</v>
      </c>
      <c r="F493" t="s">
        <v>107</v>
      </c>
      <c r="G493">
        <v>1418</v>
      </c>
      <c r="H493" t="s">
        <v>120</v>
      </c>
      <c r="I493" t="s">
        <v>97</v>
      </c>
      <c r="J493">
        <v>3</v>
      </c>
      <c r="K493" t="s">
        <v>88</v>
      </c>
      <c r="L493" t="s">
        <v>89</v>
      </c>
      <c r="M493">
        <v>2</v>
      </c>
      <c r="N493" t="s">
        <v>90</v>
      </c>
      <c r="O493">
        <v>35</v>
      </c>
      <c r="P493" t="s">
        <v>89</v>
      </c>
      <c r="Q493" t="s">
        <v>112</v>
      </c>
      <c r="R493">
        <v>1</v>
      </c>
      <c r="S493" t="s">
        <v>101</v>
      </c>
      <c r="T493">
        <v>1</v>
      </c>
      <c r="U493" t="s">
        <v>89</v>
      </c>
      <c r="V493" t="s">
        <v>123</v>
      </c>
      <c r="W493">
        <v>1</v>
      </c>
      <c r="X493">
        <v>0</v>
      </c>
    </row>
    <row r="494" spans="2:24" x14ac:dyDescent="0.3">
      <c r="B494">
        <v>490</v>
      </c>
      <c r="C494" t="s">
        <v>12</v>
      </c>
      <c r="D494">
        <v>6</v>
      </c>
      <c r="E494" t="s">
        <v>95</v>
      </c>
      <c r="F494" t="s">
        <v>107</v>
      </c>
      <c r="G494">
        <v>3518</v>
      </c>
      <c r="H494" t="s">
        <v>96</v>
      </c>
      <c r="I494" t="s">
        <v>97</v>
      </c>
      <c r="J494">
        <v>2</v>
      </c>
      <c r="K494" t="s">
        <v>88</v>
      </c>
      <c r="L494" t="s">
        <v>103</v>
      </c>
      <c r="M494">
        <v>3</v>
      </c>
      <c r="N494" t="s">
        <v>104</v>
      </c>
      <c r="O494">
        <v>26</v>
      </c>
      <c r="P494" t="s">
        <v>89</v>
      </c>
      <c r="Q494" t="s">
        <v>112</v>
      </c>
      <c r="R494">
        <v>1</v>
      </c>
      <c r="S494" t="s">
        <v>92</v>
      </c>
      <c r="T494">
        <v>1</v>
      </c>
      <c r="U494" t="s">
        <v>89</v>
      </c>
      <c r="V494" t="s">
        <v>94</v>
      </c>
      <c r="W494">
        <v>1</v>
      </c>
      <c r="X494">
        <v>0</v>
      </c>
    </row>
    <row r="495" spans="2:24" x14ac:dyDescent="0.3">
      <c r="B495">
        <v>491</v>
      </c>
      <c r="C495" t="s">
        <v>12</v>
      </c>
      <c r="D495">
        <v>12</v>
      </c>
      <c r="E495" t="s">
        <v>84</v>
      </c>
      <c r="F495" t="s">
        <v>85</v>
      </c>
      <c r="G495">
        <v>1934</v>
      </c>
      <c r="H495" t="s">
        <v>96</v>
      </c>
      <c r="I495" t="s">
        <v>87</v>
      </c>
      <c r="J495">
        <v>2</v>
      </c>
      <c r="K495" t="s">
        <v>88</v>
      </c>
      <c r="L495" t="s">
        <v>89</v>
      </c>
      <c r="M495">
        <v>2</v>
      </c>
      <c r="N495" t="s">
        <v>108</v>
      </c>
      <c r="O495">
        <v>26</v>
      </c>
      <c r="P495" t="s">
        <v>89</v>
      </c>
      <c r="Q495" t="s">
        <v>91</v>
      </c>
      <c r="R495">
        <v>2</v>
      </c>
      <c r="S495" t="s">
        <v>92</v>
      </c>
      <c r="T495">
        <v>1</v>
      </c>
      <c r="U495" t="s">
        <v>89</v>
      </c>
      <c r="V495" t="s">
        <v>94</v>
      </c>
      <c r="W495">
        <v>1</v>
      </c>
      <c r="X495">
        <v>0</v>
      </c>
    </row>
    <row r="496" spans="2:24" x14ac:dyDescent="0.3">
      <c r="B496">
        <v>492</v>
      </c>
      <c r="C496" t="s">
        <v>10</v>
      </c>
      <c r="D496">
        <v>27</v>
      </c>
      <c r="E496" t="s">
        <v>121</v>
      </c>
      <c r="F496" t="s">
        <v>119</v>
      </c>
      <c r="G496">
        <v>8318</v>
      </c>
      <c r="H496" t="s">
        <v>96</v>
      </c>
      <c r="I496" t="s">
        <v>87</v>
      </c>
      <c r="J496">
        <v>2</v>
      </c>
      <c r="K496" t="s">
        <v>98</v>
      </c>
      <c r="L496" t="s">
        <v>89</v>
      </c>
      <c r="M496">
        <v>4</v>
      </c>
      <c r="N496" t="s">
        <v>108</v>
      </c>
      <c r="O496">
        <v>42</v>
      </c>
      <c r="P496" t="s">
        <v>89</v>
      </c>
      <c r="Q496" t="s">
        <v>105</v>
      </c>
      <c r="R496">
        <v>2</v>
      </c>
      <c r="S496" t="s">
        <v>113</v>
      </c>
      <c r="T496">
        <v>1</v>
      </c>
      <c r="U496" t="s">
        <v>93</v>
      </c>
      <c r="V496" t="s">
        <v>94</v>
      </c>
      <c r="W496">
        <v>2</v>
      </c>
      <c r="X496">
        <v>1</v>
      </c>
    </row>
    <row r="497" spans="2:24" x14ac:dyDescent="0.3">
      <c r="B497">
        <v>493</v>
      </c>
      <c r="C497" t="s">
        <v>12</v>
      </c>
      <c r="D497">
        <v>6</v>
      </c>
      <c r="E497" t="s">
        <v>84</v>
      </c>
      <c r="F497" t="s">
        <v>85</v>
      </c>
      <c r="G497">
        <v>1237</v>
      </c>
      <c r="H497" t="s">
        <v>120</v>
      </c>
      <c r="I497" t="s">
        <v>97</v>
      </c>
      <c r="J497">
        <v>1</v>
      </c>
      <c r="K497" t="s">
        <v>98</v>
      </c>
      <c r="L497" t="s">
        <v>89</v>
      </c>
      <c r="M497">
        <v>1</v>
      </c>
      <c r="N497" t="s">
        <v>104</v>
      </c>
      <c r="O497">
        <v>27</v>
      </c>
      <c r="P497" t="s">
        <v>89</v>
      </c>
      <c r="Q497" t="s">
        <v>91</v>
      </c>
      <c r="R497">
        <v>2</v>
      </c>
      <c r="S497" t="s">
        <v>92</v>
      </c>
      <c r="T497">
        <v>1</v>
      </c>
      <c r="U497" t="s">
        <v>89</v>
      </c>
      <c r="V497" t="s">
        <v>94</v>
      </c>
      <c r="W497">
        <v>1</v>
      </c>
      <c r="X497">
        <v>0</v>
      </c>
    </row>
    <row r="498" spans="2:24" x14ac:dyDescent="0.3">
      <c r="B498">
        <v>494</v>
      </c>
      <c r="C498" t="s">
        <v>10</v>
      </c>
      <c r="D498">
        <v>6</v>
      </c>
      <c r="E498" t="s">
        <v>95</v>
      </c>
      <c r="F498" t="s">
        <v>85</v>
      </c>
      <c r="G498">
        <v>368</v>
      </c>
      <c r="H498" t="s">
        <v>86</v>
      </c>
      <c r="I498" t="s">
        <v>87</v>
      </c>
      <c r="J498">
        <v>4</v>
      </c>
      <c r="K498" t="s">
        <v>88</v>
      </c>
      <c r="L498" t="s">
        <v>89</v>
      </c>
      <c r="M498">
        <v>4</v>
      </c>
      <c r="N498" t="s">
        <v>104</v>
      </c>
      <c r="O498">
        <v>38</v>
      </c>
      <c r="P498" t="s">
        <v>89</v>
      </c>
      <c r="Q498" t="s">
        <v>91</v>
      </c>
      <c r="R498">
        <v>1</v>
      </c>
      <c r="S498" t="s">
        <v>92</v>
      </c>
      <c r="T498">
        <v>1</v>
      </c>
      <c r="U498" t="s">
        <v>89</v>
      </c>
      <c r="V498" t="s">
        <v>94</v>
      </c>
      <c r="W498">
        <v>1</v>
      </c>
      <c r="X498">
        <v>0</v>
      </c>
    </row>
    <row r="499" spans="2:24" x14ac:dyDescent="0.3">
      <c r="B499">
        <v>495</v>
      </c>
      <c r="C499" t="s">
        <v>8</v>
      </c>
      <c r="D499">
        <v>12</v>
      </c>
      <c r="E499" t="s">
        <v>84</v>
      </c>
      <c r="F499" t="s">
        <v>107</v>
      </c>
      <c r="G499">
        <v>2122</v>
      </c>
      <c r="H499" t="s">
        <v>96</v>
      </c>
      <c r="I499" t="s">
        <v>97</v>
      </c>
      <c r="J499">
        <v>3</v>
      </c>
      <c r="K499" t="s">
        <v>88</v>
      </c>
      <c r="L499" t="s">
        <v>89</v>
      </c>
      <c r="M499">
        <v>2</v>
      </c>
      <c r="N499" t="s">
        <v>90</v>
      </c>
      <c r="O499">
        <v>39</v>
      </c>
      <c r="P499" t="s">
        <v>89</v>
      </c>
      <c r="Q499" t="s">
        <v>112</v>
      </c>
      <c r="R499">
        <v>2</v>
      </c>
      <c r="S499" t="s">
        <v>101</v>
      </c>
      <c r="T499">
        <v>2</v>
      </c>
      <c r="U499" t="s">
        <v>89</v>
      </c>
      <c r="V499" t="s">
        <v>123</v>
      </c>
      <c r="W499">
        <v>1</v>
      </c>
      <c r="X499">
        <v>0</v>
      </c>
    </row>
    <row r="500" spans="2:24" x14ac:dyDescent="0.3">
      <c r="B500">
        <v>496</v>
      </c>
      <c r="C500" t="s">
        <v>8</v>
      </c>
      <c r="D500">
        <v>24</v>
      </c>
      <c r="E500" t="s">
        <v>95</v>
      </c>
      <c r="F500" t="s">
        <v>102</v>
      </c>
      <c r="G500">
        <v>2996</v>
      </c>
      <c r="H500" t="s">
        <v>86</v>
      </c>
      <c r="I500" t="s">
        <v>97</v>
      </c>
      <c r="J500">
        <v>2</v>
      </c>
      <c r="K500" t="s">
        <v>117</v>
      </c>
      <c r="L500" t="s">
        <v>89</v>
      </c>
      <c r="M500">
        <v>4</v>
      </c>
      <c r="N500" t="s">
        <v>111</v>
      </c>
      <c r="O500">
        <v>20</v>
      </c>
      <c r="P500" t="s">
        <v>89</v>
      </c>
      <c r="Q500" t="s">
        <v>91</v>
      </c>
      <c r="R500">
        <v>1</v>
      </c>
      <c r="S500" t="s">
        <v>92</v>
      </c>
      <c r="T500">
        <v>1</v>
      </c>
      <c r="U500" t="s">
        <v>89</v>
      </c>
      <c r="V500" t="s">
        <v>94</v>
      </c>
      <c r="W500">
        <v>2</v>
      </c>
      <c r="X500">
        <v>1</v>
      </c>
    </row>
    <row r="501" spans="2:24" x14ac:dyDescent="0.3">
      <c r="B501">
        <v>497</v>
      </c>
      <c r="C501" t="s">
        <v>10</v>
      </c>
      <c r="D501">
        <v>36</v>
      </c>
      <c r="E501" t="s">
        <v>95</v>
      </c>
      <c r="F501" t="s">
        <v>102</v>
      </c>
      <c r="G501">
        <v>9034</v>
      </c>
      <c r="H501" t="s">
        <v>120</v>
      </c>
      <c r="I501" t="s">
        <v>118</v>
      </c>
      <c r="J501">
        <v>4</v>
      </c>
      <c r="K501" t="s">
        <v>88</v>
      </c>
      <c r="L501" t="s">
        <v>126</v>
      </c>
      <c r="M501">
        <v>1</v>
      </c>
      <c r="N501" t="s">
        <v>108</v>
      </c>
      <c r="O501">
        <v>29</v>
      </c>
      <c r="P501" t="s">
        <v>89</v>
      </c>
      <c r="Q501" t="s">
        <v>112</v>
      </c>
      <c r="R501">
        <v>1</v>
      </c>
      <c r="S501" t="s">
        <v>113</v>
      </c>
      <c r="T501">
        <v>1</v>
      </c>
      <c r="U501" t="s">
        <v>93</v>
      </c>
      <c r="V501" t="s">
        <v>94</v>
      </c>
      <c r="W501">
        <v>2</v>
      </c>
      <c r="X501">
        <v>1</v>
      </c>
    </row>
    <row r="502" spans="2:24" x14ac:dyDescent="0.3">
      <c r="B502">
        <v>498</v>
      </c>
      <c r="C502" t="s">
        <v>12</v>
      </c>
      <c r="D502">
        <v>24</v>
      </c>
      <c r="E502" t="s">
        <v>84</v>
      </c>
      <c r="F502" t="s">
        <v>102</v>
      </c>
      <c r="G502">
        <v>1585</v>
      </c>
      <c r="H502" t="s">
        <v>96</v>
      </c>
      <c r="I502" t="s">
        <v>100</v>
      </c>
      <c r="J502">
        <v>4</v>
      </c>
      <c r="K502" t="s">
        <v>88</v>
      </c>
      <c r="L502" t="s">
        <v>89</v>
      </c>
      <c r="M502">
        <v>3</v>
      </c>
      <c r="N502" t="s">
        <v>104</v>
      </c>
      <c r="O502">
        <v>40</v>
      </c>
      <c r="P502" t="s">
        <v>89</v>
      </c>
      <c r="Q502" t="s">
        <v>91</v>
      </c>
      <c r="R502">
        <v>2</v>
      </c>
      <c r="S502" t="s">
        <v>92</v>
      </c>
      <c r="T502">
        <v>1</v>
      </c>
      <c r="U502" t="s">
        <v>89</v>
      </c>
      <c r="V502" t="s">
        <v>94</v>
      </c>
      <c r="W502">
        <v>1</v>
      </c>
      <c r="X502">
        <v>0</v>
      </c>
    </row>
    <row r="503" spans="2:24" x14ac:dyDescent="0.3">
      <c r="B503">
        <v>499</v>
      </c>
      <c r="C503" t="s">
        <v>10</v>
      </c>
      <c r="D503">
        <v>18</v>
      </c>
      <c r="E503" t="s">
        <v>95</v>
      </c>
      <c r="F503" t="s">
        <v>85</v>
      </c>
      <c r="G503">
        <v>1301</v>
      </c>
      <c r="H503" t="s">
        <v>96</v>
      </c>
      <c r="I503" t="s">
        <v>87</v>
      </c>
      <c r="J503">
        <v>4</v>
      </c>
      <c r="K503" t="s">
        <v>117</v>
      </c>
      <c r="L503" t="s">
        <v>103</v>
      </c>
      <c r="M503">
        <v>2</v>
      </c>
      <c r="N503" t="s">
        <v>90</v>
      </c>
      <c r="O503">
        <v>32</v>
      </c>
      <c r="P503" t="s">
        <v>89</v>
      </c>
      <c r="Q503" t="s">
        <v>91</v>
      </c>
      <c r="R503">
        <v>1</v>
      </c>
      <c r="S503" t="s">
        <v>101</v>
      </c>
      <c r="T503">
        <v>1</v>
      </c>
      <c r="U503" t="s">
        <v>89</v>
      </c>
      <c r="V503" t="s">
        <v>94</v>
      </c>
      <c r="W503">
        <v>1</v>
      </c>
      <c r="X503">
        <v>0</v>
      </c>
    </row>
    <row r="504" spans="2:24" x14ac:dyDescent="0.3">
      <c r="B504">
        <v>500</v>
      </c>
      <c r="C504" t="s">
        <v>11</v>
      </c>
      <c r="D504">
        <v>6</v>
      </c>
      <c r="E504" t="s">
        <v>84</v>
      </c>
      <c r="F504" t="s">
        <v>107</v>
      </c>
      <c r="G504">
        <v>1323</v>
      </c>
      <c r="H504" t="s">
        <v>120</v>
      </c>
      <c r="I504" t="s">
        <v>87</v>
      </c>
      <c r="J504">
        <v>2</v>
      </c>
      <c r="K504" t="s">
        <v>115</v>
      </c>
      <c r="L504" t="s">
        <v>89</v>
      </c>
      <c r="M504">
        <v>4</v>
      </c>
      <c r="N504" t="s">
        <v>111</v>
      </c>
      <c r="O504">
        <v>28</v>
      </c>
      <c r="P504" t="s">
        <v>89</v>
      </c>
      <c r="Q504" t="s">
        <v>91</v>
      </c>
      <c r="R504">
        <v>2</v>
      </c>
      <c r="S504" t="s">
        <v>92</v>
      </c>
      <c r="T504">
        <v>2</v>
      </c>
      <c r="U504" t="s">
        <v>93</v>
      </c>
      <c r="V504" t="s">
        <v>94</v>
      </c>
      <c r="W504">
        <v>1</v>
      </c>
      <c r="X504">
        <v>0</v>
      </c>
    </row>
    <row r="505" spans="2:24" x14ac:dyDescent="0.3">
      <c r="B505">
        <v>501</v>
      </c>
      <c r="C505" t="s">
        <v>8</v>
      </c>
      <c r="D505">
        <v>24</v>
      </c>
      <c r="E505" t="s">
        <v>95</v>
      </c>
      <c r="F505" t="s">
        <v>107</v>
      </c>
      <c r="G505">
        <v>3123</v>
      </c>
      <c r="H505" t="s">
        <v>96</v>
      </c>
      <c r="I505" t="s">
        <v>118</v>
      </c>
      <c r="J505">
        <v>4</v>
      </c>
      <c r="K505" t="s">
        <v>98</v>
      </c>
      <c r="L505" t="s">
        <v>89</v>
      </c>
      <c r="M505">
        <v>1</v>
      </c>
      <c r="N505" t="s">
        <v>104</v>
      </c>
      <c r="O505">
        <v>27</v>
      </c>
      <c r="P505" t="s">
        <v>89</v>
      </c>
      <c r="Q505" t="s">
        <v>91</v>
      </c>
      <c r="R505">
        <v>1</v>
      </c>
      <c r="S505" t="s">
        <v>92</v>
      </c>
      <c r="T505">
        <v>1</v>
      </c>
      <c r="U505" t="s">
        <v>89</v>
      </c>
      <c r="V505" t="s">
        <v>94</v>
      </c>
      <c r="W505">
        <v>2</v>
      </c>
      <c r="X505">
        <v>1</v>
      </c>
    </row>
    <row r="506" spans="2:24" x14ac:dyDescent="0.3">
      <c r="B506">
        <v>502</v>
      </c>
      <c r="C506" t="s">
        <v>8</v>
      </c>
      <c r="D506">
        <v>36</v>
      </c>
      <c r="E506" t="s">
        <v>95</v>
      </c>
      <c r="F506" t="s">
        <v>110</v>
      </c>
      <c r="G506">
        <v>5493</v>
      </c>
      <c r="H506" t="s">
        <v>96</v>
      </c>
      <c r="I506" t="s">
        <v>87</v>
      </c>
      <c r="J506">
        <v>2</v>
      </c>
      <c r="K506" t="s">
        <v>88</v>
      </c>
      <c r="L506" t="s">
        <v>89</v>
      </c>
      <c r="M506">
        <v>4</v>
      </c>
      <c r="N506" t="s">
        <v>108</v>
      </c>
      <c r="O506">
        <v>42</v>
      </c>
      <c r="P506" t="s">
        <v>89</v>
      </c>
      <c r="Q506" t="s">
        <v>105</v>
      </c>
      <c r="R506">
        <v>1</v>
      </c>
      <c r="S506" t="s">
        <v>92</v>
      </c>
      <c r="T506">
        <v>2</v>
      </c>
      <c r="U506" t="s">
        <v>89</v>
      </c>
      <c r="V506" t="s">
        <v>94</v>
      </c>
      <c r="W506">
        <v>1</v>
      </c>
      <c r="X506">
        <v>0</v>
      </c>
    </row>
    <row r="507" spans="2:24" x14ac:dyDescent="0.3">
      <c r="B507">
        <v>503</v>
      </c>
      <c r="C507" t="s">
        <v>11</v>
      </c>
      <c r="D507">
        <v>9</v>
      </c>
      <c r="E507" t="s">
        <v>95</v>
      </c>
      <c r="F507" t="s">
        <v>85</v>
      </c>
      <c r="G507">
        <v>1126</v>
      </c>
      <c r="H507" t="s">
        <v>120</v>
      </c>
      <c r="I507" t="s">
        <v>87</v>
      </c>
      <c r="J507">
        <v>2</v>
      </c>
      <c r="K507" t="s">
        <v>115</v>
      </c>
      <c r="L507" t="s">
        <v>89</v>
      </c>
      <c r="M507">
        <v>4</v>
      </c>
      <c r="N507" t="s">
        <v>90</v>
      </c>
      <c r="O507">
        <v>49</v>
      </c>
      <c r="P507" t="s">
        <v>89</v>
      </c>
      <c r="Q507" t="s">
        <v>91</v>
      </c>
      <c r="R507">
        <v>1</v>
      </c>
      <c r="S507" t="s">
        <v>92</v>
      </c>
      <c r="T507">
        <v>1</v>
      </c>
      <c r="U507" t="s">
        <v>89</v>
      </c>
      <c r="V507" t="s">
        <v>94</v>
      </c>
      <c r="W507">
        <v>1</v>
      </c>
      <c r="X507">
        <v>0</v>
      </c>
    </row>
    <row r="508" spans="2:24" x14ac:dyDescent="0.3">
      <c r="B508">
        <v>504</v>
      </c>
      <c r="C508" t="s">
        <v>10</v>
      </c>
      <c r="D508">
        <v>24</v>
      </c>
      <c r="E508" t="s">
        <v>84</v>
      </c>
      <c r="F508" t="s">
        <v>85</v>
      </c>
      <c r="G508">
        <v>1216</v>
      </c>
      <c r="H508" t="s">
        <v>120</v>
      </c>
      <c r="I508" t="s">
        <v>118</v>
      </c>
      <c r="J508">
        <v>4</v>
      </c>
      <c r="K508" t="s">
        <v>88</v>
      </c>
      <c r="L508" t="s">
        <v>89</v>
      </c>
      <c r="M508">
        <v>4</v>
      </c>
      <c r="N508" t="s">
        <v>108</v>
      </c>
      <c r="O508">
        <v>38</v>
      </c>
      <c r="P508" t="s">
        <v>122</v>
      </c>
      <c r="Q508" t="s">
        <v>91</v>
      </c>
      <c r="R508">
        <v>2</v>
      </c>
      <c r="S508" t="s">
        <v>92</v>
      </c>
      <c r="T508">
        <v>2</v>
      </c>
      <c r="U508" t="s">
        <v>89</v>
      </c>
      <c r="V508" t="s">
        <v>94</v>
      </c>
      <c r="W508">
        <v>2</v>
      </c>
      <c r="X508">
        <v>1</v>
      </c>
    </row>
    <row r="509" spans="2:24" x14ac:dyDescent="0.3">
      <c r="B509">
        <v>505</v>
      </c>
      <c r="C509" t="s">
        <v>8</v>
      </c>
      <c r="D509">
        <v>24</v>
      </c>
      <c r="E509" t="s">
        <v>95</v>
      </c>
      <c r="F509" t="s">
        <v>107</v>
      </c>
      <c r="G509">
        <v>1207</v>
      </c>
      <c r="H509" t="s">
        <v>96</v>
      </c>
      <c r="I509" t="s">
        <v>118</v>
      </c>
      <c r="J509">
        <v>4</v>
      </c>
      <c r="K509" t="s">
        <v>98</v>
      </c>
      <c r="L509" t="s">
        <v>89</v>
      </c>
      <c r="M509">
        <v>4</v>
      </c>
      <c r="N509" t="s">
        <v>104</v>
      </c>
      <c r="O509">
        <v>24</v>
      </c>
      <c r="P509" t="s">
        <v>89</v>
      </c>
      <c r="Q509" t="s">
        <v>112</v>
      </c>
      <c r="R509">
        <v>1</v>
      </c>
      <c r="S509" t="s">
        <v>92</v>
      </c>
      <c r="T509">
        <v>1</v>
      </c>
      <c r="U509" t="s">
        <v>89</v>
      </c>
      <c r="V509" t="s">
        <v>94</v>
      </c>
      <c r="W509">
        <v>2</v>
      </c>
      <c r="X509">
        <v>1</v>
      </c>
    </row>
    <row r="510" spans="2:24" x14ac:dyDescent="0.3">
      <c r="B510">
        <v>506</v>
      </c>
      <c r="C510" t="s">
        <v>12</v>
      </c>
      <c r="D510">
        <v>10</v>
      </c>
      <c r="E510" t="s">
        <v>95</v>
      </c>
      <c r="F510" t="s">
        <v>107</v>
      </c>
      <c r="G510">
        <v>1309</v>
      </c>
      <c r="H510" t="s">
        <v>86</v>
      </c>
      <c r="I510" t="s">
        <v>97</v>
      </c>
      <c r="J510">
        <v>4</v>
      </c>
      <c r="K510" t="s">
        <v>88</v>
      </c>
      <c r="L510" t="s">
        <v>103</v>
      </c>
      <c r="M510">
        <v>4</v>
      </c>
      <c r="N510" t="s">
        <v>104</v>
      </c>
      <c r="O510">
        <v>27</v>
      </c>
      <c r="P510" t="s">
        <v>89</v>
      </c>
      <c r="Q510" t="s">
        <v>91</v>
      </c>
      <c r="R510">
        <v>1</v>
      </c>
      <c r="S510" t="s">
        <v>101</v>
      </c>
      <c r="T510">
        <v>1</v>
      </c>
      <c r="U510" t="s">
        <v>89</v>
      </c>
      <c r="V510" t="s">
        <v>94</v>
      </c>
      <c r="W510">
        <v>2</v>
      </c>
      <c r="X510">
        <v>1</v>
      </c>
    </row>
    <row r="511" spans="2:24" x14ac:dyDescent="0.3">
      <c r="B511">
        <v>507</v>
      </c>
      <c r="C511" t="s">
        <v>11</v>
      </c>
      <c r="D511">
        <v>15</v>
      </c>
      <c r="E511" t="s">
        <v>84</v>
      </c>
      <c r="F511" t="s">
        <v>110</v>
      </c>
      <c r="G511">
        <v>2360</v>
      </c>
      <c r="H511" t="s">
        <v>109</v>
      </c>
      <c r="I511" t="s">
        <v>97</v>
      </c>
      <c r="J511">
        <v>2</v>
      </c>
      <c r="K511" t="s">
        <v>88</v>
      </c>
      <c r="L511" t="s">
        <v>89</v>
      </c>
      <c r="M511">
        <v>2</v>
      </c>
      <c r="N511" t="s">
        <v>111</v>
      </c>
      <c r="O511">
        <v>36</v>
      </c>
      <c r="P511" t="s">
        <v>89</v>
      </c>
      <c r="Q511" t="s">
        <v>91</v>
      </c>
      <c r="R511">
        <v>1</v>
      </c>
      <c r="S511" t="s">
        <v>92</v>
      </c>
      <c r="T511">
        <v>1</v>
      </c>
      <c r="U511" t="s">
        <v>93</v>
      </c>
      <c r="V511" t="s">
        <v>94</v>
      </c>
      <c r="W511">
        <v>1</v>
      </c>
      <c r="X511">
        <v>0</v>
      </c>
    </row>
    <row r="512" spans="2:24" x14ac:dyDescent="0.3">
      <c r="B512">
        <v>508</v>
      </c>
      <c r="C512" t="s">
        <v>10</v>
      </c>
      <c r="D512">
        <v>15</v>
      </c>
      <c r="E512" t="s">
        <v>124</v>
      </c>
      <c r="F512" t="s">
        <v>107</v>
      </c>
      <c r="G512">
        <v>6850</v>
      </c>
      <c r="H512" t="s">
        <v>120</v>
      </c>
      <c r="I512" t="s">
        <v>116</v>
      </c>
      <c r="J512">
        <v>1</v>
      </c>
      <c r="K512" t="s">
        <v>88</v>
      </c>
      <c r="L512" t="s">
        <v>89</v>
      </c>
      <c r="M512">
        <v>2</v>
      </c>
      <c r="N512" t="s">
        <v>104</v>
      </c>
      <c r="O512">
        <v>34</v>
      </c>
      <c r="P512" t="s">
        <v>89</v>
      </c>
      <c r="Q512" t="s">
        <v>91</v>
      </c>
      <c r="R512">
        <v>1</v>
      </c>
      <c r="S512" t="s">
        <v>113</v>
      </c>
      <c r="T512">
        <v>2</v>
      </c>
      <c r="U512" t="s">
        <v>93</v>
      </c>
      <c r="V512" t="s">
        <v>94</v>
      </c>
      <c r="W512">
        <v>2</v>
      </c>
      <c r="X512">
        <v>1</v>
      </c>
    </row>
    <row r="513" spans="2:24" x14ac:dyDescent="0.3">
      <c r="B513">
        <v>509</v>
      </c>
      <c r="C513" t="s">
        <v>12</v>
      </c>
      <c r="D513">
        <v>24</v>
      </c>
      <c r="E513" t="s">
        <v>95</v>
      </c>
      <c r="F513" t="s">
        <v>85</v>
      </c>
      <c r="G513">
        <v>1413</v>
      </c>
      <c r="H513" t="s">
        <v>96</v>
      </c>
      <c r="I513" t="s">
        <v>97</v>
      </c>
      <c r="J513">
        <v>4</v>
      </c>
      <c r="K513" t="s">
        <v>117</v>
      </c>
      <c r="L513" t="s">
        <v>89</v>
      </c>
      <c r="M513">
        <v>2</v>
      </c>
      <c r="N513" t="s">
        <v>104</v>
      </c>
      <c r="O513">
        <v>28</v>
      </c>
      <c r="P513" t="s">
        <v>89</v>
      </c>
      <c r="Q513" t="s">
        <v>91</v>
      </c>
      <c r="R513">
        <v>1</v>
      </c>
      <c r="S513" t="s">
        <v>92</v>
      </c>
      <c r="T513">
        <v>1</v>
      </c>
      <c r="U513" t="s">
        <v>89</v>
      </c>
      <c r="V513" t="s">
        <v>94</v>
      </c>
      <c r="W513">
        <v>1</v>
      </c>
      <c r="X513">
        <v>0</v>
      </c>
    </row>
    <row r="514" spans="2:24" x14ac:dyDescent="0.3">
      <c r="B514">
        <v>510</v>
      </c>
      <c r="C514" t="s">
        <v>12</v>
      </c>
      <c r="D514">
        <v>39</v>
      </c>
      <c r="E514" t="s">
        <v>95</v>
      </c>
      <c r="F514" t="s">
        <v>110</v>
      </c>
      <c r="G514">
        <v>8588</v>
      </c>
      <c r="H514" t="s">
        <v>120</v>
      </c>
      <c r="I514" t="s">
        <v>87</v>
      </c>
      <c r="J514">
        <v>4</v>
      </c>
      <c r="K514" t="s">
        <v>88</v>
      </c>
      <c r="L514" t="s">
        <v>89</v>
      </c>
      <c r="M514">
        <v>2</v>
      </c>
      <c r="N514" t="s">
        <v>111</v>
      </c>
      <c r="O514">
        <v>45</v>
      </c>
      <c r="P514" t="s">
        <v>89</v>
      </c>
      <c r="Q514" t="s">
        <v>91</v>
      </c>
      <c r="R514">
        <v>1</v>
      </c>
      <c r="S514" t="s">
        <v>113</v>
      </c>
      <c r="T514">
        <v>1</v>
      </c>
      <c r="U514" t="s">
        <v>93</v>
      </c>
      <c r="V514" t="s">
        <v>94</v>
      </c>
      <c r="W514">
        <v>1</v>
      </c>
      <c r="X514">
        <v>0</v>
      </c>
    </row>
    <row r="515" spans="2:24" x14ac:dyDescent="0.3">
      <c r="B515">
        <v>511</v>
      </c>
      <c r="C515" t="s">
        <v>8</v>
      </c>
      <c r="D515">
        <v>12</v>
      </c>
      <c r="E515" t="s">
        <v>95</v>
      </c>
      <c r="F515" t="s">
        <v>107</v>
      </c>
      <c r="G515">
        <v>759</v>
      </c>
      <c r="H515" t="s">
        <v>96</v>
      </c>
      <c r="I515" t="s">
        <v>100</v>
      </c>
      <c r="J515">
        <v>4</v>
      </c>
      <c r="K515" t="s">
        <v>88</v>
      </c>
      <c r="L515" t="s">
        <v>89</v>
      </c>
      <c r="M515">
        <v>2</v>
      </c>
      <c r="N515" t="s">
        <v>90</v>
      </c>
      <c r="O515">
        <v>26</v>
      </c>
      <c r="P515" t="s">
        <v>89</v>
      </c>
      <c r="Q515" t="s">
        <v>91</v>
      </c>
      <c r="R515">
        <v>1</v>
      </c>
      <c r="S515" t="s">
        <v>92</v>
      </c>
      <c r="T515">
        <v>1</v>
      </c>
      <c r="U515" t="s">
        <v>89</v>
      </c>
      <c r="V515" t="s">
        <v>94</v>
      </c>
      <c r="W515">
        <v>2</v>
      </c>
      <c r="X515">
        <v>1</v>
      </c>
    </row>
    <row r="516" spans="2:24" x14ac:dyDescent="0.3">
      <c r="B516">
        <v>512</v>
      </c>
      <c r="C516" t="s">
        <v>12</v>
      </c>
      <c r="D516">
        <v>36</v>
      </c>
      <c r="E516" t="s">
        <v>95</v>
      </c>
      <c r="F516" t="s">
        <v>110</v>
      </c>
      <c r="G516">
        <v>4686</v>
      </c>
      <c r="H516" t="s">
        <v>96</v>
      </c>
      <c r="I516" t="s">
        <v>97</v>
      </c>
      <c r="J516">
        <v>2</v>
      </c>
      <c r="K516" t="s">
        <v>88</v>
      </c>
      <c r="L516" t="s">
        <v>89</v>
      </c>
      <c r="M516">
        <v>2</v>
      </c>
      <c r="N516" t="s">
        <v>108</v>
      </c>
      <c r="O516">
        <v>32</v>
      </c>
      <c r="P516" t="s">
        <v>89</v>
      </c>
      <c r="Q516" t="s">
        <v>105</v>
      </c>
      <c r="R516">
        <v>1</v>
      </c>
      <c r="S516" t="s">
        <v>113</v>
      </c>
      <c r="T516">
        <v>1</v>
      </c>
      <c r="U516" t="s">
        <v>93</v>
      </c>
      <c r="V516" t="s">
        <v>94</v>
      </c>
      <c r="W516">
        <v>1</v>
      </c>
      <c r="X516">
        <v>0</v>
      </c>
    </row>
    <row r="517" spans="2:24" x14ac:dyDescent="0.3">
      <c r="B517">
        <v>513</v>
      </c>
      <c r="C517" t="s">
        <v>11</v>
      </c>
      <c r="D517">
        <v>15</v>
      </c>
      <c r="E517" t="s">
        <v>95</v>
      </c>
      <c r="F517" t="s">
        <v>119</v>
      </c>
      <c r="G517">
        <v>2687</v>
      </c>
      <c r="H517" t="s">
        <v>96</v>
      </c>
      <c r="I517" t="s">
        <v>100</v>
      </c>
      <c r="J517">
        <v>2</v>
      </c>
      <c r="K517" t="s">
        <v>88</v>
      </c>
      <c r="L517" t="s">
        <v>89</v>
      </c>
      <c r="M517">
        <v>4</v>
      </c>
      <c r="N517" t="s">
        <v>104</v>
      </c>
      <c r="O517">
        <v>26</v>
      </c>
      <c r="P517" t="s">
        <v>89</v>
      </c>
      <c r="Q517" t="s">
        <v>112</v>
      </c>
      <c r="R517">
        <v>1</v>
      </c>
      <c r="S517" t="s">
        <v>92</v>
      </c>
      <c r="T517">
        <v>1</v>
      </c>
      <c r="U517" t="s">
        <v>93</v>
      </c>
      <c r="V517" t="s">
        <v>94</v>
      </c>
      <c r="W517">
        <v>1</v>
      </c>
      <c r="X517">
        <v>0</v>
      </c>
    </row>
    <row r="518" spans="2:24" x14ac:dyDescent="0.3">
      <c r="B518">
        <v>514</v>
      </c>
      <c r="C518" t="s">
        <v>10</v>
      </c>
      <c r="D518">
        <v>12</v>
      </c>
      <c r="E518" t="s">
        <v>106</v>
      </c>
      <c r="F518" t="s">
        <v>85</v>
      </c>
      <c r="G518">
        <v>585</v>
      </c>
      <c r="H518" t="s">
        <v>96</v>
      </c>
      <c r="I518" t="s">
        <v>97</v>
      </c>
      <c r="J518">
        <v>4</v>
      </c>
      <c r="K518" t="s">
        <v>117</v>
      </c>
      <c r="L518" t="s">
        <v>126</v>
      </c>
      <c r="M518">
        <v>4</v>
      </c>
      <c r="N518" t="s">
        <v>90</v>
      </c>
      <c r="O518">
        <v>20</v>
      </c>
      <c r="P518" t="s">
        <v>89</v>
      </c>
      <c r="Q518" t="s">
        <v>112</v>
      </c>
      <c r="R518">
        <v>2</v>
      </c>
      <c r="S518" t="s">
        <v>92</v>
      </c>
      <c r="T518">
        <v>1</v>
      </c>
      <c r="U518" t="s">
        <v>89</v>
      </c>
      <c r="V518" t="s">
        <v>94</v>
      </c>
      <c r="W518">
        <v>1</v>
      </c>
      <c r="X518">
        <v>0</v>
      </c>
    </row>
    <row r="519" spans="2:24" x14ac:dyDescent="0.3">
      <c r="B519">
        <v>515</v>
      </c>
      <c r="C519" t="s">
        <v>12</v>
      </c>
      <c r="D519">
        <v>24</v>
      </c>
      <c r="E519" t="s">
        <v>95</v>
      </c>
      <c r="F519" t="s">
        <v>107</v>
      </c>
      <c r="G519">
        <v>2255</v>
      </c>
      <c r="H519" t="s">
        <v>86</v>
      </c>
      <c r="I519" t="s">
        <v>118</v>
      </c>
      <c r="J519">
        <v>4</v>
      </c>
      <c r="K519" t="s">
        <v>88</v>
      </c>
      <c r="L519" t="s">
        <v>89</v>
      </c>
      <c r="M519">
        <v>1</v>
      </c>
      <c r="N519" t="s">
        <v>104</v>
      </c>
      <c r="O519">
        <v>54</v>
      </c>
      <c r="P519" t="s">
        <v>89</v>
      </c>
      <c r="Q519" t="s">
        <v>91</v>
      </c>
      <c r="R519">
        <v>1</v>
      </c>
      <c r="S519" t="s">
        <v>92</v>
      </c>
      <c r="T519">
        <v>1</v>
      </c>
      <c r="U519" t="s">
        <v>89</v>
      </c>
      <c r="V519" t="s">
        <v>94</v>
      </c>
      <c r="W519">
        <v>1</v>
      </c>
      <c r="X519">
        <v>0</v>
      </c>
    </row>
    <row r="520" spans="2:24" x14ac:dyDescent="0.3">
      <c r="B520">
        <v>516</v>
      </c>
      <c r="C520" t="s">
        <v>8</v>
      </c>
      <c r="D520">
        <v>6</v>
      </c>
      <c r="E520" t="s">
        <v>84</v>
      </c>
      <c r="F520" t="s">
        <v>107</v>
      </c>
      <c r="G520">
        <v>609</v>
      </c>
      <c r="H520" t="s">
        <v>96</v>
      </c>
      <c r="I520" t="s">
        <v>100</v>
      </c>
      <c r="J520">
        <v>4</v>
      </c>
      <c r="K520" t="s">
        <v>98</v>
      </c>
      <c r="L520" t="s">
        <v>89</v>
      </c>
      <c r="M520">
        <v>3</v>
      </c>
      <c r="N520" t="s">
        <v>104</v>
      </c>
      <c r="O520">
        <v>37</v>
      </c>
      <c r="P520" t="s">
        <v>89</v>
      </c>
      <c r="Q520" t="s">
        <v>91</v>
      </c>
      <c r="R520">
        <v>2</v>
      </c>
      <c r="S520" t="s">
        <v>92</v>
      </c>
      <c r="T520">
        <v>1</v>
      </c>
      <c r="U520" t="s">
        <v>89</v>
      </c>
      <c r="V520" t="s">
        <v>123</v>
      </c>
      <c r="W520">
        <v>1</v>
      </c>
      <c r="X520">
        <v>0</v>
      </c>
    </row>
    <row r="521" spans="2:24" x14ac:dyDescent="0.3">
      <c r="B521">
        <v>517</v>
      </c>
      <c r="C521" t="s">
        <v>8</v>
      </c>
      <c r="D521">
        <v>6</v>
      </c>
      <c r="E521" t="s">
        <v>84</v>
      </c>
      <c r="F521" t="s">
        <v>107</v>
      </c>
      <c r="G521">
        <v>1361</v>
      </c>
      <c r="H521" t="s">
        <v>96</v>
      </c>
      <c r="I521" t="s">
        <v>118</v>
      </c>
      <c r="J521">
        <v>2</v>
      </c>
      <c r="K521" t="s">
        <v>88</v>
      </c>
      <c r="L521" t="s">
        <v>89</v>
      </c>
      <c r="M521">
        <v>4</v>
      </c>
      <c r="N521" t="s">
        <v>90</v>
      </c>
      <c r="O521">
        <v>40</v>
      </c>
      <c r="P521" t="s">
        <v>89</v>
      </c>
      <c r="Q521" t="s">
        <v>91</v>
      </c>
      <c r="R521">
        <v>1</v>
      </c>
      <c r="S521" t="s">
        <v>101</v>
      </c>
      <c r="T521">
        <v>2</v>
      </c>
      <c r="U521" t="s">
        <v>89</v>
      </c>
      <c r="V521" t="s">
        <v>123</v>
      </c>
      <c r="W521">
        <v>1</v>
      </c>
      <c r="X521">
        <v>0</v>
      </c>
    </row>
    <row r="522" spans="2:24" x14ac:dyDescent="0.3">
      <c r="B522">
        <v>518</v>
      </c>
      <c r="C522" t="s">
        <v>12</v>
      </c>
      <c r="D522">
        <v>36</v>
      </c>
      <c r="E522" t="s">
        <v>84</v>
      </c>
      <c r="F522" t="s">
        <v>102</v>
      </c>
      <c r="G522">
        <v>7127</v>
      </c>
      <c r="H522" t="s">
        <v>96</v>
      </c>
      <c r="I522" t="s">
        <v>118</v>
      </c>
      <c r="J522">
        <v>2</v>
      </c>
      <c r="K522" t="s">
        <v>98</v>
      </c>
      <c r="L522" t="s">
        <v>89</v>
      </c>
      <c r="M522">
        <v>4</v>
      </c>
      <c r="N522" t="s">
        <v>104</v>
      </c>
      <c r="O522">
        <v>23</v>
      </c>
      <c r="P522" t="s">
        <v>89</v>
      </c>
      <c r="Q522" t="s">
        <v>112</v>
      </c>
      <c r="R522">
        <v>2</v>
      </c>
      <c r="S522" t="s">
        <v>92</v>
      </c>
      <c r="T522">
        <v>1</v>
      </c>
      <c r="U522" t="s">
        <v>93</v>
      </c>
      <c r="V522" t="s">
        <v>94</v>
      </c>
      <c r="W522">
        <v>2</v>
      </c>
      <c r="X522">
        <v>1</v>
      </c>
    </row>
    <row r="523" spans="2:24" x14ac:dyDescent="0.3">
      <c r="B523">
        <v>519</v>
      </c>
      <c r="C523" t="s">
        <v>8</v>
      </c>
      <c r="D523">
        <v>6</v>
      </c>
      <c r="E523" t="s">
        <v>95</v>
      </c>
      <c r="F523" t="s">
        <v>107</v>
      </c>
      <c r="G523">
        <v>1203</v>
      </c>
      <c r="H523" t="s">
        <v>120</v>
      </c>
      <c r="I523" t="s">
        <v>87</v>
      </c>
      <c r="J523">
        <v>3</v>
      </c>
      <c r="K523" t="s">
        <v>88</v>
      </c>
      <c r="L523" t="s">
        <v>89</v>
      </c>
      <c r="M523">
        <v>2</v>
      </c>
      <c r="N523" t="s">
        <v>104</v>
      </c>
      <c r="O523">
        <v>43</v>
      </c>
      <c r="P523" t="s">
        <v>89</v>
      </c>
      <c r="Q523" t="s">
        <v>91</v>
      </c>
      <c r="R523">
        <v>1</v>
      </c>
      <c r="S523" t="s">
        <v>92</v>
      </c>
      <c r="T523">
        <v>1</v>
      </c>
      <c r="U523" t="s">
        <v>93</v>
      </c>
      <c r="V523" t="s">
        <v>94</v>
      </c>
      <c r="W523">
        <v>1</v>
      </c>
      <c r="X523">
        <v>0</v>
      </c>
    </row>
    <row r="524" spans="2:24" x14ac:dyDescent="0.3">
      <c r="B524">
        <v>520</v>
      </c>
      <c r="C524" t="s">
        <v>12</v>
      </c>
      <c r="D524">
        <v>6</v>
      </c>
      <c r="E524" t="s">
        <v>84</v>
      </c>
      <c r="F524" t="s">
        <v>85</v>
      </c>
      <c r="G524">
        <v>700</v>
      </c>
      <c r="H524" t="s">
        <v>86</v>
      </c>
      <c r="I524" t="s">
        <v>87</v>
      </c>
      <c r="J524">
        <v>4</v>
      </c>
      <c r="K524" t="s">
        <v>88</v>
      </c>
      <c r="L524" t="s">
        <v>89</v>
      </c>
      <c r="M524">
        <v>4</v>
      </c>
      <c r="N524" t="s">
        <v>108</v>
      </c>
      <c r="O524">
        <v>36</v>
      </c>
      <c r="P524" t="s">
        <v>89</v>
      </c>
      <c r="Q524" t="s">
        <v>105</v>
      </c>
      <c r="R524">
        <v>2</v>
      </c>
      <c r="S524" t="s">
        <v>92</v>
      </c>
      <c r="T524">
        <v>1</v>
      </c>
      <c r="U524" t="s">
        <v>89</v>
      </c>
      <c r="V524" t="s">
        <v>94</v>
      </c>
      <c r="W524">
        <v>1</v>
      </c>
      <c r="X524">
        <v>0</v>
      </c>
    </row>
    <row r="525" spans="2:24" x14ac:dyDescent="0.3">
      <c r="B525">
        <v>521</v>
      </c>
      <c r="C525" t="s">
        <v>12</v>
      </c>
      <c r="D525">
        <v>24</v>
      </c>
      <c r="E525" t="s">
        <v>84</v>
      </c>
      <c r="F525" t="s">
        <v>128</v>
      </c>
      <c r="G525">
        <v>5507</v>
      </c>
      <c r="H525" t="s">
        <v>96</v>
      </c>
      <c r="I525" t="s">
        <v>87</v>
      </c>
      <c r="J525">
        <v>3</v>
      </c>
      <c r="K525" t="s">
        <v>88</v>
      </c>
      <c r="L525" t="s">
        <v>89</v>
      </c>
      <c r="M525">
        <v>4</v>
      </c>
      <c r="N525" t="s">
        <v>108</v>
      </c>
      <c r="O525">
        <v>44</v>
      </c>
      <c r="P525" t="s">
        <v>89</v>
      </c>
      <c r="Q525" t="s">
        <v>105</v>
      </c>
      <c r="R525">
        <v>2</v>
      </c>
      <c r="S525" t="s">
        <v>92</v>
      </c>
      <c r="T525">
        <v>1</v>
      </c>
      <c r="U525" t="s">
        <v>89</v>
      </c>
      <c r="V525" t="s">
        <v>94</v>
      </c>
      <c r="W525">
        <v>1</v>
      </c>
      <c r="X525">
        <v>0</v>
      </c>
    </row>
    <row r="526" spans="2:24" x14ac:dyDescent="0.3">
      <c r="B526">
        <v>522</v>
      </c>
      <c r="C526" t="s">
        <v>8</v>
      </c>
      <c r="D526">
        <v>18</v>
      </c>
      <c r="E526" t="s">
        <v>95</v>
      </c>
      <c r="F526" t="s">
        <v>85</v>
      </c>
      <c r="G526">
        <v>3190</v>
      </c>
      <c r="H526" t="s">
        <v>96</v>
      </c>
      <c r="I526" t="s">
        <v>97</v>
      </c>
      <c r="J526">
        <v>2</v>
      </c>
      <c r="K526" t="s">
        <v>98</v>
      </c>
      <c r="L526" t="s">
        <v>89</v>
      </c>
      <c r="M526">
        <v>2</v>
      </c>
      <c r="N526" t="s">
        <v>90</v>
      </c>
      <c r="O526">
        <v>24</v>
      </c>
      <c r="P526" t="s">
        <v>89</v>
      </c>
      <c r="Q526" t="s">
        <v>91</v>
      </c>
      <c r="R526">
        <v>1</v>
      </c>
      <c r="S526" t="s">
        <v>92</v>
      </c>
      <c r="T526">
        <v>1</v>
      </c>
      <c r="U526" t="s">
        <v>89</v>
      </c>
      <c r="V526" t="s">
        <v>94</v>
      </c>
      <c r="W526">
        <v>2</v>
      </c>
      <c r="X526">
        <v>1</v>
      </c>
    </row>
    <row r="527" spans="2:24" x14ac:dyDescent="0.3">
      <c r="B527">
        <v>523</v>
      </c>
      <c r="C527" t="s">
        <v>8</v>
      </c>
      <c r="D527">
        <v>48</v>
      </c>
      <c r="E527" t="s">
        <v>121</v>
      </c>
      <c r="F527" t="s">
        <v>102</v>
      </c>
      <c r="G527">
        <v>7119</v>
      </c>
      <c r="H527" t="s">
        <v>96</v>
      </c>
      <c r="I527" t="s">
        <v>97</v>
      </c>
      <c r="J527">
        <v>3</v>
      </c>
      <c r="K527" t="s">
        <v>88</v>
      </c>
      <c r="L527" t="s">
        <v>89</v>
      </c>
      <c r="M527">
        <v>4</v>
      </c>
      <c r="N527" t="s">
        <v>108</v>
      </c>
      <c r="O527">
        <v>53</v>
      </c>
      <c r="P527" t="s">
        <v>89</v>
      </c>
      <c r="Q527" t="s">
        <v>105</v>
      </c>
      <c r="R527">
        <v>2</v>
      </c>
      <c r="S527" t="s">
        <v>92</v>
      </c>
      <c r="T527">
        <v>2</v>
      </c>
      <c r="U527" t="s">
        <v>89</v>
      </c>
      <c r="V527" t="s">
        <v>94</v>
      </c>
      <c r="W527">
        <v>2</v>
      </c>
      <c r="X527">
        <v>1</v>
      </c>
    </row>
    <row r="528" spans="2:24" x14ac:dyDescent="0.3">
      <c r="B528">
        <v>524</v>
      </c>
      <c r="C528" t="s">
        <v>12</v>
      </c>
      <c r="D528">
        <v>24</v>
      </c>
      <c r="E528" t="s">
        <v>95</v>
      </c>
      <c r="F528" t="s">
        <v>110</v>
      </c>
      <c r="G528">
        <v>3488</v>
      </c>
      <c r="H528" t="s">
        <v>120</v>
      </c>
      <c r="I528" t="s">
        <v>100</v>
      </c>
      <c r="J528">
        <v>3</v>
      </c>
      <c r="K528" t="s">
        <v>98</v>
      </c>
      <c r="L528" t="s">
        <v>89</v>
      </c>
      <c r="M528">
        <v>4</v>
      </c>
      <c r="N528" t="s">
        <v>111</v>
      </c>
      <c r="O528">
        <v>23</v>
      </c>
      <c r="P528" t="s">
        <v>89</v>
      </c>
      <c r="Q528" t="s">
        <v>91</v>
      </c>
      <c r="R528">
        <v>1</v>
      </c>
      <c r="S528" t="s">
        <v>92</v>
      </c>
      <c r="T528">
        <v>1</v>
      </c>
      <c r="U528" t="s">
        <v>89</v>
      </c>
      <c r="V528" t="s">
        <v>94</v>
      </c>
      <c r="W528">
        <v>1</v>
      </c>
      <c r="X528">
        <v>0</v>
      </c>
    </row>
    <row r="529" spans="2:24" x14ac:dyDescent="0.3">
      <c r="B529">
        <v>525</v>
      </c>
      <c r="C529" t="s">
        <v>10</v>
      </c>
      <c r="D529">
        <v>18</v>
      </c>
      <c r="E529" t="s">
        <v>95</v>
      </c>
      <c r="F529" t="s">
        <v>85</v>
      </c>
      <c r="G529">
        <v>1113</v>
      </c>
      <c r="H529" t="s">
        <v>96</v>
      </c>
      <c r="I529" t="s">
        <v>97</v>
      </c>
      <c r="J529">
        <v>4</v>
      </c>
      <c r="K529" t="s">
        <v>98</v>
      </c>
      <c r="L529" t="s">
        <v>103</v>
      </c>
      <c r="M529">
        <v>4</v>
      </c>
      <c r="N529" t="s">
        <v>90</v>
      </c>
      <c r="O529">
        <v>26</v>
      </c>
      <c r="P529" t="s">
        <v>89</v>
      </c>
      <c r="Q529" t="s">
        <v>91</v>
      </c>
      <c r="R529">
        <v>1</v>
      </c>
      <c r="S529" t="s">
        <v>101</v>
      </c>
      <c r="T529">
        <v>2</v>
      </c>
      <c r="U529" t="s">
        <v>89</v>
      </c>
      <c r="V529" t="s">
        <v>94</v>
      </c>
      <c r="W529">
        <v>1</v>
      </c>
      <c r="X529">
        <v>0</v>
      </c>
    </row>
    <row r="530" spans="2:24" x14ac:dyDescent="0.3">
      <c r="B530">
        <v>526</v>
      </c>
      <c r="C530" t="s">
        <v>10</v>
      </c>
      <c r="D530">
        <v>26</v>
      </c>
      <c r="E530" t="s">
        <v>95</v>
      </c>
      <c r="F530" t="s">
        <v>110</v>
      </c>
      <c r="G530">
        <v>7966</v>
      </c>
      <c r="H530" t="s">
        <v>96</v>
      </c>
      <c r="I530" t="s">
        <v>118</v>
      </c>
      <c r="J530">
        <v>2</v>
      </c>
      <c r="K530" t="s">
        <v>88</v>
      </c>
      <c r="L530" t="s">
        <v>89</v>
      </c>
      <c r="M530">
        <v>3</v>
      </c>
      <c r="N530" t="s">
        <v>111</v>
      </c>
      <c r="O530">
        <v>30</v>
      </c>
      <c r="P530" t="s">
        <v>89</v>
      </c>
      <c r="Q530" t="s">
        <v>91</v>
      </c>
      <c r="R530">
        <v>2</v>
      </c>
      <c r="S530" t="s">
        <v>92</v>
      </c>
      <c r="T530">
        <v>1</v>
      </c>
      <c r="U530" t="s">
        <v>89</v>
      </c>
      <c r="V530" t="s">
        <v>94</v>
      </c>
      <c r="W530">
        <v>1</v>
      </c>
      <c r="X530">
        <v>0</v>
      </c>
    </row>
    <row r="531" spans="2:24" x14ac:dyDescent="0.3">
      <c r="B531">
        <v>527</v>
      </c>
      <c r="C531" t="s">
        <v>12</v>
      </c>
      <c r="D531">
        <v>15</v>
      </c>
      <c r="E531" t="s">
        <v>84</v>
      </c>
      <c r="F531" t="s">
        <v>99</v>
      </c>
      <c r="G531">
        <v>1532</v>
      </c>
      <c r="H531" t="s">
        <v>120</v>
      </c>
      <c r="I531" t="s">
        <v>97</v>
      </c>
      <c r="J531">
        <v>4</v>
      </c>
      <c r="K531" t="s">
        <v>98</v>
      </c>
      <c r="L531" t="s">
        <v>89</v>
      </c>
      <c r="M531">
        <v>3</v>
      </c>
      <c r="N531" t="s">
        <v>111</v>
      </c>
      <c r="O531">
        <v>31</v>
      </c>
      <c r="P531" t="s">
        <v>89</v>
      </c>
      <c r="Q531" t="s">
        <v>91</v>
      </c>
      <c r="R531">
        <v>1</v>
      </c>
      <c r="S531" t="s">
        <v>92</v>
      </c>
      <c r="T531">
        <v>1</v>
      </c>
      <c r="U531" t="s">
        <v>89</v>
      </c>
      <c r="V531" t="s">
        <v>94</v>
      </c>
      <c r="W531">
        <v>1</v>
      </c>
      <c r="X531">
        <v>0</v>
      </c>
    </row>
    <row r="532" spans="2:24" x14ac:dyDescent="0.3">
      <c r="B532">
        <v>528</v>
      </c>
      <c r="C532" t="s">
        <v>12</v>
      </c>
      <c r="D532">
        <v>4</v>
      </c>
      <c r="E532" t="s">
        <v>84</v>
      </c>
      <c r="F532" t="s">
        <v>85</v>
      </c>
      <c r="G532">
        <v>1503</v>
      </c>
      <c r="H532" t="s">
        <v>96</v>
      </c>
      <c r="I532" t="s">
        <v>100</v>
      </c>
      <c r="J532">
        <v>2</v>
      </c>
      <c r="K532" t="s">
        <v>88</v>
      </c>
      <c r="L532" t="s">
        <v>89</v>
      </c>
      <c r="M532">
        <v>1</v>
      </c>
      <c r="N532" t="s">
        <v>90</v>
      </c>
      <c r="O532">
        <v>42</v>
      </c>
      <c r="P532" t="s">
        <v>89</v>
      </c>
      <c r="Q532" t="s">
        <v>91</v>
      </c>
      <c r="R532">
        <v>2</v>
      </c>
      <c r="S532" t="s">
        <v>101</v>
      </c>
      <c r="T532">
        <v>2</v>
      </c>
      <c r="U532" t="s">
        <v>89</v>
      </c>
      <c r="V532" t="s">
        <v>94</v>
      </c>
      <c r="W532">
        <v>1</v>
      </c>
      <c r="X532">
        <v>0</v>
      </c>
    </row>
    <row r="533" spans="2:24" x14ac:dyDescent="0.3">
      <c r="B533">
        <v>529</v>
      </c>
      <c r="C533" t="s">
        <v>8</v>
      </c>
      <c r="D533">
        <v>36</v>
      </c>
      <c r="E533" t="s">
        <v>95</v>
      </c>
      <c r="F533" t="s">
        <v>85</v>
      </c>
      <c r="G533">
        <v>2302</v>
      </c>
      <c r="H533" t="s">
        <v>96</v>
      </c>
      <c r="I533" t="s">
        <v>97</v>
      </c>
      <c r="J533">
        <v>4</v>
      </c>
      <c r="K533" t="s">
        <v>115</v>
      </c>
      <c r="L533" t="s">
        <v>89</v>
      </c>
      <c r="M533">
        <v>4</v>
      </c>
      <c r="N533" t="s">
        <v>111</v>
      </c>
      <c r="O533">
        <v>31</v>
      </c>
      <c r="P533" t="s">
        <v>89</v>
      </c>
      <c r="Q533" t="s">
        <v>112</v>
      </c>
      <c r="R533">
        <v>1</v>
      </c>
      <c r="S533" t="s">
        <v>92</v>
      </c>
      <c r="T533">
        <v>1</v>
      </c>
      <c r="U533" t="s">
        <v>89</v>
      </c>
      <c r="V533" t="s">
        <v>94</v>
      </c>
      <c r="W533">
        <v>2</v>
      </c>
      <c r="X533">
        <v>1</v>
      </c>
    </row>
    <row r="534" spans="2:24" x14ac:dyDescent="0.3">
      <c r="B534">
        <v>530</v>
      </c>
      <c r="C534" t="s">
        <v>8</v>
      </c>
      <c r="D534">
        <v>6</v>
      </c>
      <c r="E534" t="s">
        <v>95</v>
      </c>
      <c r="F534" t="s">
        <v>107</v>
      </c>
      <c r="G534">
        <v>662</v>
      </c>
      <c r="H534" t="s">
        <v>96</v>
      </c>
      <c r="I534" t="s">
        <v>118</v>
      </c>
      <c r="J534">
        <v>3</v>
      </c>
      <c r="K534" t="s">
        <v>88</v>
      </c>
      <c r="L534" t="s">
        <v>89</v>
      </c>
      <c r="M534">
        <v>4</v>
      </c>
      <c r="N534" t="s">
        <v>90</v>
      </c>
      <c r="O534">
        <v>41</v>
      </c>
      <c r="P534" t="s">
        <v>89</v>
      </c>
      <c r="Q534" t="s">
        <v>91</v>
      </c>
      <c r="R534">
        <v>1</v>
      </c>
      <c r="S534" t="s">
        <v>101</v>
      </c>
      <c r="T534">
        <v>2</v>
      </c>
      <c r="U534" t="s">
        <v>93</v>
      </c>
      <c r="V534" t="s">
        <v>94</v>
      </c>
      <c r="W534">
        <v>1</v>
      </c>
      <c r="X534">
        <v>0</v>
      </c>
    </row>
    <row r="535" spans="2:24" x14ac:dyDescent="0.3">
      <c r="B535">
        <v>531</v>
      </c>
      <c r="C535" t="s">
        <v>10</v>
      </c>
      <c r="D535">
        <v>36</v>
      </c>
      <c r="E535" t="s">
        <v>95</v>
      </c>
      <c r="F535" t="s">
        <v>99</v>
      </c>
      <c r="G535">
        <v>2273</v>
      </c>
      <c r="H535" t="s">
        <v>96</v>
      </c>
      <c r="I535" t="s">
        <v>100</v>
      </c>
      <c r="J535">
        <v>3</v>
      </c>
      <c r="K535" t="s">
        <v>88</v>
      </c>
      <c r="L535" t="s">
        <v>89</v>
      </c>
      <c r="M535">
        <v>1</v>
      </c>
      <c r="N535" t="s">
        <v>111</v>
      </c>
      <c r="O535">
        <v>32</v>
      </c>
      <c r="P535" t="s">
        <v>89</v>
      </c>
      <c r="Q535" t="s">
        <v>91</v>
      </c>
      <c r="R535">
        <v>2</v>
      </c>
      <c r="S535" t="s">
        <v>92</v>
      </c>
      <c r="T535">
        <v>2</v>
      </c>
      <c r="U535" t="s">
        <v>89</v>
      </c>
      <c r="V535" t="s">
        <v>94</v>
      </c>
      <c r="W535">
        <v>1</v>
      </c>
      <c r="X535">
        <v>0</v>
      </c>
    </row>
    <row r="536" spans="2:24" x14ac:dyDescent="0.3">
      <c r="B536">
        <v>532</v>
      </c>
      <c r="C536" t="s">
        <v>10</v>
      </c>
      <c r="D536">
        <v>15</v>
      </c>
      <c r="E536" t="s">
        <v>95</v>
      </c>
      <c r="F536" t="s">
        <v>107</v>
      </c>
      <c r="G536">
        <v>2631</v>
      </c>
      <c r="H536" t="s">
        <v>120</v>
      </c>
      <c r="I536" t="s">
        <v>97</v>
      </c>
      <c r="J536">
        <v>2</v>
      </c>
      <c r="K536" t="s">
        <v>98</v>
      </c>
      <c r="L536" t="s">
        <v>89</v>
      </c>
      <c r="M536">
        <v>4</v>
      </c>
      <c r="N536" t="s">
        <v>111</v>
      </c>
      <c r="O536">
        <v>28</v>
      </c>
      <c r="P536" t="s">
        <v>89</v>
      </c>
      <c r="Q536" t="s">
        <v>112</v>
      </c>
      <c r="R536">
        <v>2</v>
      </c>
      <c r="S536" t="s">
        <v>92</v>
      </c>
      <c r="T536">
        <v>1</v>
      </c>
      <c r="U536" t="s">
        <v>93</v>
      </c>
      <c r="V536" t="s">
        <v>94</v>
      </c>
      <c r="W536">
        <v>2</v>
      </c>
      <c r="X536">
        <v>1</v>
      </c>
    </row>
    <row r="537" spans="2:24" x14ac:dyDescent="0.3">
      <c r="B537">
        <v>533</v>
      </c>
      <c r="C537" t="s">
        <v>12</v>
      </c>
      <c r="D537">
        <v>12</v>
      </c>
      <c r="E537" t="s">
        <v>106</v>
      </c>
      <c r="F537" t="s">
        <v>110</v>
      </c>
      <c r="G537">
        <v>1503</v>
      </c>
      <c r="H537" t="s">
        <v>96</v>
      </c>
      <c r="I537" t="s">
        <v>97</v>
      </c>
      <c r="J537">
        <v>4</v>
      </c>
      <c r="K537" t="s">
        <v>117</v>
      </c>
      <c r="L537" t="s">
        <v>89</v>
      </c>
      <c r="M537">
        <v>4</v>
      </c>
      <c r="N537" t="s">
        <v>90</v>
      </c>
      <c r="O537">
        <v>41</v>
      </c>
      <c r="P537" t="s">
        <v>89</v>
      </c>
      <c r="Q537" t="s">
        <v>112</v>
      </c>
      <c r="R537">
        <v>1</v>
      </c>
      <c r="S537" t="s">
        <v>92</v>
      </c>
      <c r="T537">
        <v>1</v>
      </c>
      <c r="U537" t="s">
        <v>89</v>
      </c>
      <c r="V537" t="s">
        <v>94</v>
      </c>
      <c r="W537">
        <v>1</v>
      </c>
      <c r="X537">
        <v>0</v>
      </c>
    </row>
    <row r="538" spans="2:24" x14ac:dyDescent="0.3">
      <c r="B538">
        <v>534</v>
      </c>
      <c r="C538" t="s">
        <v>12</v>
      </c>
      <c r="D538">
        <v>24</v>
      </c>
      <c r="E538" t="s">
        <v>95</v>
      </c>
      <c r="F538" t="s">
        <v>85</v>
      </c>
      <c r="G538">
        <v>1311</v>
      </c>
      <c r="H538" t="s">
        <v>120</v>
      </c>
      <c r="I538" t="s">
        <v>100</v>
      </c>
      <c r="J538">
        <v>4</v>
      </c>
      <c r="K538" t="s">
        <v>117</v>
      </c>
      <c r="L538" t="s">
        <v>89</v>
      </c>
      <c r="M538">
        <v>3</v>
      </c>
      <c r="N538" t="s">
        <v>104</v>
      </c>
      <c r="O538">
        <v>26</v>
      </c>
      <c r="P538" t="s">
        <v>89</v>
      </c>
      <c r="Q538" t="s">
        <v>91</v>
      </c>
      <c r="R538">
        <v>1</v>
      </c>
      <c r="S538" t="s">
        <v>92</v>
      </c>
      <c r="T538">
        <v>1</v>
      </c>
      <c r="U538" t="s">
        <v>93</v>
      </c>
      <c r="V538" t="s">
        <v>94</v>
      </c>
      <c r="W538">
        <v>1</v>
      </c>
      <c r="X538">
        <v>0</v>
      </c>
    </row>
    <row r="539" spans="2:24" x14ac:dyDescent="0.3">
      <c r="B539">
        <v>535</v>
      </c>
      <c r="C539" t="s">
        <v>12</v>
      </c>
      <c r="D539">
        <v>24</v>
      </c>
      <c r="E539" t="s">
        <v>95</v>
      </c>
      <c r="F539" t="s">
        <v>85</v>
      </c>
      <c r="G539">
        <v>3105</v>
      </c>
      <c r="H539" t="s">
        <v>86</v>
      </c>
      <c r="I539" t="s">
        <v>118</v>
      </c>
      <c r="J539">
        <v>4</v>
      </c>
      <c r="K539" t="s">
        <v>88</v>
      </c>
      <c r="L539" t="s">
        <v>89</v>
      </c>
      <c r="M539">
        <v>2</v>
      </c>
      <c r="N539" t="s">
        <v>111</v>
      </c>
      <c r="O539">
        <v>25</v>
      </c>
      <c r="P539" t="s">
        <v>89</v>
      </c>
      <c r="Q539" t="s">
        <v>91</v>
      </c>
      <c r="R539">
        <v>2</v>
      </c>
      <c r="S539" t="s">
        <v>92</v>
      </c>
      <c r="T539">
        <v>1</v>
      </c>
      <c r="U539" t="s">
        <v>89</v>
      </c>
      <c r="V539" t="s">
        <v>94</v>
      </c>
      <c r="W539">
        <v>1</v>
      </c>
      <c r="X539">
        <v>0</v>
      </c>
    </row>
    <row r="540" spans="2:24" x14ac:dyDescent="0.3">
      <c r="B540">
        <v>536</v>
      </c>
      <c r="C540" t="s">
        <v>11</v>
      </c>
      <c r="D540">
        <v>21</v>
      </c>
      <c r="E540" t="s">
        <v>84</v>
      </c>
      <c r="F540" t="s">
        <v>99</v>
      </c>
      <c r="G540">
        <v>2319</v>
      </c>
      <c r="H540" t="s">
        <v>96</v>
      </c>
      <c r="I540" t="s">
        <v>118</v>
      </c>
      <c r="J540">
        <v>2</v>
      </c>
      <c r="K540" t="s">
        <v>115</v>
      </c>
      <c r="L540" t="s">
        <v>89</v>
      </c>
      <c r="M540">
        <v>1</v>
      </c>
      <c r="N540" t="s">
        <v>111</v>
      </c>
      <c r="O540">
        <v>33</v>
      </c>
      <c r="P540" t="s">
        <v>89</v>
      </c>
      <c r="Q540" t="s">
        <v>112</v>
      </c>
      <c r="R540">
        <v>1</v>
      </c>
      <c r="S540" t="s">
        <v>92</v>
      </c>
      <c r="T540">
        <v>1</v>
      </c>
      <c r="U540" t="s">
        <v>89</v>
      </c>
      <c r="V540" t="s">
        <v>94</v>
      </c>
      <c r="W540">
        <v>2</v>
      </c>
      <c r="X540">
        <v>1</v>
      </c>
    </row>
    <row r="541" spans="2:24" x14ac:dyDescent="0.3">
      <c r="B541">
        <v>537</v>
      </c>
      <c r="C541" t="s">
        <v>8</v>
      </c>
      <c r="D541">
        <v>6</v>
      </c>
      <c r="E541" t="s">
        <v>95</v>
      </c>
      <c r="F541" t="s">
        <v>107</v>
      </c>
      <c r="G541">
        <v>1374</v>
      </c>
      <c r="H541" t="s">
        <v>86</v>
      </c>
      <c r="I541" t="s">
        <v>116</v>
      </c>
      <c r="J541">
        <v>4</v>
      </c>
      <c r="K541" t="s">
        <v>98</v>
      </c>
      <c r="L541" t="s">
        <v>89</v>
      </c>
      <c r="M541">
        <v>3</v>
      </c>
      <c r="N541" t="s">
        <v>104</v>
      </c>
      <c r="O541">
        <v>75</v>
      </c>
      <c r="P541" t="s">
        <v>89</v>
      </c>
      <c r="Q541" t="s">
        <v>91</v>
      </c>
      <c r="R541">
        <v>1</v>
      </c>
      <c r="S541" t="s">
        <v>113</v>
      </c>
      <c r="T541">
        <v>1</v>
      </c>
      <c r="U541" t="s">
        <v>93</v>
      </c>
      <c r="V541" t="s">
        <v>94</v>
      </c>
      <c r="W541">
        <v>1</v>
      </c>
      <c r="X541">
        <v>0</v>
      </c>
    </row>
    <row r="542" spans="2:24" x14ac:dyDescent="0.3">
      <c r="B542">
        <v>538</v>
      </c>
      <c r="C542" t="s">
        <v>10</v>
      </c>
      <c r="D542">
        <v>18</v>
      </c>
      <c r="E542" t="s">
        <v>84</v>
      </c>
      <c r="F542" t="s">
        <v>102</v>
      </c>
      <c r="G542">
        <v>3612</v>
      </c>
      <c r="H542" t="s">
        <v>96</v>
      </c>
      <c r="I542" t="s">
        <v>87</v>
      </c>
      <c r="J542">
        <v>3</v>
      </c>
      <c r="K542" t="s">
        <v>98</v>
      </c>
      <c r="L542" t="s">
        <v>89</v>
      </c>
      <c r="M542">
        <v>4</v>
      </c>
      <c r="N542" t="s">
        <v>104</v>
      </c>
      <c r="O542">
        <v>37</v>
      </c>
      <c r="P542" t="s">
        <v>89</v>
      </c>
      <c r="Q542" t="s">
        <v>91</v>
      </c>
      <c r="R542">
        <v>1</v>
      </c>
      <c r="S542" t="s">
        <v>92</v>
      </c>
      <c r="T542">
        <v>1</v>
      </c>
      <c r="U542" t="s">
        <v>93</v>
      </c>
      <c r="V542" t="s">
        <v>94</v>
      </c>
      <c r="W542">
        <v>1</v>
      </c>
      <c r="X542">
        <v>0</v>
      </c>
    </row>
    <row r="543" spans="2:24" x14ac:dyDescent="0.3">
      <c r="B543">
        <v>539</v>
      </c>
      <c r="C543" t="s">
        <v>8</v>
      </c>
      <c r="D543">
        <v>48</v>
      </c>
      <c r="E543" t="s">
        <v>95</v>
      </c>
      <c r="F543" t="s">
        <v>107</v>
      </c>
      <c r="G543">
        <v>7763</v>
      </c>
      <c r="H543" t="s">
        <v>96</v>
      </c>
      <c r="I543" t="s">
        <v>87</v>
      </c>
      <c r="J543">
        <v>4</v>
      </c>
      <c r="K543" t="s">
        <v>88</v>
      </c>
      <c r="L543" t="s">
        <v>89</v>
      </c>
      <c r="M543">
        <v>4</v>
      </c>
      <c r="N543" t="s">
        <v>108</v>
      </c>
      <c r="O543">
        <v>42</v>
      </c>
      <c r="P543" t="s">
        <v>122</v>
      </c>
      <c r="Q543" t="s">
        <v>105</v>
      </c>
      <c r="R543">
        <v>1</v>
      </c>
      <c r="S543" t="s">
        <v>113</v>
      </c>
      <c r="T543">
        <v>1</v>
      </c>
      <c r="U543" t="s">
        <v>89</v>
      </c>
      <c r="V543" t="s">
        <v>94</v>
      </c>
      <c r="W543">
        <v>2</v>
      </c>
      <c r="X543">
        <v>1</v>
      </c>
    </row>
    <row r="544" spans="2:24" x14ac:dyDescent="0.3">
      <c r="B544">
        <v>540</v>
      </c>
      <c r="C544" t="s">
        <v>11</v>
      </c>
      <c r="D544">
        <v>18</v>
      </c>
      <c r="E544" t="s">
        <v>95</v>
      </c>
      <c r="F544" t="s">
        <v>102</v>
      </c>
      <c r="G544">
        <v>3049</v>
      </c>
      <c r="H544" t="s">
        <v>96</v>
      </c>
      <c r="I544" t="s">
        <v>118</v>
      </c>
      <c r="J544">
        <v>1</v>
      </c>
      <c r="K544" t="s">
        <v>98</v>
      </c>
      <c r="L544" t="s">
        <v>89</v>
      </c>
      <c r="M544">
        <v>1</v>
      </c>
      <c r="N544" t="s">
        <v>104</v>
      </c>
      <c r="O544">
        <v>45</v>
      </c>
      <c r="P544" t="s">
        <v>125</v>
      </c>
      <c r="Q544" t="s">
        <v>91</v>
      </c>
      <c r="R544">
        <v>1</v>
      </c>
      <c r="S544" t="s">
        <v>101</v>
      </c>
      <c r="T544">
        <v>1</v>
      </c>
      <c r="U544" t="s">
        <v>89</v>
      </c>
      <c r="V544" t="s">
        <v>94</v>
      </c>
      <c r="W544">
        <v>1</v>
      </c>
      <c r="X544">
        <v>0</v>
      </c>
    </row>
    <row r="545" spans="2:24" x14ac:dyDescent="0.3">
      <c r="B545">
        <v>541</v>
      </c>
      <c r="C545" t="s">
        <v>10</v>
      </c>
      <c r="D545">
        <v>12</v>
      </c>
      <c r="E545" t="s">
        <v>95</v>
      </c>
      <c r="F545" t="s">
        <v>85</v>
      </c>
      <c r="G545">
        <v>1534</v>
      </c>
      <c r="H545" t="s">
        <v>96</v>
      </c>
      <c r="I545" t="s">
        <v>118</v>
      </c>
      <c r="J545">
        <v>1</v>
      </c>
      <c r="K545" t="s">
        <v>117</v>
      </c>
      <c r="L545" t="s">
        <v>89</v>
      </c>
      <c r="M545">
        <v>1</v>
      </c>
      <c r="N545" t="s">
        <v>90</v>
      </c>
      <c r="O545">
        <v>23</v>
      </c>
      <c r="P545" t="s">
        <v>89</v>
      </c>
      <c r="Q545" t="s">
        <v>112</v>
      </c>
      <c r="R545">
        <v>1</v>
      </c>
      <c r="S545" t="s">
        <v>92</v>
      </c>
      <c r="T545">
        <v>1</v>
      </c>
      <c r="U545" t="s">
        <v>89</v>
      </c>
      <c r="V545" t="s">
        <v>94</v>
      </c>
      <c r="W545">
        <v>2</v>
      </c>
      <c r="X545">
        <v>1</v>
      </c>
    </row>
    <row r="546" spans="2:24" x14ac:dyDescent="0.3">
      <c r="B546">
        <v>542</v>
      </c>
      <c r="C546" t="s">
        <v>12</v>
      </c>
      <c r="D546">
        <v>24</v>
      </c>
      <c r="E546" t="s">
        <v>106</v>
      </c>
      <c r="F546" t="s">
        <v>107</v>
      </c>
      <c r="G546">
        <v>2032</v>
      </c>
      <c r="H546" t="s">
        <v>96</v>
      </c>
      <c r="I546" t="s">
        <v>87</v>
      </c>
      <c r="J546">
        <v>4</v>
      </c>
      <c r="K546" t="s">
        <v>88</v>
      </c>
      <c r="L546" t="s">
        <v>89</v>
      </c>
      <c r="M546">
        <v>4</v>
      </c>
      <c r="N546" t="s">
        <v>108</v>
      </c>
      <c r="O546">
        <v>60</v>
      </c>
      <c r="P546" t="s">
        <v>89</v>
      </c>
      <c r="Q546" t="s">
        <v>105</v>
      </c>
      <c r="R546">
        <v>2</v>
      </c>
      <c r="S546" t="s">
        <v>92</v>
      </c>
      <c r="T546">
        <v>1</v>
      </c>
      <c r="U546" t="s">
        <v>93</v>
      </c>
      <c r="V546" t="s">
        <v>94</v>
      </c>
      <c r="W546">
        <v>1</v>
      </c>
      <c r="X546">
        <v>0</v>
      </c>
    </row>
    <row r="547" spans="2:24" x14ac:dyDescent="0.3">
      <c r="B547">
        <v>543</v>
      </c>
      <c r="C547" t="s">
        <v>8</v>
      </c>
      <c r="D547">
        <v>30</v>
      </c>
      <c r="E547" t="s">
        <v>95</v>
      </c>
      <c r="F547" t="s">
        <v>102</v>
      </c>
      <c r="G547">
        <v>6350</v>
      </c>
      <c r="H547" t="s">
        <v>86</v>
      </c>
      <c r="I547" t="s">
        <v>87</v>
      </c>
      <c r="J547">
        <v>4</v>
      </c>
      <c r="K547" t="s">
        <v>88</v>
      </c>
      <c r="L547" t="s">
        <v>89</v>
      </c>
      <c r="M547">
        <v>4</v>
      </c>
      <c r="N547" t="s">
        <v>104</v>
      </c>
      <c r="O547">
        <v>31</v>
      </c>
      <c r="P547" t="s">
        <v>89</v>
      </c>
      <c r="Q547" t="s">
        <v>91</v>
      </c>
      <c r="R547">
        <v>1</v>
      </c>
      <c r="S547" t="s">
        <v>92</v>
      </c>
      <c r="T547">
        <v>1</v>
      </c>
      <c r="U547" t="s">
        <v>89</v>
      </c>
      <c r="V547" t="s">
        <v>94</v>
      </c>
      <c r="W547">
        <v>2</v>
      </c>
      <c r="X547">
        <v>1</v>
      </c>
    </row>
    <row r="548" spans="2:24" x14ac:dyDescent="0.3">
      <c r="B548">
        <v>544</v>
      </c>
      <c r="C548" t="s">
        <v>11</v>
      </c>
      <c r="D548">
        <v>18</v>
      </c>
      <c r="E548" t="s">
        <v>95</v>
      </c>
      <c r="F548" t="s">
        <v>102</v>
      </c>
      <c r="G548">
        <v>2864</v>
      </c>
      <c r="H548" t="s">
        <v>96</v>
      </c>
      <c r="I548" t="s">
        <v>97</v>
      </c>
      <c r="J548">
        <v>2</v>
      </c>
      <c r="K548" t="s">
        <v>88</v>
      </c>
      <c r="L548" t="s">
        <v>89</v>
      </c>
      <c r="M548">
        <v>1</v>
      </c>
      <c r="N548" t="s">
        <v>90</v>
      </c>
      <c r="O548">
        <v>34</v>
      </c>
      <c r="P548" t="s">
        <v>89</v>
      </c>
      <c r="Q548" t="s">
        <v>91</v>
      </c>
      <c r="R548">
        <v>1</v>
      </c>
      <c r="S548" t="s">
        <v>101</v>
      </c>
      <c r="T548">
        <v>2</v>
      </c>
      <c r="U548" t="s">
        <v>89</v>
      </c>
      <c r="V548" t="s">
        <v>94</v>
      </c>
      <c r="W548">
        <v>2</v>
      </c>
      <c r="X548">
        <v>1</v>
      </c>
    </row>
    <row r="549" spans="2:24" x14ac:dyDescent="0.3">
      <c r="B549">
        <v>545</v>
      </c>
      <c r="C549" t="s">
        <v>12</v>
      </c>
      <c r="D549">
        <v>12</v>
      </c>
      <c r="E549" t="s">
        <v>84</v>
      </c>
      <c r="F549" t="s">
        <v>107</v>
      </c>
      <c r="G549">
        <v>1255</v>
      </c>
      <c r="H549" t="s">
        <v>96</v>
      </c>
      <c r="I549" t="s">
        <v>87</v>
      </c>
      <c r="J549">
        <v>4</v>
      </c>
      <c r="K549" t="s">
        <v>88</v>
      </c>
      <c r="L549" t="s">
        <v>89</v>
      </c>
      <c r="M549">
        <v>4</v>
      </c>
      <c r="N549" t="s">
        <v>90</v>
      </c>
      <c r="O549">
        <v>61</v>
      </c>
      <c r="P549" t="s">
        <v>89</v>
      </c>
      <c r="Q549" t="s">
        <v>91</v>
      </c>
      <c r="R549">
        <v>2</v>
      </c>
      <c r="S549" t="s">
        <v>101</v>
      </c>
      <c r="T549">
        <v>1</v>
      </c>
      <c r="U549" t="s">
        <v>89</v>
      </c>
      <c r="V549" t="s">
        <v>94</v>
      </c>
      <c r="W549">
        <v>1</v>
      </c>
      <c r="X549">
        <v>0</v>
      </c>
    </row>
    <row r="550" spans="2:24" x14ac:dyDescent="0.3">
      <c r="B550">
        <v>546</v>
      </c>
      <c r="C550" t="s">
        <v>8</v>
      </c>
      <c r="D550">
        <v>24</v>
      </c>
      <c r="E550" t="s">
        <v>106</v>
      </c>
      <c r="F550" t="s">
        <v>107</v>
      </c>
      <c r="G550">
        <v>1333</v>
      </c>
      <c r="H550" t="s">
        <v>96</v>
      </c>
      <c r="I550" t="s">
        <v>116</v>
      </c>
      <c r="J550">
        <v>4</v>
      </c>
      <c r="K550" t="s">
        <v>88</v>
      </c>
      <c r="L550" t="s">
        <v>89</v>
      </c>
      <c r="M550">
        <v>2</v>
      </c>
      <c r="N550" t="s">
        <v>90</v>
      </c>
      <c r="O550">
        <v>43</v>
      </c>
      <c r="P550" t="s">
        <v>89</v>
      </c>
      <c r="Q550" t="s">
        <v>105</v>
      </c>
      <c r="R550">
        <v>2</v>
      </c>
      <c r="S550" t="s">
        <v>92</v>
      </c>
      <c r="T550">
        <v>2</v>
      </c>
      <c r="U550" t="s">
        <v>89</v>
      </c>
      <c r="V550" t="s">
        <v>94</v>
      </c>
      <c r="W550">
        <v>2</v>
      </c>
      <c r="X550">
        <v>1</v>
      </c>
    </row>
    <row r="551" spans="2:24" x14ac:dyDescent="0.3">
      <c r="B551">
        <v>547</v>
      </c>
      <c r="C551" t="s">
        <v>12</v>
      </c>
      <c r="D551">
        <v>24</v>
      </c>
      <c r="E551" t="s">
        <v>84</v>
      </c>
      <c r="F551" t="s">
        <v>107</v>
      </c>
      <c r="G551">
        <v>2022</v>
      </c>
      <c r="H551" t="s">
        <v>96</v>
      </c>
      <c r="I551" t="s">
        <v>97</v>
      </c>
      <c r="J551">
        <v>4</v>
      </c>
      <c r="K551" t="s">
        <v>98</v>
      </c>
      <c r="L551" t="s">
        <v>89</v>
      </c>
      <c r="M551">
        <v>4</v>
      </c>
      <c r="N551" t="s">
        <v>111</v>
      </c>
      <c r="O551">
        <v>37</v>
      </c>
      <c r="P551" t="s">
        <v>89</v>
      </c>
      <c r="Q551" t="s">
        <v>91</v>
      </c>
      <c r="R551">
        <v>1</v>
      </c>
      <c r="S551" t="s">
        <v>92</v>
      </c>
      <c r="T551">
        <v>1</v>
      </c>
      <c r="U551" t="s">
        <v>93</v>
      </c>
      <c r="V551" t="s">
        <v>94</v>
      </c>
      <c r="W551">
        <v>1</v>
      </c>
      <c r="X551">
        <v>0</v>
      </c>
    </row>
    <row r="552" spans="2:24" x14ac:dyDescent="0.3">
      <c r="B552">
        <v>548</v>
      </c>
      <c r="C552" t="s">
        <v>12</v>
      </c>
      <c r="D552">
        <v>24</v>
      </c>
      <c r="E552" t="s">
        <v>95</v>
      </c>
      <c r="F552" t="s">
        <v>85</v>
      </c>
      <c r="G552">
        <v>1552</v>
      </c>
      <c r="H552" t="s">
        <v>96</v>
      </c>
      <c r="I552" t="s">
        <v>100</v>
      </c>
      <c r="J552">
        <v>3</v>
      </c>
      <c r="K552" t="s">
        <v>88</v>
      </c>
      <c r="L552" t="s">
        <v>89</v>
      </c>
      <c r="M552">
        <v>1</v>
      </c>
      <c r="N552" t="s">
        <v>111</v>
      </c>
      <c r="O552">
        <v>32</v>
      </c>
      <c r="P552" t="s">
        <v>122</v>
      </c>
      <c r="Q552" t="s">
        <v>91</v>
      </c>
      <c r="R552">
        <v>1</v>
      </c>
      <c r="S552" t="s">
        <v>92</v>
      </c>
      <c r="T552">
        <v>2</v>
      </c>
      <c r="U552" t="s">
        <v>89</v>
      </c>
      <c r="V552" t="s">
        <v>94</v>
      </c>
      <c r="W552">
        <v>1</v>
      </c>
      <c r="X552">
        <v>0</v>
      </c>
    </row>
    <row r="553" spans="2:24" x14ac:dyDescent="0.3">
      <c r="B553">
        <v>549</v>
      </c>
      <c r="C553" t="s">
        <v>8</v>
      </c>
      <c r="D553">
        <v>12</v>
      </c>
      <c r="E553" t="s">
        <v>124</v>
      </c>
      <c r="F553" t="s">
        <v>85</v>
      </c>
      <c r="G553">
        <v>626</v>
      </c>
      <c r="H553" t="s">
        <v>96</v>
      </c>
      <c r="I553" t="s">
        <v>97</v>
      </c>
      <c r="J553">
        <v>4</v>
      </c>
      <c r="K553" t="s">
        <v>98</v>
      </c>
      <c r="L553" t="s">
        <v>89</v>
      </c>
      <c r="M553">
        <v>4</v>
      </c>
      <c r="N553" t="s">
        <v>90</v>
      </c>
      <c r="O553">
        <v>24</v>
      </c>
      <c r="P553" t="s">
        <v>122</v>
      </c>
      <c r="Q553" t="s">
        <v>91</v>
      </c>
      <c r="R553">
        <v>1</v>
      </c>
      <c r="S553" t="s">
        <v>101</v>
      </c>
      <c r="T553">
        <v>1</v>
      </c>
      <c r="U553" t="s">
        <v>89</v>
      </c>
      <c r="V553" t="s">
        <v>94</v>
      </c>
      <c r="W553">
        <v>2</v>
      </c>
      <c r="X553">
        <v>1</v>
      </c>
    </row>
    <row r="554" spans="2:24" x14ac:dyDescent="0.3">
      <c r="B554">
        <v>550</v>
      </c>
      <c r="C554" t="s">
        <v>12</v>
      </c>
      <c r="D554">
        <v>48</v>
      </c>
      <c r="E554" t="s">
        <v>84</v>
      </c>
      <c r="F554" t="s">
        <v>110</v>
      </c>
      <c r="G554">
        <v>8858</v>
      </c>
      <c r="H554" t="s">
        <v>86</v>
      </c>
      <c r="I554" t="s">
        <v>100</v>
      </c>
      <c r="J554">
        <v>2</v>
      </c>
      <c r="K554" t="s">
        <v>88</v>
      </c>
      <c r="L554" t="s">
        <v>89</v>
      </c>
      <c r="M554">
        <v>1</v>
      </c>
      <c r="N554" t="s">
        <v>108</v>
      </c>
      <c r="O554">
        <v>35</v>
      </c>
      <c r="P554" t="s">
        <v>89</v>
      </c>
      <c r="Q554" t="s">
        <v>105</v>
      </c>
      <c r="R554">
        <v>2</v>
      </c>
      <c r="S554" t="s">
        <v>92</v>
      </c>
      <c r="T554">
        <v>1</v>
      </c>
      <c r="U554" t="s">
        <v>93</v>
      </c>
      <c r="V554" t="s">
        <v>94</v>
      </c>
      <c r="W554">
        <v>1</v>
      </c>
      <c r="X554">
        <v>0</v>
      </c>
    </row>
    <row r="555" spans="2:24" x14ac:dyDescent="0.3">
      <c r="B555">
        <v>551</v>
      </c>
      <c r="C555" t="s">
        <v>12</v>
      </c>
      <c r="D555">
        <v>12</v>
      </c>
      <c r="E555" t="s">
        <v>84</v>
      </c>
      <c r="F555" t="s">
        <v>128</v>
      </c>
      <c r="G555">
        <v>996</v>
      </c>
      <c r="H555" t="s">
        <v>86</v>
      </c>
      <c r="I555" t="s">
        <v>100</v>
      </c>
      <c r="J555">
        <v>4</v>
      </c>
      <c r="K555" t="s">
        <v>98</v>
      </c>
      <c r="L555" t="s">
        <v>89</v>
      </c>
      <c r="M555">
        <v>4</v>
      </c>
      <c r="N555" t="s">
        <v>90</v>
      </c>
      <c r="O555">
        <v>23</v>
      </c>
      <c r="P555" t="s">
        <v>89</v>
      </c>
      <c r="Q555" t="s">
        <v>91</v>
      </c>
      <c r="R555">
        <v>2</v>
      </c>
      <c r="S555" t="s">
        <v>92</v>
      </c>
      <c r="T555">
        <v>1</v>
      </c>
      <c r="U555" t="s">
        <v>89</v>
      </c>
      <c r="V555" t="s">
        <v>94</v>
      </c>
      <c r="W555">
        <v>1</v>
      </c>
      <c r="X555">
        <v>0</v>
      </c>
    </row>
    <row r="556" spans="2:24" x14ac:dyDescent="0.3">
      <c r="B556">
        <v>552</v>
      </c>
      <c r="C556" t="s">
        <v>12</v>
      </c>
      <c r="D556">
        <v>6</v>
      </c>
      <c r="E556" t="s">
        <v>124</v>
      </c>
      <c r="F556" t="s">
        <v>85</v>
      </c>
      <c r="G556">
        <v>1750</v>
      </c>
      <c r="H556" t="s">
        <v>109</v>
      </c>
      <c r="I556" t="s">
        <v>87</v>
      </c>
      <c r="J556">
        <v>2</v>
      </c>
      <c r="K556" t="s">
        <v>88</v>
      </c>
      <c r="L556" t="s">
        <v>89</v>
      </c>
      <c r="M556">
        <v>4</v>
      </c>
      <c r="N556" t="s">
        <v>104</v>
      </c>
      <c r="O556">
        <v>45</v>
      </c>
      <c r="P556" t="s">
        <v>122</v>
      </c>
      <c r="Q556" t="s">
        <v>91</v>
      </c>
      <c r="R556">
        <v>1</v>
      </c>
      <c r="S556" t="s">
        <v>101</v>
      </c>
      <c r="T556">
        <v>2</v>
      </c>
      <c r="U556" t="s">
        <v>89</v>
      </c>
      <c r="V556" t="s">
        <v>94</v>
      </c>
      <c r="W556">
        <v>1</v>
      </c>
      <c r="X556">
        <v>0</v>
      </c>
    </row>
    <row r="557" spans="2:24" x14ac:dyDescent="0.3">
      <c r="B557">
        <v>553</v>
      </c>
      <c r="C557" t="s">
        <v>8</v>
      </c>
      <c r="D557">
        <v>48</v>
      </c>
      <c r="E557" t="s">
        <v>95</v>
      </c>
      <c r="F557" t="s">
        <v>85</v>
      </c>
      <c r="G557">
        <v>6999</v>
      </c>
      <c r="H557" t="s">
        <v>96</v>
      </c>
      <c r="I557" t="s">
        <v>100</v>
      </c>
      <c r="J557">
        <v>1</v>
      </c>
      <c r="K557" t="s">
        <v>117</v>
      </c>
      <c r="L557" t="s">
        <v>103</v>
      </c>
      <c r="M557">
        <v>1</v>
      </c>
      <c r="N557" t="s">
        <v>90</v>
      </c>
      <c r="O557">
        <v>34</v>
      </c>
      <c r="P557" t="s">
        <v>89</v>
      </c>
      <c r="Q557" t="s">
        <v>91</v>
      </c>
      <c r="R557">
        <v>2</v>
      </c>
      <c r="S557" t="s">
        <v>92</v>
      </c>
      <c r="T557">
        <v>1</v>
      </c>
      <c r="U557" t="s">
        <v>93</v>
      </c>
      <c r="V557" t="s">
        <v>94</v>
      </c>
      <c r="W557">
        <v>2</v>
      </c>
      <c r="X557">
        <v>1</v>
      </c>
    </row>
    <row r="558" spans="2:24" x14ac:dyDescent="0.3">
      <c r="B558">
        <v>554</v>
      </c>
      <c r="C558" t="s">
        <v>10</v>
      </c>
      <c r="D558">
        <v>12</v>
      </c>
      <c r="E558" t="s">
        <v>84</v>
      </c>
      <c r="F558" t="s">
        <v>107</v>
      </c>
      <c r="G558">
        <v>1995</v>
      </c>
      <c r="H558" t="s">
        <v>120</v>
      </c>
      <c r="I558" t="s">
        <v>118</v>
      </c>
      <c r="J558">
        <v>4</v>
      </c>
      <c r="K558" t="s">
        <v>88</v>
      </c>
      <c r="L558" t="s">
        <v>89</v>
      </c>
      <c r="M558">
        <v>1</v>
      </c>
      <c r="N558" t="s">
        <v>111</v>
      </c>
      <c r="O558">
        <v>27</v>
      </c>
      <c r="P558" t="s">
        <v>89</v>
      </c>
      <c r="Q558" t="s">
        <v>91</v>
      </c>
      <c r="R558">
        <v>1</v>
      </c>
      <c r="S558" t="s">
        <v>92</v>
      </c>
      <c r="T558">
        <v>1</v>
      </c>
      <c r="U558" t="s">
        <v>89</v>
      </c>
      <c r="V558" t="s">
        <v>94</v>
      </c>
      <c r="W558">
        <v>1</v>
      </c>
      <c r="X558">
        <v>0</v>
      </c>
    </row>
    <row r="559" spans="2:24" x14ac:dyDescent="0.3">
      <c r="B559">
        <v>555</v>
      </c>
      <c r="C559" t="s">
        <v>10</v>
      </c>
      <c r="D559">
        <v>9</v>
      </c>
      <c r="E559" t="s">
        <v>95</v>
      </c>
      <c r="F559" t="s">
        <v>99</v>
      </c>
      <c r="G559">
        <v>1199</v>
      </c>
      <c r="H559" t="s">
        <v>96</v>
      </c>
      <c r="I559" t="s">
        <v>100</v>
      </c>
      <c r="J559">
        <v>4</v>
      </c>
      <c r="K559" t="s">
        <v>98</v>
      </c>
      <c r="L559" t="s">
        <v>89</v>
      </c>
      <c r="M559">
        <v>4</v>
      </c>
      <c r="N559" t="s">
        <v>104</v>
      </c>
      <c r="O559">
        <v>67</v>
      </c>
      <c r="P559" t="s">
        <v>89</v>
      </c>
      <c r="Q559" t="s">
        <v>91</v>
      </c>
      <c r="R559">
        <v>2</v>
      </c>
      <c r="S559" t="s">
        <v>113</v>
      </c>
      <c r="T559">
        <v>1</v>
      </c>
      <c r="U559" t="s">
        <v>93</v>
      </c>
      <c r="V559" t="s">
        <v>94</v>
      </c>
      <c r="W559">
        <v>1</v>
      </c>
      <c r="X559">
        <v>0</v>
      </c>
    </row>
    <row r="560" spans="2:24" x14ac:dyDescent="0.3">
      <c r="B560">
        <v>556</v>
      </c>
      <c r="C560" t="s">
        <v>10</v>
      </c>
      <c r="D560">
        <v>12</v>
      </c>
      <c r="E560" t="s">
        <v>95</v>
      </c>
      <c r="F560" t="s">
        <v>85</v>
      </c>
      <c r="G560">
        <v>1331</v>
      </c>
      <c r="H560" t="s">
        <v>96</v>
      </c>
      <c r="I560" t="s">
        <v>118</v>
      </c>
      <c r="J560">
        <v>2</v>
      </c>
      <c r="K560" t="s">
        <v>88</v>
      </c>
      <c r="L560" t="s">
        <v>89</v>
      </c>
      <c r="M560">
        <v>1</v>
      </c>
      <c r="N560" t="s">
        <v>111</v>
      </c>
      <c r="O560">
        <v>22</v>
      </c>
      <c r="P560" t="s">
        <v>125</v>
      </c>
      <c r="Q560" t="s">
        <v>91</v>
      </c>
      <c r="R560">
        <v>1</v>
      </c>
      <c r="S560" t="s">
        <v>92</v>
      </c>
      <c r="T560">
        <v>1</v>
      </c>
      <c r="U560" t="s">
        <v>89</v>
      </c>
      <c r="V560" t="s">
        <v>94</v>
      </c>
      <c r="W560">
        <v>2</v>
      </c>
      <c r="X560">
        <v>1</v>
      </c>
    </row>
    <row r="561" spans="2:24" x14ac:dyDescent="0.3">
      <c r="B561">
        <v>557</v>
      </c>
      <c r="C561" t="s">
        <v>10</v>
      </c>
      <c r="D561">
        <v>18</v>
      </c>
      <c r="E561" t="s">
        <v>121</v>
      </c>
      <c r="F561" t="s">
        <v>107</v>
      </c>
      <c r="G561">
        <v>2278</v>
      </c>
      <c r="H561" t="s">
        <v>120</v>
      </c>
      <c r="I561" t="s">
        <v>118</v>
      </c>
      <c r="J561">
        <v>3</v>
      </c>
      <c r="K561" t="s">
        <v>98</v>
      </c>
      <c r="L561" t="s">
        <v>89</v>
      </c>
      <c r="M561">
        <v>3</v>
      </c>
      <c r="N561" t="s">
        <v>111</v>
      </c>
      <c r="O561">
        <v>28</v>
      </c>
      <c r="P561" t="s">
        <v>89</v>
      </c>
      <c r="Q561" t="s">
        <v>91</v>
      </c>
      <c r="R561">
        <v>2</v>
      </c>
      <c r="S561" t="s">
        <v>92</v>
      </c>
      <c r="T561">
        <v>1</v>
      </c>
      <c r="U561" t="s">
        <v>89</v>
      </c>
      <c r="V561" t="s">
        <v>94</v>
      </c>
      <c r="W561">
        <v>2</v>
      </c>
      <c r="X561">
        <v>1</v>
      </c>
    </row>
    <row r="562" spans="2:24" x14ac:dyDescent="0.3">
      <c r="B562">
        <v>558</v>
      </c>
      <c r="C562" t="s">
        <v>12</v>
      </c>
      <c r="D562">
        <v>21</v>
      </c>
      <c r="E562" t="s">
        <v>121</v>
      </c>
      <c r="F562" t="s">
        <v>107</v>
      </c>
      <c r="G562">
        <v>5003</v>
      </c>
      <c r="H562" t="s">
        <v>86</v>
      </c>
      <c r="I562" t="s">
        <v>97</v>
      </c>
      <c r="J562">
        <v>1</v>
      </c>
      <c r="K562" t="s">
        <v>98</v>
      </c>
      <c r="L562" t="s">
        <v>89</v>
      </c>
      <c r="M562">
        <v>4</v>
      </c>
      <c r="N562" t="s">
        <v>104</v>
      </c>
      <c r="O562">
        <v>29</v>
      </c>
      <c r="P562" t="s">
        <v>122</v>
      </c>
      <c r="Q562" t="s">
        <v>91</v>
      </c>
      <c r="R562">
        <v>2</v>
      </c>
      <c r="S562" t="s">
        <v>92</v>
      </c>
      <c r="T562">
        <v>1</v>
      </c>
      <c r="U562" t="s">
        <v>93</v>
      </c>
      <c r="V562" t="s">
        <v>94</v>
      </c>
      <c r="W562">
        <v>2</v>
      </c>
      <c r="X562">
        <v>1</v>
      </c>
    </row>
    <row r="563" spans="2:24" x14ac:dyDescent="0.3">
      <c r="B563">
        <v>559</v>
      </c>
      <c r="C563" t="s">
        <v>8</v>
      </c>
      <c r="D563">
        <v>24</v>
      </c>
      <c r="E563" t="s">
        <v>124</v>
      </c>
      <c r="F563" t="s">
        <v>102</v>
      </c>
      <c r="G563">
        <v>3552</v>
      </c>
      <c r="H563" t="s">
        <v>96</v>
      </c>
      <c r="I563" t="s">
        <v>100</v>
      </c>
      <c r="J563">
        <v>3</v>
      </c>
      <c r="K563" t="s">
        <v>88</v>
      </c>
      <c r="L563" t="s">
        <v>89</v>
      </c>
      <c r="M563">
        <v>4</v>
      </c>
      <c r="N563" t="s">
        <v>111</v>
      </c>
      <c r="O563">
        <v>27</v>
      </c>
      <c r="P563" t="s">
        <v>122</v>
      </c>
      <c r="Q563" t="s">
        <v>91</v>
      </c>
      <c r="R563">
        <v>1</v>
      </c>
      <c r="S563" t="s">
        <v>92</v>
      </c>
      <c r="T563">
        <v>1</v>
      </c>
      <c r="U563" t="s">
        <v>89</v>
      </c>
      <c r="V563" t="s">
        <v>94</v>
      </c>
      <c r="W563">
        <v>2</v>
      </c>
      <c r="X563">
        <v>1</v>
      </c>
    </row>
    <row r="564" spans="2:24" x14ac:dyDescent="0.3">
      <c r="B564">
        <v>560</v>
      </c>
      <c r="C564" t="s">
        <v>10</v>
      </c>
      <c r="D564">
        <v>18</v>
      </c>
      <c r="E564" t="s">
        <v>84</v>
      </c>
      <c r="F564" t="s">
        <v>102</v>
      </c>
      <c r="G564">
        <v>1928</v>
      </c>
      <c r="H564" t="s">
        <v>96</v>
      </c>
      <c r="I564" t="s">
        <v>118</v>
      </c>
      <c r="J564">
        <v>2</v>
      </c>
      <c r="K564" t="s">
        <v>88</v>
      </c>
      <c r="L564" t="s">
        <v>89</v>
      </c>
      <c r="M564">
        <v>2</v>
      </c>
      <c r="N564" t="s">
        <v>90</v>
      </c>
      <c r="O564">
        <v>31</v>
      </c>
      <c r="P564" t="s">
        <v>89</v>
      </c>
      <c r="Q564" t="s">
        <v>91</v>
      </c>
      <c r="R564">
        <v>2</v>
      </c>
      <c r="S564" t="s">
        <v>101</v>
      </c>
      <c r="T564">
        <v>1</v>
      </c>
      <c r="U564" t="s">
        <v>89</v>
      </c>
      <c r="V564" t="s">
        <v>94</v>
      </c>
      <c r="W564">
        <v>2</v>
      </c>
      <c r="X564">
        <v>1</v>
      </c>
    </row>
    <row r="565" spans="2:24" x14ac:dyDescent="0.3">
      <c r="B565">
        <v>561</v>
      </c>
      <c r="C565" t="s">
        <v>8</v>
      </c>
      <c r="D565">
        <v>24</v>
      </c>
      <c r="E565" t="s">
        <v>95</v>
      </c>
      <c r="F565" t="s">
        <v>110</v>
      </c>
      <c r="G565">
        <v>2964</v>
      </c>
      <c r="H565" t="s">
        <v>86</v>
      </c>
      <c r="I565" t="s">
        <v>87</v>
      </c>
      <c r="J565">
        <v>4</v>
      </c>
      <c r="K565" t="s">
        <v>88</v>
      </c>
      <c r="L565" t="s">
        <v>89</v>
      </c>
      <c r="M565">
        <v>4</v>
      </c>
      <c r="N565" t="s">
        <v>108</v>
      </c>
      <c r="O565">
        <v>49</v>
      </c>
      <c r="P565" t="s">
        <v>122</v>
      </c>
      <c r="Q565" t="s">
        <v>105</v>
      </c>
      <c r="R565">
        <v>1</v>
      </c>
      <c r="S565" t="s">
        <v>92</v>
      </c>
      <c r="T565">
        <v>2</v>
      </c>
      <c r="U565" t="s">
        <v>93</v>
      </c>
      <c r="V565" t="s">
        <v>94</v>
      </c>
      <c r="W565">
        <v>1</v>
      </c>
      <c r="X565">
        <v>0</v>
      </c>
    </row>
    <row r="566" spans="2:24" x14ac:dyDescent="0.3">
      <c r="B566">
        <v>562</v>
      </c>
      <c r="C566" t="s">
        <v>8</v>
      </c>
      <c r="D566">
        <v>24</v>
      </c>
      <c r="E566" t="s">
        <v>124</v>
      </c>
      <c r="F566" t="s">
        <v>85</v>
      </c>
      <c r="G566">
        <v>1546</v>
      </c>
      <c r="H566" t="s">
        <v>96</v>
      </c>
      <c r="I566" t="s">
        <v>100</v>
      </c>
      <c r="J566">
        <v>4</v>
      </c>
      <c r="K566" t="s">
        <v>88</v>
      </c>
      <c r="L566" t="s">
        <v>103</v>
      </c>
      <c r="M566">
        <v>4</v>
      </c>
      <c r="N566" t="s">
        <v>111</v>
      </c>
      <c r="O566">
        <v>24</v>
      </c>
      <c r="P566" t="s">
        <v>122</v>
      </c>
      <c r="Q566" t="s">
        <v>112</v>
      </c>
      <c r="R566">
        <v>1</v>
      </c>
      <c r="S566" t="s">
        <v>101</v>
      </c>
      <c r="T566">
        <v>1</v>
      </c>
      <c r="U566" t="s">
        <v>89</v>
      </c>
      <c r="V566" t="s">
        <v>94</v>
      </c>
      <c r="W566">
        <v>2</v>
      </c>
      <c r="X566">
        <v>1</v>
      </c>
    </row>
    <row r="567" spans="2:24" x14ac:dyDescent="0.3">
      <c r="B567">
        <v>563</v>
      </c>
      <c r="C567" t="s">
        <v>11</v>
      </c>
      <c r="D567">
        <v>6</v>
      </c>
      <c r="E567" t="s">
        <v>106</v>
      </c>
      <c r="F567" t="s">
        <v>85</v>
      </c>
      <c r="G567">
        <v>683</v>
      </c>
      <c r="H567" t="s">
        <v>96</v>
      </c>
      <c r="I567" t="s">
        <v>118</v>
      </c>
      <c r="J567">
        <v>2</v>
      </c>
      <c r="K567" t="s">
        <v>98</v>
      </c>
      <c r="L567" t="s">
        <v>89</v>
      </c>
      <c r="M567">
        <v>1</v>
      </c>
      <c r="N567" t="s">
        <v>104</v>
      </c>
      <c r="O567">
        <v>29</v>
      </c>
      <c r="P567" t="s">
        <v>122</v>
      </c>
      <c r="Q567" t="s">
        <v>91</v>
      </c>
      <c r="R567">
        <v>1</v>
      </c>
      <c r="S567" t="s">
        <v>92</v>
      </c>
      <c r="T567">
        <v>1</v>
      </c>
      <c r="U567" t="s">
        <v>89</v>
      </c>
      <c r="V567" t="s">
        <v>94</v>
      </c>
      <c r="W567">
        <v>1</v>
      </c>
      <c r="X567">
        <v>0</v>
      </c>
    </row>
    <row r="568" spans="2:24" x14ac:dyDescent="0.3">
      <c r="B568">
        <v>564</v>
      </c>
      <c r="C568" t="s">
        <v>10</v>
      </c>
      <c r="D568">
        <v>36</v>
      </c>
      <c r="E568" t="s">
        <v>95</v>
      </c>
      <c r="F568" t="s">
        <v>107</v>
      </c>
      <c r="G568">
        <v>12389</v>
      </c>
      <c r="H568" t="s">
        <v>86</v>
      </c>
      <c r="I568" t="s">
        <v>97</v>
      </c>
      <c r="J568">
        <v>1</v>
      </c>
      <c r="K568" t="s">
        <v>88</v>
      </c>
      <c r="L568" t="s">
        <v>89</v>
      </c>
      <c r="M568">
        <v>4</v>
      </c>
      <c r="N568" t="s">
        <v>108</v>
      </c>
      <c r="O568">
        <v>37</v>
      </c>
      <c r="P568" t="s">
        <v>89</v>
      </c>
      <c r="Q568" t="s">
        <v>105</v>
      </c>
      <c r="R568">
        <v>1</v>
      </c>
      <c r="S568" t="s">
        <v>92</v>
      </c>
      <c r="T568">
        <v>1</v>
      </c>
      <c r="U568" t="s">
        <v>93</v>
      </c>
      <c r="V568" t="s">
        <v>94</v>
      </c>
      <c r="W568">
        <v>2</v>
      </c>
      <c r="X568">
        <v>1</v>
      </c>
    </row>
    <row r="569" spans="2:24" x14ac:dyDescent="0.3">
      <c r="B569">
        <v>565</v>
      </c>
      <c r="C569" t="s">
        <v>10</v>
      </c>
      <c r="D569">
        <v>24</v>
      </c>
      <c r="E569" t="s">
        <v>106</v>
      </c>
      <c r="F569" t="s">
        <v>119</v>
      </c>
      <c r="G569">
        <v>4712</v>
      </c>
      <c r="H569" t="s">
        <v>86</v>
      </c>
      <c r="I569" t="s">
        <v>97</v>
      </c>
      <c r="J569">
        <v>4</v>
      </c>
      <c r="K569" t="s">
        <v>88</v>
      </c>
      <c r="L569" t="s">
        <v>89</v>
      </c>
      <c r="M569">
        <v>2</v>
      </c>
      <c r="N569" t="s">
        <v>104</v>
      </c>
      <c r="O569">
        <v>37</v>
      </c>
      <c r="P569" t="s">
        <v>122</v>
      </c>
      <c r="Q569" t="s">
        <v>91</v>
      </c>
      <c r="R569">
        <v>2</v>
      </c>
      <c r="S569" t="s">
        <v>113</v>
      </c>
      <c r="T569">
        <v>1</v>
      </c>
      <c r="U569" t="s">
        <v>93</v>
      </c>
      <c r="V569" t="s">
        <v>94</v>
      </c>
      <c r="W569">
        <v>1</v>
      </c>
      <c r="X569">
        <v>0</v>
      </c>
    </row>
    <row r="570" spans="2:24" x14ac:dyDescent="0.3">
      <c r="B570">
        <v>566</v>
      </c>
      <c r="C570" t="s">
        <v>10</v>
      </c>
      <c r="D570">
        <v>24</v>
      </c>
      <c r="E570" t="s">
        <v>106</v>
      </c>
      <c r="F570" t="s">
        <v>85</v>
      </c>
      <c r="G570">
        <v>1553</v>
      </c>
      <c r="H570" t="s">
        <v>120</v>
      </c>
      <c r="I570" t="s">
        <v>100</v>
      </c>
      <c r="J570">
        <v>3</v>
      </c>
      <c r="K570" t="s">
        <v>98</v>
      </c>
      <c r="L570" t="s">
        <v>89</v>
      </c>
      <c r="M570">
        <v>2</v>
      </c>
      <c r="N570" t="s">
        <v>104</v>
      </c>
      <c r="O570">
        <v>23</v>
      </c>
      <c r="P570" t="s">
        <v>89</v>
      </c>
      <c r="Q570" t="s">
        <v>112</v>
      </c>
      <c r="R570">
        <v>2</v>
      </c>
      <c r="S570" t="s">
        <v>92</v>
      </c>
      <c r="T570">
        <v>1</v>
      </c>
      <c r="U570" t="s">
        <v>93</v>
      </c>
      <c r="V570" t="s">
        <v>94</v>
      </c>
      <c r="W570">
        <v>1</v>
      </c>
      <c r="X570">
        <v>0</v>
      </c>
    </row>
    <row r="571" spans="2:24" x14ac:dyDescent="0.3">
      <c r="B571">
        <v>567</v>
      </c>
      <c r="C571" t="s">
        <v>8</v>
      </c>
      <c r="D571">
        <v>12</v>
      </c>
      <c r="E571" t="s">
        <v>95</v>
      </c>
      <c r="F571" t="s">
        <v>107</v>
      </c>
      <c r="G571">
        <v>1372</v>
      </c>
      <c r="H571" t="s">
        <v>96</v>
      </c>
      <c r="I571" t="s">
        <v>100</v>
      </c>
      <c r="J571">
        <v>2</v>
      </c>
      <c r="K571" t="s">
        <v>115</v>
      </c>
      <c r="L571" t="s">
        <v>89</v>
      </c>
      <c r="M571">
        <v>3</v>
      </c>
      <c r="N571" t="s">
        <v>111</v>
      </c>
      <c r="O571">
        <v>36</v>
      </c>
      <c r="P571" t="s">
        <v>89</v>
      </c>
      <c r="Q571" t="s">
        <v>91</v>
      </c>
      <c r="R571">
        <v>1</v>
      </c>
      <c r="S571" t="s">
        <v>92</v>
      </c>
      <c r="T571">
        <v>1</v>
      </c>
      <c r="U571" t="s">
        <v>89</v>
      </c>
      <c r="V571" t="s">
        <v>94</v>
      </c>
      <c r="W571">
        <v>2</v>
      </c>
      <c r="X571">
        <v>1</v>
      </c>
    </row>
    <row r="572" spans="2:24" x14ac:dyDescent="0.3">
      <c r="B572">
        <v>568</v>
      </c>
      <c r="C572" t="s">
        <v>12</v>
      </c>
      <c r="D572">
        <v>24</v>
      </c>
      <c r="E572" t="s">
        <v>84</v>
      </c>
      <c r="F572" t="s">
        <v>85</v>
      </c>
      <c r="G572">
        <v>2578</v>
      </c>
      <c r="H572" t="s">
        <v>114</v>
      </c>
      <c r="I572" t="s">
        <v>87</v>
      </c>
      <c r="J572">
        <v>2</v>
      </c>
      <c r="K572" t="s">
        <v>88</v>
      </c>
      <c r="L572" t="s">
        <v>89</v>
      </c>
      <c r="M572">
        <v>2</v>
      </c>
      <c r="N572" t="s">
        <v>111</v>
      </c>
      <c r="O572">
        <v>34</v>
      </c>
      <c r="P572" t="s">
        <v>89</v>
      </c>
      <c r="Q572" t="s">
        <v>91</v>
      </c>
      <c r="R572">
        <v>1</v>
      </c>
      <c r="S572" t="s">
        <v>92</v>
      </c>
      <c r="T572">
        <v>1</v>
      </c>
      <c r="U572" t="s">
        <v>89</v>
      </c>
      <c r="V572" t="s">
        <v>94</v>
      </c>
      <c r="W572">
        <v>1</v>
      </c>
      <c r="X572">
        <v>0</v>
      </c>
    </row>
    <row r="573" spans="2:24" x14ac:dyDescent="0.3">
      <c r="B573">
        <v>569</v>
      </c>
      <c r="C573" t="s">
        <v>10</v>
      </c>
      <c r="D573">
        <v>48</v>
      </c>
      <c r="E573" t="s">
        <v>95</v>
      </c>
      <c r="F573" t="s">
        <v>85</v>
      </c>
      <c r="G573">
        <v>3979</v>
      </c>
      <c r="H573" t="s">
        <v>86</v>
      </c>
      <c r="I573" t="s">
        <v>100</v>
      </c>
      <c r="J573">
        <v>4</v>
      </c>
      <c r="K573" t="s">
        <v>88</v>
      </c>
      <c r="L573" t="s">
        <v>89</v>
      </c>
      <c r="M573">
        <v>1</v>
      </c>
      <c r="N573" t="s">
        <v>111</v>
      </c>
      <c r="O573">
        <v>41</v>
      </c>
      <c r="P573" t="s">
        <v>89</v>
      </c>
      <c r="Q573" t="s">
        <v>91</v>
      </c>
      <c r="R573">
        <v>2</v>
      </c>
      <c r="S573" t="s">
        <v>92</v>
      </c>
      <c r="T573">
        <v>2</v>
      </c>
      <c r="U573" t="s">
        <v>93</v>
      </c>
      <c r="V573" t="s">
        <v>94</v>
      </c>
      <c r="W573">
        <v>1</v>
      </c>
      <c r="X573">
        <v>0</v>
      </c>
    </row>
    <row r="574" spans="2:24" x14ac:dyDescent="0.3">
      <c r="B574">
        <v>570</v>
      </c>
      <c r="C574" t="s">
        <v>8</v>
      </c>
      <c r="D574">
        <v>48</v>
      </c>
      <c r="E574" t="s">
        <v>95</v>
      </c>
      <c r="F574" t="s">
        <v>85</v>
      </c>
      <c r="G574">
        <v>6758</v>
      </c>
      <c r="H574" t="s">
        <v>96</v>
      </c>
      <c r="I574" t="s">
        <v>97</v>
      </c>
      <c r="J574">
        <v>3</v>
      </c>
      <c r="K574" t="s">
        <v>98</v>
      </c>
      <c r="L574" t="s">
        <v>89</v>
      </c>
      <c r="M574">
        <v>2</v>
      </c>
      <c r="N574" t="s">
        <v>111</v>
      </c>
      <c r="O574">
        <v>31</v>
      </c>
      <c r="P574" t="s">
        <v>89</v>
      </c>
      <c r="Q574" t="s">
        <v>91</v>
      </c>
      <c r="R574">
        <v>1</v>
      </c>
      <c r="S574" t="s">
        <v>92</v>
      </c>
      <c r="T574">
        <v>1</v>
      </c>
      <c r="U574" t="s">
        <v>93</v>
      </c>
      <c r="V574" t="s">
        <v>94</v>
      </c>
      <c r="W574">
        <v>2</v>
      </c>
      <c r="X574">
        <v>1</v>
      </c>
    </row>
    <row r="575" spans="2:24" x14ac:dyDescent="0.3">
      <c r="B575">
        <v>571</v>
      </c>
      <c r="C575" t="s">
        <v>8</v>
      </c>
      <c r="D575">
        <v>24</v>
      </c>
      <c r="E575" t="s">
        <v>95</v>
      </c>
      <c r="F575" t="s">
        <v>102</v>
      </c>
      <c r="G575">
        <v>3234</v>
      </c>
      <c r="H575" t="s">
        <v>96</v>
      </c>
      <c r="I575" t="s">
        <v>118</v>
      </c>
      <c r="J575">
        <v>4</v>
      </c>
      <c r="K575" t="s">
        <v>98</v>
      </c>
      <c r="L575" t="s">
        <v>89</v>
      </c>
      <c r="M575">
        <v>4</v>
      </c>
      <c r="N575" t="s">
        <v>90</v>
      </c>
      <c r="O575">
        <v>23</v>
      </c>
      <c r="P575" t="s">
        <v>89</v>
      </c>
      <c r="Q575" t="s">
        <v>112</v>
      </c>
      <c r="R575">
        <v>1</v>
      </c>
      <c r="S575" t="s">
        <v>101</v>
      </c>
      <c r="T575">
        <v>1</v>
      </c>
      <c r="U575" t="s">
        <v>93</v>
      </c>
      <c r="V575" t="s">
        <v>94</v>
      </c>
      <c r="W575">
        <v>2</v>
      </c>
      <c r="X575">
        <v>1</v>
      </c>
    </row>
    <row r="576" spans="2:24" x14ac:dyDescent="0.3">
      <c r="B576">
        <v>572</v>
      </c>
      <c r="C576" t="s">
        <v>12</v>
      </c>
      <c r="D576">
        <v>30</v>
      </c>
      <c r="E576" t="s">
        <v>84</v>
      </c>
      <c r="F576" t="s">
        <v>85</v>
      </c>
      <c r="G576">
        <v>5954</v>
      </c>
      <c r="H576" t="s">
        <v>96</v>
      </c>
      <c r="I576" t="s">
        <v>100</v>
      </c>
      <c r="J576">
        <v>3</v>
      </c>
      <c r="K576" t="s">
        <v>88</v>
      </c>
      <c r="L576" t="s">
        <v>126</v>
      </c>
      <c r="M576">
        <v>2</v>
      </c>
      <c r="N576" t="s">
        <v>111</v>
      </c>
      <c r="O576">
        <v>38</v>
      </c>
      <c r="P576" t="s">
        <v>89</v>
      </c>
      <c r="Q576" t="s">
        <v>91</v>
      </c>
      <c r="R576">
        <v>1</v>
      </c>
      <c r="S576" t="s">
        <v>92</v>
      </c>
      <c r="T576">
        <v>1</v>
      </c>
      <c r="U576" t="s">
        <v>89</v>
      </c>
      <c r="V576" t="s">
        <v>94</v>
      </c>
      <c r="W576">
        <v>1</v>
      </c>
      <c r="X576">
        <v>0</v>
      </c>
    </row>
    <row r="577" spans="2:24" x14ac:dyDescent="0.3">
      <c r="B577">
        <v>573</v>
      </c>
      <c r="C577" t="s">
        <v>12</v>
      </c>
      <c r="D577">
        <v>24</v>
      </c>
      <c r="E577" t="s">
        <v>95</v>
      </c>
      <c r="F577" t="s">
        <v>110</v>
      </c>
      <c r="G577">
        <v>5433</v>
      </c>
      <c r="H577" t="s">
        <v>86</v>
      </c>
      <c r="I577" t="s">
        <v>116</v>
      </c>
      <c r="J577">
        <v>2</v>
      </c>
      <c r="K577" t="s">
        <v>98</v>
      </c>
      <c r="L577" t="s">
        <v>89</v>
      </c>
      <c r="M577">
        <v>4</v>
      </c>
      <c r="N577" t="s">
        <v>104</v>
      </c>
      <c r="O577">
        <v>26</v>
      </c>
      <c r="P577" t="s">
        <v>89</v>
      </c>
      <c r="Q577" t="s">
        <v>112</v>
      </c>
      <c r="R577">
        <v>1</v>
      </c>
      <c r="S577" t="s">
        <v>113</v>
      </c>
      <c r="T577">
        <v>1</v>
      </c>
      <c r="U577" t="s">
        <v>93</v>
      </c>
      <c r="V577" t="s">
        <v>94</v>
      </c>
      <c r="W577">
        <v>1</v>
      </c>
      <c r="X577">
        <v>0</v>
      </c>
    </row>
    <row r="578" spans="2:24" x14ac:dyDescent="0.3">
      <c r="B578">
        <v>574</v>
      </c>
      <c r="C578" t="s">
        <v>8</v>
      </c>
      <c r="D578">
        <v>15</v>
      </c>
      <c r="E578" t="s">
        <v>95</v>
      </c>
      <c r="F578" t="s">
        <v>119</v>
      </c>
      <c r="G578">
        <v>806</v>
      </c>
      <c r="H578" t="s">
        <v>96</v>
      </c>
      <c r="I578" t="s">
        <v>97</v>
      </c>
      <c r="J578">
        <v>4</v>
      </c>
      <c r="K578" t="s">
        <v>98</v>
      </c>
      <c r="L578" t="s">
        <v>89</v>
      </c>
      <c r="M578">
        <v>4</v>
      </c>
      <c r="N578" t="s">
        <v>104</v>
      </c>
      <c r="O578">
        <v>22</v>
      </c>
      <c r="P578" t="s">
        <v>89</v>
      </c>
      <c r="Q578" t="s">
        <v>91</v>
      </c>
      <c r="R578">
        <v>1</v>
      </c>
      <c r="S578" t="s">
        <v>101</v>
      </c>
      <c r="T578">
        <v>1</v>
      </c>
      <c r="U578" t="s">
        <v>89</v>
      </c>
      <c r="V578" t="s">
        <v>94</v>
      </c>
      <c r="W578">
        <v>1</v>
      </c>
      <c r="X578">
        <v>0</v>
      </c>
    </row>
    <row r="579" spans="2:24" x14ac:dyDescent="0.3">
      <c r="B579">
        <v>575</v>
      </c>
      <c r="C579" t="s">
        <v>10</v>
      </c>
      <c r="D579">
        <v>9</v>
      </c>
      <c r="E579" t="s">
        <v>95</v>
      </c>
      <c r="F579" t="s">
        <v>85</v>
      </c>
      <c r="G579">
        <v>1082</v>
      </c>
      <c r="H579" t="s">
        <v>96</v>
      </c>
      <c r="I579" t="s">
        <v>87</v>
      </c>
      <c r="J579">
        <v>4</v>
      </c>
      <c r="K579" t="s">
        <v>88</v>
      </c>
      <c r="L579" t="s">
        <v>89</v>
      </c>
      <c r="M579">
        <v>4</v>
      </c>
      <c r="N579" t="s">
        <v>111</v>
      </c>
      <c r="O579">
        <v>27</v>
      </c>
      <c r="P579" t="s">
        <v>89</v>
      </c>
      <c r="Q579" t="s">
        <v>91</v>
      </c>
      <c r="R579">
        <v>2</v>
      </c>
      <c r="S579" t="s">
        <v>101</v>
      </c>
      <c r="T579">
        <v>1</v>
      </c>
      <c r="U579" t="s">
        <v>89</v>
      </c>
      <c r="V579" t="s">
        <v>94</v>
      </c>
      <c r="W579">
        <v>1</v>
      </c>
      <c r="X579">
        <v>0</v>
      </c>
    </row>
    <row r="580" spans="2:24" x14ac:dyDescent="0.3">
      <c r="B580">
        <v>576</v>
      </c>
      <c r="C580" t="s">
        <v>12</v>
      </c>
      <c r="D580">
        <v>15</v>
      </c>
      <c r="E580" t="s">
        <v>84</v>
      </c>
      <c r="F580" t="s">
        <v>102</v>
      </c>
      <c r="G580">
        <v>2788</v>
      </c>
      <c r="H580" t="s">
        <v>96</v>
      </c>
      <c r="I580" t="s">
        <v>100</v>
      </c>
      <c r="J580">
        <v>2</v>
      </c>
      <c r="K580" t="s">
        <v>98</v>
      </c>
      <c r="L580" t="s">
        <v>126</v>
      </c>
      <c r="M580">
        <v>3</v>
      </c>
      <c r="N580" t="s">
        <v>111</v>
      </c>
      <c r="O580">
        <v>24</v>
      </c>
      <c r="P580" t="s">
        <v>122</v>
      </c>
      <c r="Q580" t="s">
        <v>91</v>
      </c>
      <c r="R580">
        <v>2</v>
      </c>
      <c r="S580" t="s">
        <v>92</v>
      </c>
      <c r="T580">
        <v>1</v>
      </c>
      <c r="U580" t="s">
        <v>89</v>
      </c>
      <c r="V580" t="s">
        <v>94</v>
      </c>
      <c r="W580">
        <v>1</v>
      </c>
      <c r="X580">
        <v>0</v>
      </c>
    </row>
    <row r="581" spans="2:24" x14ac:dyDescent="0.3">
      <c r="B581">
        <v>577</v>
      </c>
      <c r="C581" t="s">
        <v>10</v>
      </c>
      <c r="D581">
        <v>12</v>
      </c>
      <c r="E581" t="s">
        <v>95</v>
      </c>
      <c r="F581" t="s">
        <v>85</v>
      </c>
      <c r="G581">
        <v>2930</v>
      </c>
      <c r="H581" t="s">
        <v>96</v>
      </c>
      <c r="I581" t="s">
        <v>100</v>
      </c>
      <c r="J581">
        <v>2</v>
      </c>
      <c r="K581" t="s">
        <v>98</v>
      </c>
      <c r="L581" t="s">
        <v>89</v>
      </c>
      <c r="M581">
        <v>1</v>
      </c>
      <c r="N581" t="s">
        <v>90</v>
      </c>
      <c r="O581">
        <v>27</v>
      </c>
      <c r="P581" t="s">
        <v>89</v>
      </c>
      <c r="Q581" t="s">
        <v>91</v>
      </c>
      <c r="R581">
        <v>1</v>
      </c>
      <c r="S581" t="s">
        <v>92</v>
      </c>
      <c r="T581">
        <v>1</v>
      </c>
      <c r="U581" t="s">
        <v>89</v>
      </c>
      <c r="V581" t="s">
        <v>94</v>
      </c>
      <c r="W581">
        <v>1</v>
      </c>
      <c r="X581">
        <v>0</v>
      </c>
    </row>
    <row r="582" spans="2:24" x14ac:dyDescent="0.3">
      <c r="B582">
        <v>578</v>
      </c>
      <c r="C582" t="s">
        <v>12</v>
      </c>
      <c r="D582">
        <v>24</v>
      </c>
      <c r="E582" t="s">
        <v>84</v>
      </c>
      <c r="F582" t="s">
        <v>99</v>
      </c>
      <c r="G582">
        <v>1927</v>
      </c>
      <c r="H582" t="s">
        <v>86</v>
      </c>
      <c r="I582" t="s">
        <v>97</v>
      </c>
      <c r="J582">
        <v>3</v>
      </c>
      <c r="K582" t="s">
        <v>98</v>
      </c>
      <c r="L582" t="s">
        <v>89</v>
      </c>
      <c r="M582">
        <v>2</v>
      </c>
      <c r="N582" t="s">
        <v>111</v>
      </c>
      <c r="O582">
        <v>33</v>
      </c>
      <c r="P582" t="s">
        <v>89</v>
      </c>
      <c r="Q582" t="s">
        <v>91</v>
      </c>
      <c r="R582">
        <v>2</v>
      </c>
      <c r="S582" t="s">
        <v>92</v>
      </c>
      <c r="T582">
        <v>1</v>
      </c>
      <c r="U582" t="s">
        <v>93</v>
      </c>
      <c r="V582" t="s">
        <v>94</v>
      </c>
      <c r="W582">
        <v>1</v>
      </c>
      <c r="X582">
        <v>0</v>
      </c>
    </row>
    <row r="583" spans="2:24" x14ac:dyDescent="0.3">
      <c r="B583">
        <v>579</v>
      </c>
      <c r="C583" t="s">
        <v>10</v>
      </c>
      <c r="D583">
        <v>36</v>
      </c>
      <c r="E583" t="s">
        <v>84</v>
      </c>
      <c r="F583" t="s">
        <v>107</v>
      </c>
      <c r="G583">
        <v>2820</v>
      </c>
      <c r="H583" t="s">
        <v>96</v>
      </c>
      <c r="I583" t="s">
        <v>118</v>
      </c>
      <c r="J583">
        <v>4</v>
      </c>
      <c r="K583" t="s">
        <v>115</v>
      </c>
      <c r="L583" t="s">
        <v>89</v>
      </c>
      <c r="M583">
        <v>4</v>
      </c>
      <c r="N583" t="s">
        <v>111</v>
      </c>
      <c r="O583">
        <v>27</v>
      </c>
      <c r="P583" t="s">
        <v>89</v>
      </c>
      <c r="Q583" t="s">
        <v>91</v>
      </c>
      <c r="R583">
        <v>2</v>
      </c>
      <c r="S583" t="s">
        <v>92</v>
      </c>
      <c r="T583">
        <v>1</v>
      </c>
      <c r="U583" t="s">
        <v>89</v>
      </c>
      <c r="V583" t="s">
        <v>94</v>
      </c>
      <c r="W583">
        <v>2</v>
      </c>
      <c r="X583">
        <v>1</v>
      </c>
    </row>
    <row r="584" spans="2:24" x14ac:dyDescent="0.3">
      <c r="B584">
        <v>580</v>
      </c>
      <c r="C584" t="s">
        <v>12</v>
      </c>
      <c r="D584">
        <v>24</v>
      </c>
      <c r="E584" t="s">
        <v>95</v>
      </c>
      <c r="F584" t="s">
        <v>131</v>
      </c>
      <c r="G584">
        <v>937</v>
      </c>
      <c r="H584" t="s">
        <v>96</v>
      </c>
      <c r="I584" t="s">
        <v>118</v>
      </c>
      <c r="J584">
        <v>4</v>
      </c>
      <c r="K584" t="s">
        <v>117</v>
      </c>
      <c r="L584" t="s">
        <v>89</v>
      </c>
      <c r="M584">
        <v>3</v>
      </c>
      <c r="N584" t="s">
        <v>111</v>
      </c>
      <c r="O584">
        <v>27</v>
      </c>
      <c r="P584" t="s">
        <v>89</v>
      </c>
      <c r="Q584" t="s">
        <v>91</v>
      </c>
      <c r="R584">
        <v>2</v>
      </c>
      <c r="S584" t="s">
        <v>101</v>
      </c>
      <c r="T584">
        <v>1</v>
      </c>
      <c r="U584" t="s">
        <v>89</v>
      </c>
      <c r="V584" t="s">
        <v>94</v>
      </c>
      <c r="W584">
        <v>1</v>
      </c>
      <c r="X584">
        <v>0</v>
      </c>
    </row>
    <row r="585" spans="2:24" x14ac:dyDescent="0.3">
      <c r="B585">
        <v>581</v>
      </c>
      <c r="C585" t="s">
        <v>10</v>
      </c>
      <c r="D585">
        <v>18</v>
      </c>
      <c r="E585" t="s">
        <v>84</v>
      </c>
      <c r="F585" t="s">
        <v>107</v>
      </c>
      <c r="G585">
        <v>1056</v>
      </c>
      <c r="H585" t="s">
        <v>96</v>
      </c>
      <c r="I585" t="s">
        <v>87</v>
      </c>
      <c r="J585">
        <v>3</v>
      </c>
      <c r="K585" t="s">
        <v>88</v>
      </c>
      <c r="L585" t="s">
        <v>103</v>
      </c>
      <c r="M585">
        <v>3</v>
      </c>
      <c r="N585" t="s">
        <v>90</v>
      </c>
      <c r="O585">
        <v>30</v>
      </c>
      <c r="P585" t="s">
        <v>122</v>
      </c>
      <c r="Q585" t="s">
        <v>91</v>
      </c>
      <c r="R585">
        <v>2</v>
      </c>
      <c r="S585" t="s">
        <v>92</v>
      </c>
      <c r="T585">
        <v>1</v>
      </c>
      <c r="U585" t="s">
        <v>89</v>
      </c>
      <c r="V585" t="s">
        <v>94</v>
      </c>
      <c r="W585">
        <v>2</v>
      </c>
      <c r="X585">
        <v>1</v>
      </c>
    </row>
    <row r="586" spans="2:24" x14ac:dyDescent="0.3">
      <c r="B586">
        <v>582</v>
      </c>
      <c r="C586" t="s">
        <v>10</v>
      </c>
      <c r="D586">
        <v>12</v>
      </c>
      <c r="E586" t="s">
        <v>84</v>
      </c>
      <c r="F586" t="s">
        <v>107</v>
      </c>
      <c r="G586">
        <v>3124</v>
      </c>
      <c r="H586" t="s">
        <v>96</v>
      </c>
      <c r="I586" t="s">
        <v>118</v>
      </c>
      <c r="J586">
        <v>1</v>
      </c>
      <c r="K586" t="s">
        <v>88</v>
      </c>
      <c r="L586" t="s">
        <v>89</v>
      </c>
      <c r="M586">
        <v>3</v>
      </c>
      <c r="N586" t="s">
        <v>90</v>
      </c>
      <c r="O586">
        <v>49</v>
      </c>
      <c r="P586" t="s">
        <v>122</v>
      </c>
      <c r="Q586" t="s">
        <v>91</v>
      </c>
      <c r="R586">
        <v>2</v>
      </c>
      <c r="S586" t="s">
        <v>101</v>
      </c>
      <c r="T586">
        <v>2</v>
      </c>
      <c r="U586" t="s">
        <v>89</v>
      </c>
      <c r="V586" t="s">
        <v>94</v>
      </c>
      <c r="W586">
        <v>1</v>
      </c>
      <c r="X586">
        <v>0</v>
      </c>
    </row>
    <row r="587" spans="2:24" x14ac:dyDescent="0.3">
      <c r="B587">
        <v>583</v>
      </c>
      <c r="C587" t="s">
        <v>12</v>
      </c>
      <c r="D587">
        <v>9</v>
      </c>
      <c r="E587" t="s">
        <v>95</v>
      </c>
      <c r="F587" t="s">
        <v>102</v>
      </c>
      <c r="G587">
        <v>1388</v>
      </c>
      <c r="H587" t="s">
        <v>96</v>
      </c>
      <c r="I587" t="s">
        <v>97</v>
      </c>
      <c r="J587">
        <v>4</v>
      </c>
      <c r="K587" t="s">
        <v>98</v>
      </c>
      <c r="L587" t="s">
        <v>89</v>
      </c>
      <c r="M587">
        <v>2</v>
      </c>
      <c r="N587" t="s">
        <v>90</v>
      </c>
      <c r="O587">
        <v>26</v>
      </c>
      <c r="P587" t="s">
        <v>89</v>
      </c>
      <c r="Q587" t="s">
        <v>112</v>
      </c>
      <c r="R587">
        <v>1</v>
      </c>
      <c r="S587" t="s">
        <v>92</v>
      </c>
      <c r="T587">
        <v>1</v>
      </c>
      <c r="U587" t="s">
        <v>89</v>
      </c>
      <c r="V587" t="s">
        <v>94</v>
      </c>
      <c r="W587">
        <v>1</v>
      </c>
      <c r="X587">
        <v>0</v>
      </c>
    </row>
    <row r="588" spans="2:24" x14ac:dyDescent="0.3">
      <c r="B588">
        <v>584</v>
      </c>
      <c r="C588" t="s">
        <v>10</v>
      </c>
      <c r="D588">
        <v>36</v>
      </c>
      <c r="E588" t="s">
        <v>95</v>
      </c>
      <c r="F588" t="s">
        <v>128</v>
      </c>
      <c r="G588">
        <v>2384</v>
      </c>
      <c r="H588" t="s">
        <v>96</v>
      </c>
      <c r="I588" t="s">
        <v>118</v>
      </c>
      <c r="J588">
        <v>4</v>
      </c>
      <c r="K588" t="s">
        <v>88</v>
      </c>
      <c r="L588" t="s">
        <v>89</v>
      </c>
      <c r="M588">
        <v>1</v>
      </c>
      <c r="N588" t="s">
        <v>108</v>
      </c>
      <c r="O588">
        <v>33</v>
      </c>
      <c r="P588" t="s">
        <v>89</v>
      </c>
      <c r="Q588" t="s">
        <v>112</v>
      </c>
      <c r="R588">
        <v>1</v>
      </c>
      <c r="S588" t="s">
        <v>101</v>
      </c>
      <c r="T588">
        <v>1</v>
      </c>
      <c r="U588" t="s">
        <v>89</v>
      </c>
      <c r="V588" t="s">
        <v>94</v>
      </c>
      <c r="W588">
        <v>2</v>
      </c>
      <c r="X588">
        <v>1</v>
      </c>
    </row>
    <row r="589" spans="2:24" x14ac:dyDescent="0.3">
      <c r="B589">
        <v>585</v>
      </c>
      <c r="C589" t="s">
        <v>12</v>
      </c>
      <c r="D589">
        <v>12</v>
      </c>
      <c r="E589" t="s">
        <v>95</v>
      </c>
      <c r="F589" t="s">
        <v>107</v>
      </c>
      <c r="G589">
        <v>2133</v>
      </c>
      <c r="H589" t="s">
        <v>86</v>
      </c>
      <c r="I589" t="s">
        <v>87</v>
      </c>
      <c r="J589">
        <v>4</v>
      </c>
      <c r="K589" t="s">
        <v>98</v>
      </c>
      <c r="L589" t="s">
        <v>89</v>
      </c>
      <c r="M589">
        <v>4</v>
      </c>
      <c r="N589" t="s">
        <v>108</v>
      </c>
      <c r="O589">
        <v>52</v>
      </c>
      <c r="P589" t="s">
        <v>89</v>
      </c>
      <c r="Q589" t="s">
        <v>105</v>
      </c>
      <c r="R589">
        <v>1</v>
      </c>
      <c r="S589" t="s">
        <v>113</v>
      </c>
      <c r="T589">
        <v>1</v>
      </c>
      <c r="U589" t="s">
        <v>93</v>
      </c>
      <c r="V589" t="s">
        <v>94</v>
      </c>
      <c r="W589">
        <v>1</v>
      </c>
      <c r="X589">
        <v>0</v>
      </c>
    </row>
    <row r="590" spans="2:24" x14ac:dyDescent="0.3">
      <c r="B590">
        <v>586</v>
      </c>
      <c r="C590" t="s">
        <v>8</v>
      </c>
      <c r="D590">
        <v>18</v>
      </c>
      <c r="E590" t="s">
        <v>95</v>
      </c>
      <c r="F590" t="s">
        <v>102</v>
      </c>
      <c r="G590">
        <v>2039</v>
      </c>
      <c r="H590" t="s">
        <v>96</v>
      </c>
      <c r="I590" t="s">
        <v>97</v>
      </c>
      <c r="J590">
        <v>1</v>
      </c>
      <c r="K590" t="s">
        <v>98</v>
      </c>
      <c r="L590" t="s">
        <v>89</v>
      </c>
      <c r="M590">
        <v>4</v>
      </c>
      <c r="N590" t="s">
        <v>90</v>
      </c>
      <c r="O590">
        <v>20</v>
      </c>
      <c r="P590" t="s">
        <v>122</v>
      </c>
      <c r="Q590" t="s">
        <v>112</v>
      </c>
      <c r="R590">
        <v>1</v>
      </c>
      <c r="S590" t="s">
        <v>92</v>
      </c>
      <c r="T590">
        <v>1</v>
      </c>
      <c r="U590" t="s">
        <v>89</v>
      </c>
      <c r="V590" t="s">
        <v>94</v>
      </c>
      <c r="W590">
        <v>2</v>
      </c>
      <c r="X590">
        <v>1</v>
      </c>
    </row>
    <row r="591" spans="2:24" x14ac:dyDescent="0.3">
      <c r="B591">
        <v>587</v>
      </c>
      <c r="C591" t="s">
        <v>8</v>
      </c>
      <c r="D591">
        <v>9</v>
      </c>
      <c r="E591" t="s">
        <v>84</v>
      </c>
      <c r="F591" t="s">
        <v>107</v>
      </c>
      <c r="G591">
        <v>2799</v>
      </c>
      <c r="H591" t="s">
        <v>96</v>
      </c>
      <c r="I591" t="s">
        <v>97</v>
      </c>
      <c r="J591">
        <v>2</v>
      </c>
      <c r="K591" t="s">
        <v>88</v>
      </c>
      <c r="L591" t="s">
        <v>89</v>
      </c>
      <c r="M591">
        <v>2</v>
      </c>
      <c r="N591" t="s">
        <v>90</v>
      </c>
      <c r="O591">
        <v>36</v>
      </c>
      <c r="P591" t="s">
        <v>89</v>
      </c>
      <c r="Q591" t="s">
        <v>112</v>
      </c>
      <c r="R591">
        <v>2</v>
      </c>
      <c r="S591" t="s">
        <v>92</v>
      </c>
      <c r="T591">
        <v>2</v>
      </c>
      <c r="U591" t="s">
        <v>89</v>
      </c>
      <c r="V591" t="s">
        <v>94</v>
      </c>
      <c r="W591">
        <v>1</v>
      </c>
      <c r="X591">
        <v>0</v>
      </c>
    </row>
    <row r="592" spans="2:24" x14ac:dyDescent="0.3">
      <c r="B592">
        <v>588</v>
      </c>
      <c r="C592" t="s">
        <v>8</v>
      </c>
      <c r="D592">
        <v>12</v>
      </c>
      <c r="E592" t="s">
        <v>95</v>
      </c>
      <c r="F592" t="s">
        <v>102</v>
      </c>
      <c r="G592">
        <v>1289</v>
      </c>
      <c r="H592" t="s">
        <v>96</v>
      </c>
      <c r="I592" t="s">
        <v>97</v>
      </c>
      <c r="J592">
        <v>4</v>
      </c>
      <c r="K592" t="s">
        <v>88</v>
      </c>
      <c r="L592" t="s">
        <v>103</v>
      </c>
      <c r="M592">
        <v>1</v>
      </c>
      <c r="N592" t="s">
        <v>104</v>
      </c>
      <c r="O592">
        <v>21</v>
      </c>
      <c r="P592" t="s">
        <v>89</v>
      </c>
      <c r="Q592" t="s">
        <v>91</v>
      </c>
      <c r="R592">
        <v>1</v>
      </c>
      <c r="S592" t="s">
        <v>101</v>
      </c>
      <c r="T592">
        <v>1</v>
      </c>
      <c r="U592" t="s">
        <v>89</v>
      </c>
      <c r="V592" t="s">
        <v>94</v>
      </c>
      <c r="W592">
        <v>1</v>
      </c>
      <c r="X592">
        <v>0</v>
      </c>
    </row>
    <row r="593" spans="2:24" x14ac:dyDescent="0.3">
      <c r="B593">
        <v>589</v>
      </c>
      <c r="C593" t="s">
        <v>8</v>
      </c>
      <c r="D593">
        <v>18</v>
      </c>
      <c r="E593" t="s">
        <v>95</v>
      </c>
      <c r="F593" t="s">
        <v>127</v>
      </c>
      <c r="G593">
        <v>1217</v>
      </c>
      <c r="H593" t="s">
        <v>96</v>
      </c>
      <c r="I593" t="s">
        <v>97</v>
      </c>
      <c r="J593">
        <v>4</v>
      </c>
      <c r="K593" t="s">
        <v>117</v>
      </c>
      <c r="L593" t="s">
        <v>89</v>
      </c>
      <c r="M593">
        <v>3</v>
      </c>
      <c r="N593" t="s">
        <v>90</v>
      </c>
      <c r="O593">
        <v>47</v>
      </c>
      <c r="P593" t="s">
        <v>89</v>
      </c>
      <c r="Q593" t="s">
        <v>91</v>
      </c>
      <c r="R593">
        <v>1</v>
      </c>
      <c r="S593" t="s">
        <v>101</v>
      </c>
      <c r="T593">
        <v>1</v>
      </c>
      <c r="U593" t="s">
        <v>93</v>
      </c>
      <c r="V593" t="s">
        <v>94</v>
      </c>
      <c r="W593">
        <v>2</v>
      </c>
      <c r="X593">
        <v>1</v>
      </c>
    </row>
    <row r="594" spans="2:24" x14ac:dyDescent="0.3">
      <c r="B594">
        <v>590</v>
      </c>
      <c r="C594" t="s">
        <v>8</v>
      </c>
      <c r="D594">
        <v>12</v>
      </c>
      <c r="E594" t="s">
        <v>84</v>
      </c>
      <c r="F594" t="s">
        <v>102</v>
      </c>
      <c r="G594">
        <v>2246</v>
      </c>
      <c r="H594" t="s">
        <v>96</v>
      </c>
      <c r="I594" t="s">
        <v>87</v>
      </c>
      <c r="J594">
        <v>3</v>
      </c>
      <c r="K594" t="s">
        <v>88</v>
      </c>
      <c r="L594" t="s">
        <v>89</v>
      </c>
      <c r="M594">
        <v>3</v>
      </c>
      <c r="N594" t="s">
        <v>104</v>
      </c>
      <c r="O594">
        <v>60</v>
      </c>
      <c r="P594" t="s">
        <v>89</v>
      </c>
      <c r="Q594" t="s">
        <v>91</v>
      </c>
      <c r="R594">
        <v>2</v>
      </c>
      <c r="S594" t="s">
        <v>92</v>
      </c>
      <c r="T594">
        <v>1</v>
      </c>
      <c r="U594" t="s">
        <v>89</v>
      </c>
      <c r="V594" t="s">
        <v>94</v>
      </c>
      <c r="W594">
        <v>2</v>
      </c>
      <c r="X594">
        <v>1</v>
      </c>
    </row>
    <row r="595" spans="2:24" x14ac:dyDescent="0.3">
      <c r="B595">
        <v>591</v>
      </c>
      <c r="C595" t="s">
        <v>8</v>
      </c>
      <c r="D595">
        <v>12</v>
      </c>
      <c r="E595" t="s">
        <v>84</v>
      </c>
      <c r="F595" t="s">
        <v>85</v>
      </c>
      <c r="G595">
        <v>385</v>
      </c>
      <c r="H595" t="s">
        <v>96</v>
      </c>
      <c r="I595" t="s">
        <v>100</v>
      </c>
      <c r="J595">
        <v>4</v>
      </c>
      <c r="K595" t="s">
        <v>98</v>
      </c>
      <c r="L595" t="s">
        <v>89</v>
      </c>
      <c r="M595">
        <v>3</v>
      </c>
      <c r="N595" t="s">
        <v>90</v>
      </c>
      <c r="O595">
        <v>58</v>
      </c>
      <c r="P595" t="s">
        <v>89</v>
      </c>
      <c r="Q595" t="s">
        <v>91</v>
      </c>
      <c r="R595">
        <v>4</v>
      </c>
      <c r="S595" t="s">
        <v>101</v>
      </c>
      <c r="T595">
        <v>1</v>
      </c>
      <c r="U595" t="s">
        <v>93</v>
      </c>
      <c r="V595" t="s">
        <v>94</v>
      </c>
      <c r="W595">
        <v>1</v>
      </c>
      <c r="X595">
        <v>0</v>
      </c>
    </row>
    <row r="596" spans="2:24" x14ac:dyDescent="0.3">
      <c r="B596">
        <v>592</v>
      </c>
      <c r="C596" t="s">
        <v>10</v>
      </c>
      <c r="D596">
        <v>24</v>
      </c>
      <c r="E596" t="s">
        <v>106</v>
      </c>
      <c r="F596" t="s">
        <v>107</v>
      </c>
      <c r="G596">
        <v>1965</v>
      </c>
      <c r="H596" t="s">
        <v>86</v>
      </c>
      <c r="I596" t="s">
        <v>97</v>
      </c>
      <c r="J596">
        <v>4</v>
      </c>
      <c r="K596" t="s">
        <v>98</v>
      </c>
      <c r="L596" t="s">
        <v>89</v>
      </c>
      <c r="M596">
        <v>4</v>
      </c>
      <c r="N596" t="s">
        <v>111</v>
      </c>
      <c r="O596">
        <v>42</v>
      </c>
      <c r="P596" t="s">
        <v>89</v>
      </c>
      <c r="Q596" t="s">
        <v>112</v>
      </c>
      <c r="R596">
        <v>2</v>
      </c>
      <c r="S596" t="s">
        <v>92</v>
      </c>
      <c r="T596">
        <v>1</v>
      </c>
      <c r="U596" t="s">
        <v>93</v>
      </c>
      <c r="V596" t="s">
        <v>94</v>
      </c>
      <c r="W596">
        <v>1</v>
      </c>
      <c r="X596">
        <v>0</v>
      </c>
    </row>
    <row r="597" spans="2:24" x14ac:dyDescent="0.3">
      <c r="B597">
        <v>593</v>
      </c>
      <c r="C597" t="s">
        <v>12</v>
      </c>
      <c r="D597">
        <v>21</v>
      </c>
      <c r="E597" t="s">
        <v>95</v>
      </c>
      <c r="F597" t="s">
        <v>119</v>
      </c>
      <c r="G597">
        <v>1572</v>
      </c>
      <c r="H597" t="s">
        <v>114</v>
      </c>
      <c r="I597" t="s">
        <v>87</v>
      </c>
      <c r="J597">
        <v>4</v>
      </c>
      <c r="K597" t="s">
        <v>98</v>
      </c>
      <c r="L597" t="s">
        <v>89</v>
      </c>
      <c r="M597">
        <v>4</v>
      </c>
      <c r="N597" t="s">
        <v>90</v>
      </c>
      <c r="O597">
        <v>36</v>
      </c>
      <c r="P597" t="s">
        <v>122</v>
      </c>
      <c r="Q597" t="s">
        <v>91</v>
      </c>
      <c r="R597">
        <v>1</v>
      </c>
      <c r="S597" t="s">
        <v>101</v>
      </c>
      <c r="T597">
        <v>1</v>
      </c>
      <c r="U597" t="s">
        <v>89</v>
      </c>
      <c r="V597" t="s">
        <v>94</v>
      </c>
      <c r="W597">
        <v>1</v>
      </c>
      <c r="X597">
        <v>0</v>
      </c>
    </row>
    <row r="598" spans="2:24" x14ac:dyDescent="0.3">
      <c r="B598">
        <v>594</v>
      </c>
      <c r="C598" t="s">
        <v>10</v>
      </c>
      <c r="D598">
        <v>24</v>
      </c>
      <c r="E598" t="s">
        <v>95</v>
      </c>
      <c r="F598" t="s">
        <v>107</v>
      </c>
      <c r="G598">
        <v>2718</v>
      </c>
      <c r="H598" t="s">
        <v>96</v>
      </c>
      <c r="I598" t="s">
        <v>97</v>
      </c>
      <c r="J598">
        <v>3</v>
      </c>
      <c r="K598" t="s">
        <v>98</v>
      </c>
      <c r="L598" t="s">
        <v>89</v>
      </c>
      <c r="M598">
        <v>4</v>
      </c>
      <c r="N598" t="s">
        <v>104</v>
      </c>
      <c r="O598">
        <v>20</v>
      </c>
      <c r="P598" t="s">
        <v>89</v>
      </c>
      <c r="Q598" t="s">
        <v>112</v>
      </c>
      <c r="R598">
        <v>1</v>
      </c>
      <c r="S598" t="s">
        <v>101</v>
      </c>
      <c r="T598">
        <v>1</v>
      </c>
      <c r="U598" t="s">
        <v>93</v>
      </c>
      <c r="V598" t="s">
        <v>94</v>
      </c>
      <c r="W598">
        <v>2</v>
      </c>
      <c r="X598">
        <v>1</v>
      </c>
    </row>
    <row r="599" spans="2:24" x14ac:dyDescent="0.3">
      <c r="B599">
        <v>595</v>
      </c>
      <c r="C599" t="s">
        <v>8</v>
      </c>
      <c r="D599">
        <v>24</v>
      </c>
      <c r="E599" t="s">
        <v>124</v>
      </c>
      <c r="F599" t="s">
        <v>130</v>
      </c>
      <c r="G599">
        <v>1358</v>
      </c>
      <c r="H599" t="s">
        <v>86</v>
      </c>
      <c r="I599" t="s">
        <v>87</v>
      </c>
      <c r="J599">
        <v>4</v>
      </c>
      <c r="K599" t="s">
        <v>88</v>
      </c>
      <c r="L599" t="s">
        <v>89</v>
      </c>
      <c r="M599">
        <v>3</v>
      </c>
      <c r="N599" t="s">
        <v>111</v>
      </c>
      <c r="O599">
        <v>40</v>
      </c>
      <c r="P599" t="s">
        <v>125</v>
      </c>
      <c r="Q599" t="s">
        <v>91</v>
      </c>
      <c r="R599">
        <v>1</v>
      </c>
      <c r="S599" t="s">
        <v>113</v>
      </c>
      <c r="T599">
        <v>1</v>
      </c>
      <c r="U599" t="s">
        <v>93</v>
      </c>
      <c r="V599" t="s">
        <v>94</v>
      </c>
      <c r="W599">
        <v>2</v>
      </c>
      <c r="X599">
        <v>1</v>
      </c>
    </row>
    <row r="600" spans="2:24" x14ac:dyDescent="0.3">
      <c r="B600">
        <v>596</v>
      </c>
      <c r="C600" t="s">
        <v>10</v>
      </c>
      <c r="D600">
        <v>6</v>
      </c>
      <c r="E600" t="s">
        <v>124</v>
      </c>
      <c r="F600" t="s">
        <v>107</v>
      </c>
      <c r="G600">
        <v>931</v>
      </c>
      <c r="H600" t="s">
        <v>120</v>
      </c>
      <c r="I600" t="s">
        <v>118</v>
      </c>
      <c r="J600">
        <v>1</v>
      </c>
      <c r="K600" t="s">
        <v>98</v>
      </c>
      <c r="L600" t="s">
        <v>89</v>
      </c>
      <c r="M600">
        <v>1</v>
      </c>
      <c r="N600" t="s">
        <v>104</v>
      </c>
      <c r="O600">
        <v>32</v>
      </c>
      <c r="P600" t="s">
        <v>125</v>
      </c>
      <c r="Q600" t="s">
        <v>91</v>
      </c>
      <c r="R600">
        <v>1</v>
      </c>
      <c r="S600" t="s">
        <v>101</v>
      </c>
      <c r="T600">
        <v>1</v>
      </c>
      <c r="U600" t="s">
        <v>89</v>
      </c>
      <c r="V600" t="s">
        <v>94</v>
      </c>
      <c r="W600">
        <v>2</v>
      </c>
      <c r="X600">
        <v>1</v>
      </c>
    </row>
    <row r="601" spans="2:24" x14ac:dyDescent="0.3">
      <c r="B601">
        <v>597</v>
      </c>
      <c r="C601" t="s">
        <v>8</v>
      </c>
      <c r="D601">
        <v>24</v>
      </c>
      <c r="E601" t="s">
        <v>95</v>
      </c>
      <c r="F601" t="s">
        <v>107</v>
      </c>
      <c r="G601">
        <v>1442</v>
      </c>
      <c r="H601" t="s">
        <v>96</v>
      </c>
      <c r="I601" t="s">
        <v>100</v>
      </c>
      <c r="J601">
        <v>4</v>
      </c>
      <c r="K601" t="s">
        <v>98</v>
      </c>
      <c r="L601" t="s">
        <v>89</v>
      </c>
      <c r="M601">
        <v>4</v>
      </c>
      <c r="N601" t="s">
        <v>111</v>
      </c>
      <c r="O601">
        <v>23</v>
      </c>
      <c r="P601" t="s">
        <v>89</v>
      </c>
      <c r="Q601" t="s">
        <v>112</v>
      </c>
      <c r="R601">
        <v>2</v>
      </c>
      <c r="S601" t="s">
        <v>92</v>
      </c>
      <c r="T601">
        <v>1</v>
      </c>
      <c r="U601" t="s">
        <v>89</v>
      </c>
      <c r="V601" t="s">
        <v>94</v>
      </c>
      <c r="W601">
        <v>2</v>
      </c>
      <c r="X601">
        <v>1</v>
      </c>
    </row>
    <row r="602" spans="2:24" x14ac:dyDescent="0.3">
      <c r="B602">
        <v>598</v>
      </c>
      <c r="C602" t="s">
        <v>10</v>
      </c>
      <c r="D602">
        <v>24</v>
      </c>
      <c r="E602" t="s">
        <v>121</v>
      </c>
      <c r="F602" t="s">
        <v>119</v>
      </c>
      <c r="G602">
        <v>4241</v>
      </c>
      <c r="H602" t="s">
        <v>96</v>
      </c>
      <c r="I602" t="s">
        <v>97</v>
      </c>
      <c r="J602">
        <v>1</v>
      </c>
      <c r="K602" t="s">
        <v>88</v>
      </c>
      <c r="L602" t="s">
        <v>89</v>
      </c>
      <c r="M602">
        <v>4</v>
      </c>
      <c r="N602" t="s">
        <v>90</v>
      </c>
      <c r="O602">
        <v>36</v>
      </c>
      <c r="P602" t="s">
        <v>89</v>
      </c>
      <c r="Q602" t="s">
        <v>91</v>
      </c>
      <c r="R602">
        <v>3</v>
      </c>
      <c r="S602" t="s">
        <v>101</v>
      </c>
      <c r="T602">
        <v>1</v>
      </c>
      <c r="U602" t="s">
        <v>93</v>
      </c>
      <c r="V602" t="s">
        <v>94</v>
      </c>
      <c r="W602">
        <v>2</v>
      </c>
      <c r="X602">
        <v>1</v>
      </c>
    </row>
    <row r="603" spans="2:24" x14ac:dyDescent="0.3">
      <c r="B603">
        <v>599</v>
      </c>
      <c r="C603" t="s">
        <v>12</v>
      </c>
      <c r="D603">
        <v>18</v>
      </c>
      <c r="E603" t="s">
        <v>84</v>
      </c>
      <c r="F603" t="s">
        <v>107</v>
      </c>
      <c r="G603">
        <v>2775</v>
      </c>
      <c r="H603" t="s">
        <v>96</v>
      </c>
      <c r="I603" t="s">
        <v>100</v>
      </c>
      <c r="J603">
        <v>2</v>
      </c>
      <c r="K603" t="s">
        <v>88</v>
      </c>
      <c r="L603" t="s">
        <v>89</v>
      </c>
      <c r="M603">
        <v>2</v>
      </c>
      <c r="N603" t="s">
        <v>104</v>
      </c>
      <c r="O603">
        <v>31</v>
      </c>
      <c r="P603" t="s">
        <v>122</v>
      </c>
      <c r="Q603" t="s">
        <v>91</v>
      </c>
      <c r="R603">
        <v>2</v>
      </c>
      <c r="S603" t="s">
        <v>92</v>
      </c>
      <c r="T603">
        <v>1</v>
      </c>
      <c r="U603" t="s">
        <v>89</v>
      </c>
      <c r="V603" t="s">
        <v>94</v>
      </c>
      <c r="W603">
        <v>2</v>
      </c>
      <c r="X603">
        <v>1</v>
      </c>
    </row>
    <row r="604" spans="2:24" x14ac:dyDescent="0.3">
      <c r="B604">
        <v>600</v>
      </c>
      <c r="C604" t="s">
        <v>12</v>
      </c>
      <c r="D604">
        <v>24</v>
      </c>
      <c r="E604" t="s">
        <v>106</v>
      </c>
      <c r="F604" t="s">
        <v>119</v>
      </c>
      <c r="G604">
        <v>3863</v>
      </c>
      <c r="H604" t="s">
        <v>96</v>
      </c>
      <c r="I604" t="s">
        <v>97</v>
      </c>
      <c r="J604">
        <v>1</v>
      </c>
      <c r="K604" t="s">
        <v>88</v>
      </c>
      <c r="L604" t="s">
        <v>89</v>
      </c>
      <c r="M604">
        <v>2</v>
      </c>
      <c r="N604" t="s">
        <v>108</v>
      </c>
      <c r="O604">
        <v>32</v>
      </c>
      <c r="P604" t="s">
        <v>89</v>
      </c>
      <c r="Q604" t="s">
        <v>105</v>
      </c>
      <c r="R604">
        <v>1</v>
      </c>
      <c r="S604" t="s">
        <v>92</v>
      </c>
      <c r="T604">
        <v>1</v>
      </c>
      <c r="U604" t="s">
        <v>89</v>
      </c>
      <c r="V604" t="s">
        <v>94</v>
      </c>
      <c r="W604">
        <v>1</v>
      </c>
      <c r="X604">
        <v>0</v>
      </c>
    </row>
    <row r="605" spans="2:24" x14ac:dyDescent="0.3">
      <c r="B605">
        <v>601</v>
      </c>
      <c r="C605" t="s">
        <v>10</v>
      </c>
      <c r="D605">
        <v>7</v>
      </c>
      <c r="E605" t="s">
        <v>95</v>
      </c>
      <c r="F605" t="s">
        <v>85</v>
      </c>
      <c r="G605">
        <v>2329</v>
      </c>
      <c r="H605" t="s">
        <v>96</v>
      </c>
      <c r="I605" t="s">
        <v>118</v>
      </c>
      <c r="J605">
        <v>1</v>
      </c>
      <c r="K605" t="s">
        <v>98</v>
      </c>
      <c r="L605" t="s">
        <v>103</v>
      </c>
      <c r="M605">
        <v>1</v>
      </c>
      <c r="N605" t="s">
        <v>90</v>
      </c>
      <c r="O605">
        <v>45</v>
      </c>
      <c r="P605" t="s">
        <v>89</v>
      </c>
      <c r="Q605" t="s">
        <v>91</v>
      </c>
      <c r="R605">
        <v>1</v>
      </c>
      <c r="S605" t="s">
        <v>92</v>
      </c>
      <c r="T605">
        <v>1</v>
      </c>
      <c r="U605" t="s">
        <v>89</v>
      </c>
      <c r="V605" t="s">
        <v>94</v>
      </c>
      <c r="W605">
        <v>1</v>
      </c>
      <c r="X605">
        <v>0</v>
      </c>
    </row>
    <row r="606" spans="2:24" x14ac:dyDescent="0.3">
      <c r="B606">
        <v>602</v>
      </c>
      <c r="C606" t="s">
        <v>10</v>
      </c>
      <c r="D606">
        <v>9</v>
      </c>
      <c r="E606" t="s">
        <v>95</v>
      </c>
      <c r="F606" t="s">
        <v>102</v>
      </c>
      <c r="G606">
        <v>918</v>
      </c>
      <c r="H606" t="s">
        <v>96</v>
      </c>
      <c r="I606" t="s">
        <v>97</v>
      </c>
      <c r="J606">
        <v>4</v>
      </c>
      <c r="K606" t="s">
        <v>98</v>
      </c>
      <c r="L606" t="s">
        <v>89</v>
      </c>
      <c r="M606">
        <v>1</v>
      </c>
      <c r="N606" t="s">
        <v>104</v>
      </c>
      <c r="O606">
        <v>30</v>
      </c>
      <c r="P606" t="s">
        <v>89</v>
      </c>
      <c r="Q606" t="s">
        <v>91</v>
      </c>
      <c r="R606">
        <v>1</v>
      </c>
      <c r="S606" t="s">
        <v>92</v>
      </c>
      <c r="T606">
        <v>1</v>
      </c>
      <c r="U606" t="s">
        <v>89</v>
      </c>
      <c r="V606" t="s">
        <v>94</v>
      </c>
      <c r="W606">
        <v>2</v>
      </c>
      <c r="X606">
        <v>1</v>
      </c>
    </row>
    <row r="607" spans="2:24" x14ac:dyDescent="0.3">
      <c r="B607">
        <v>603</v>
      </c>
      <c r="C607" t="s">
        <v>10</v>
      </c>
      <c r="D607">
        <v>24</v>
      </c>
      <c r="E607" t="s">
        <v>124</v>
      </c>
      <c r="F607" t="s">
        <v>99</v>
      </c>
      <c r="G607">
        <v>1837</v>
      </c>
      <c r="H607" t="s">
        <v>96</v>
      </c>
      <c r="I607" t="s">
        <v>100</v>
      </c>
      <c r="J607">
        <v>4</v>
      </c>
      <c r="K607" t="s">
        <v>98</v>
      </c>
      <c r="L607" t="s">
        <v>89</v>
      </c>
      <c r="M607">
        <v>4</v>
      </c>
      <c r="N607" t="s">
        <v>108</v>
      </c>
      <c r="O607">
        <v>34</v>
      </c>
      <c r="P607" t="s">
        <v>122</v>
      </c>
      <c r="Q607" t="s">
        <v>105</v>
      </c>
      <c r="R607">
        <v>1</v>
      </c>
      <c r="S607" t="s">
        <v>101</v>
      </c>
      <c r="T607">
        <v>1</v>
      </c>
      <c r="U607" t="s">
        <v>89</v>
      </c>
      <c r="V607" t="s">
        <v>94</v>
      </c>
      <c r="W607">
        <v>2</v>
      </c>
      <c r="X607">
        <v>1</v>
      </c>
    </row>
    <row r="608" spans="2:24" x14ac:dyDescent="0.3">
      <c r="B608">
        <v>604</v>
      </c>
      <c r="C608" t="s">
        <v>12</v>
      </c>
      <c r="D608">
        <v>36</v>
      </c>
      <c r="E608" t="s">
        <v>95</v>
      </c>
      <c r="F608" t="s">
        <v>102</v>
      </c>
      <c r="G608">
        <v>3349</v>
      </c>
      <c r="H608" t="s">
        <v>96</v>
      </c>
      <c r="I608" t="s">
        <v>97</v>
      </c>
      <c r="J608">
        <v>4</v>
      </c>
      <c r="K608" t="s">
        <v>98</v>
      </c>
      <c r="L608" t="s">
        <v>89</v>
      </c>
      <c r="M608">
        <v>2</v>
      </c>
      <c r="N608" t="s">
        <v>111</v>
      </c>
      <c r="O608">
        <v>28</v>
      </c>
      <c r="P608" t="s">
        <v>89</v>
      </c>
      <c r="Q608" t="s">
        <v>91</v>
      </c>
      <c r="R608">
        <v>1</v>
      </c>
      <c r="S608" t="s">
        <v>113</v>
      </c>
      <c r="T608">
        <v>1</v>
      </c>
      <c r="U608" t="s">
        <v>93</v>
      </c>
      <c r="V608" t="s">
        <v>94</v>
      </c>
      <c r="W608">
        <v>2</v>
      </c>
      <c r="X608">
        <v>1</v>
      </c>
    </row>
    <row r="609" spans="2:24" x14ac:dyDescent="0.3">
      <c r="B609">
        <v>605</v>
      </c>
      <c r="C609" t="s">
        <v>11</v>
      </c>
      <c r="D609">
        <v>10</v>
      </c>
      <c r="E609" t="s">
        <v>95</v>
      </c>
      <c r="F609" t="s">
        <v>102</v>
      </c>
      <c r="G609">
        <v>1275</v>
      </c>
      <c r="H609" t="s">
        <v>96</v>
      </c>
      <c r="I609" t="s">
        <v>118</v>
      </c>
      <c r="J609">
        <v>4</v>
      </c>
      <c r="K609" t="s">
        <v>98</v>
      </c>
      <c r="L609" t="s">
        <v>89</v>
      </c>
      <c r="M609">
        <v>2</v>
      </c>
      <c r="N609" t="s">
        <v>104</v>
      </c>
      <c r="O609">
        <v>23</v>
      </c>
      <c r="P609" t="s">
        <v>89</v>
      </c>
      <c r="Q609" t="s">
        <v>91</v>
      </c>
      <c r="R609">
        <v>1</v>
      </c>
      <c r="S609" t="s">
        <v>92</v>
      </c>
      <c r="T609">
        <v>1</v>
      </c>
      <c r="U609" t="s">
        <v>89</v>
      </c>
      <c r="V609" t="s">
        <v>94</v>
      </c>
      <c r="W609">
        <v>1</v>
      </c>
      <c r="X609">
        <v>0</v>
      </c>
    </row>
    <row r="610" spans="2:24" x14ac:dyDescent="0.3">
      <c r="B610">
        <v>606</v>
      </c>
      <c r="C610" t="s">
        <v>8</v>
      </c>
      <c r="D610">
        <v>24</v>
      </c>
      <c r="E610" t="s">
        <v>124</v>
      </c>
      <c r="F610" t="s">
        <v>102</v>
      </c>
      <c r="G610">
        <v>2828</v>
      </c>
      <c r="H610" t="s">
        <v>109</v>
      </c>
      <c r="I610" t="s">
        <v>97</v>
      </c>
      <c r="J610">
        <v>4</v>
      </c>
      <c r="K610" t="s">
        <v>88</v>
      </c>
      <c r="L610" t="s">
        <v>89</v>
      </c>
      <c r="M610">
        <v>4</v>
      </c>
      <c r="N610" t="s">
        <v>90</v>
      </c>
      <c r="O610">
        <v>22</v>
      </c>
      <c r="P610" t="s">
        <v>125</v>
      </c>
      <c r="Q610" t="s">
        <v>91</v>
      </c>
      <c r="R610">
        <v>1</v>
      </c>
      <c r="S610" t="s">
        <v>92</v>
      </c>
      <c r="T610">
        <v>1</v>
      </c>
      <c r="U610" t="s">
        <v>93</v>
      </c>
      <c r="V610" t="s">
        <v>94</v>
      </c>
      <c r="W610">
        <v>1</v>
      </c>
      <c r="X610">
        <v>0</v>
      </c>
    </row>
    <row r="611" spans="2:24" x14ac:dyDescent="0.3">
      <c r="B611">
        <v>607</v>
      </c>
      <c r="C611" t="s">
        <v>12</v>
      </c>
      <c r="D611">
        <v>24</v>
      </c>
      <c r="E611" t="s">
        <v>84</v>
      </c>
      <c r="F611" t="s">
        <v>119</v>
      </c>
      <c r="G611">
        <v>4526</v>
      </c>
      <c r="H611" t="s">
        <v>96</v>
      </c>
      <c r="I611" t="s">
        <v>97</v>
      </c>
      <c r="J611">
        <v>3</v>
      </c>
      <c r="K611" t="s">
        <v>88</v>
      </c>
      <c r="L611" t="s">
        <v>89</v>
      </c>
      <c r="M611">
        <v>2</v>
      </c>
      <c r="N611" t="s">
        <v>90</v>
      </c>
      <c r="O611">
        <v>74</v>
      </c>
      <c r="P611" t="s">
        <v>89</v>
      </c>
      <c r="Q611" t="s">
        <v>91</v>
      </c>
      <c r="R611">
        <v>1</v>
      </c>
      <c r="S611" t="s">
        <v>113</v>
      </c>
      <c r="T611">
        <v>1</v>
      </c>
      <c r="U611" t="s">
        <v>93</v>
      </c>
      <c r="V611" t="s">
        <v>94</v>
      </c>
      <c r="W611">
        <v>1</v>
      </c>
      <c r="X611">
        <v>0</v>
      </c>
    </row>
    <row r="612" spans="2:24" x14ac:dyDescent="0.3">
      <c r="B612">
        <v>608</v>
      </c>
      <c r="C612" t="s">
        <v>10</v>
      </c>
      <c r="D612">
        <v>36</v>
      </c>
      <c r="E612" t="s">
        <v>95</v>
      </c>
      <c r="F612" t="s">
        <v>85</v>
      </c>
      <c r="G612">
        <v>2671</v>
      </c>
      <c r="H612" t="s">
        <v>120</v>
      </c>
      <c r="I612" t="s">
        <v>97</v>
      </c>
      <c r="J612">
        <v>4</v>
      </c>
      <c r="K612" t="s">
        <v>98</v>
      </c>
      <c r="L612" t="s">
        <v>126</v>
      </c>
      <c r="M612">
        <v>4</v>
      </c>
      <c r="N612" t="s">
        <v>108</v>
      </c>
      <c r="O612">
        <v>50</v>
      </c>
      <c r="P612" t="s">
        <v>89</v>
      </c>
      <c r="Q612" t="s">
        <v>105</v>
      </c>
      <c r="R612">
        <v>1</v>
      </c>
      <c r="S612" t="s">
        <v>92</v>
      </c>
      <c r="T612">
        <v>1</v>
      </c>
      <c r="U612" t="s">
        <v>89</v>
      </c>
      <c r="V612" t="s">
        <v>94</v>
      </c>
      <c r="W612">
        <v>2</v>
      </c>
      <c r="X612">
        <v>1</v>
      </c>
    </row>
    <row r="613" spans="2:24" x14ac:dyDescent="0.3">
      <c r="B613">
        <v>609</v>
      </c>
      <c r="C613" t="s">
        <v>12</v>
      </c>
      <c r="D613">
        <v>18</v>
      </c>
      <c r="E613" t="s">
        <v>95</v>
      </c>
      <c r="F613" t="s">
        <v>85</v>
      </c>
      <c r="G613">
        <v>2051</v>
      </c>
      <c r="H613" t="s">
        <v>96</v>
      </c>
      <c r="I613" t="s">
        <v>118</v>
      </c>
      <c r="J613">
        <v>4</v>
      </c>
      <c r="K613" t="s">
        <v>88</v>
      </c>
      <c r="L613" t="s">
        <v>89</v>
      </c>
      <c r="M613">
        <v>1</v>
      </c>
      <c r="N613" t="s">
        <v>90</v>
      </c>
      <c r="O613">
        <v>33</v>
      </c>
      <c r="P613" t="s">
        <v>89</v>
      </c>
      <c r="Q613" t="s">
        <v>91</v>
      </c>
      <c r="R613">
        <v>1</v>
      </c>
      <c r="S613" t="s">
        <v>92</v>
      </c>
      <c r="T613">
        <v>1</v>
      </c>
      <c r="U613" t="s">
        <v>89</v>
      </c>
      <c r="V613" t="s">
        <v>94</v>
      </c>
      <c r="W613">
        <v>1</v>
      </c>
      <c r="X613">
        <v>0</v>
      </c>
    </row>
    <row r="614" spans="2:24" x14ac:dyDescent="0.3">
      <c r="B614">
        <v>610</v>
      </c>
      <c r="C614" t="s">
        <v>12</v>
      </c>
      <c r="D614">
        <v>15</v>
      </c>
      <c r="E614" t="s">
        <v>95</v>
      </c>
      <c r="F614" t="s">
        <v>110</v>
      </c>
      <c r="G614">
        <v>1300</v>
      </c>
      <c r="H614" t="s">
        <v>86</v>
      </c>
      <c r="I614" t="s">
        <v>87</v>
      </c>
      <c r="J614">
        <v>4</v>
      </c>
      <c r="K614" t="s">
        <v>88</v>
      </c>
      <c r="L614" t="s">
        <v>89</v>
      </c>
      <c r="M614">
        <v>4</v>
      </c>
      <c r="N614" t="s">
        <v>108</v>
      </c>
      <c r="O614">
        <v>45</v>
      </c>
      <c r="P614" t="s">
        <v>122</v>
      </c>
      <c r="Q614" t="s">
        <v>105</v>
      </c>
      <c r="R614">
        <v>1</v>
      </c>
      <c r="S614" t="s">
        <v>92</v>
      </c>
      <c r="T614">
        <v>2</v>
      </c>
      <c r="U614" t="s">
        <v>89</v>
      </c>
      <c r="V614" t="s">
        <v>94</v>
      </c>
      <c r="W614">
        <v>1</v>
      </c>
      <c r="X614">
        <v>0</v>
      </c>
    </row>
    <row r="615" spans="2:24" x14ac:dyDescent="0.3">
      <c r="B615">
        <v>611</v>
      </c>
      <c r="C615" t="s">
        <v>8</v>
      </c>
      <c r="D615">
        <v>12</v>
      </c>
      <c r="E615" t="s">
        <v>95</v>
      </c>
      <c r="F615" t="s">
        <v>127</v>
      </c>
      <c r="G615">
        <v>741</v>
      </c>
      <c r="H615" t="s">
        <v>120</v>
      </c>
      <c r="I615" t="s">
        <v>116</v>
      </c>
      <c r="J615">
        <v>4</v>
      </c>
      <c r="K615" t="s">
        <v>98</v>
      </c>
      <c r="L615" t="s">
        <v>89</v>
      </c>
      <c r="M615">
        <v>3</v>
      </c>
      <c r="N615" t="s">
        <v>104</v>
      </c>
      <c r="O615">
        <v>22</v>
      </c>
      <c r="P615" t="s">
        <v>89</v>
      </c>
      <c r="Q615" t="s">
        <v>91</v>
      </c>
      <c r="R615">
        <v>1</v>
      </c>
      <c r="S615" t="s">
        <v>92</v>
      </c>
      <c r="T615">
        <v>1</v>
      </c>
      <c r="U615" t="s">
        <v>89</v>
      </c>
      <c r="V615" t="s">
        <v>94</v>
      </c>
      <c r="W615">
        <v>2</v>
      </c>
      <c r="X615">
        <v>1</v>
      </c>
    </row>
    <row r="616" spans="2:24" x14ac:dyDescent="0.3">
      <c r="B616">
        <v>612</v>
      </c>
      <c r="C616" t="s">
        <v>11</v>
      </c>
      <c r="D616">
        <v>10</v>
      </c>
      <c r="E616" t="s">
        <v>95</v>
      </c>
      <c r="F616" t="s">
        <v>107</v>
      </c>
      <c r="G616">
        <v>1240</v>
      </c>
      <c r="H616" t="s">
        <v>120</v>
      </c>
      <c r="I616" t="s">
        <v>87</v>
      </c>
      <c r="J616">
        <v>1</v>
      </c>
      <c r="K616" t="s">
        <v>98</v>
      </c>
      <c r="L616" t="s">
        <v>89</v>
      </c>
      <c r="M616">
        <v>4</v>
      </c>
      <c r="N616" t="s">
        <v>108</v>
      </c>
      <c r="O616">
        <v>48</v>
      </c>
      <c r="P616" t="s">
        <v>89</v>
      </c>
      <c r="Q616" t="s">
        <v>105</v>
      </c>
      <c r="R616">
        <v>1</v>
      </c>
      <c r="S616" t="s">
        <v>101</v>
      </c>
      <c r="T616">
        <v>2</v>
      </c>
      <c r="U616" t="s">
        <v>89</v>
      </c>
      <c r="V616" t="s">
        <v>94</v>
      </c>
      <c r="W616">
        <v>2</v>
      </c>
      <c r="X616">
        <v>1</v>
      </c>
    </row>
    <row r="617" spans="2:24" x14ac:dyDescent="0.3">
      <c r="B617">
        <v>613</v>
      </c>
      <c r="C617" t="s">
        <v>8</v>
      </c>
      <c r="D617">
        <v>21</v>
      </c>
      <c r="E617" t="s">
        <v>95</v>
      </c>
      <c r="F617" t="s">
        <v>85</v>
      </c>
      <c r="G617">
        <v>3357</v>
      </c>
      <c r="H617" t="s">
        <v>114</v>
      </c>
      <c r="I617" t="s">
        <v>118</v>
      </c>
      <c r="J617">
        <v>4</v>
      </c>
      <c r="K617" t="s">
        <v>98</v>
      </c>
      <c r="L617" t="s">
        <v>89</v>
      </c>
      <c r="M617">
        <v>2</v>
      </c>
      <c r="N617" t="s">
        <v>111</v>
      </c>
      <c r="O617">
        <v>29</v>
      </c>
      <c r="P617" t="s">
        <v>122</v>
      </c>
      <c r="Q617" t="s">
        <v>91</v>
      </c>
      <c r="R617">
        <v>1</v>
      </c>
      <c r="S617" t="s">
        <v>92</v>
      </c>
      <c r="T617">
        <v>1</v>
      </c>
      <c r="U617" t="s">
        <v>89</v>
      </c>
      <c r="V617" t="s">
        <v>94</v>
      </c>
      <c r="W617">
        <v>1</v>
      </c>
      <c r="X617">
        <v>0</v>
      </c>
    </row>
    <row r="618" spans="2:24" x14ac:dyDescent="0.3">
      <c r="B618">
        <v>614</v>
      </c>
      <c r="C618" t="s">
        <v>8</v>
      </c>
      <c r="D618">
        <v>24</v>
      </c>
      <c r="E618" t="s">
        <v>124</v>
      </c>
      <c r="F618" t="s">
        <v>110</v>
      </c>
      <c r="G618">
        <v>3632</v>
      </c>
      <c r="H618" t="s">
        <v>96</v>
      </c>
      <c r="I618" t="s">
        <v>97</v>
      </c>
      <c r="J618">
        <v>1</v>
      </c>
      <c r="K618" t="s">
        <v>98</v>
      </c>
      <c r="L618" t="s">
        <v>103</v>
      </c>
      <c r="M618">
        <v>4</v>
      </c>
      <c r="N618" t="s">
        <v>111</v>
      </c>
      <c r="O618">
        <v>22</v>
      </c>
      <c r="P618" t="s">
        <v>122</v>
      </c>
      <c r="Q618" t="s">
        <v>112</v>
      </c>
      <c r="R618">
        <v>1</v>
      </c>
      <c r="S618" t="s">
        <v>92</v>
      </c>
      <c r="T618">
        <v>1</v>
      </c>
      <c r="U618" t="s">
        <v>89</v>
      </c>
      <c r="V618" t="s">
        <v>123</v>
      </c>
      <c r="W618">
        <v>1</v>
      </c>
      <c r="X618">
        <v>0</v>
      </c>
    </row>
    <row r="619" spans="2:24" x14ac:dyDescent="0.3">
      <c r="B619">
        <v>615</v>
      </c>
      <c r="C619" t="s">
        <v>12</v>
      </c>
      <c r="D619">
        <v>18</v>
      </c>
      <c r="E619" t="s">
        <v>106</v>
      </c>
      <c r="F619" t="s">
        <v>102</v>
      </c>
      <c r="G619">
        <v>1808</v>
      </c>
      <c r="H619" t="s">
        <v>96</v>
      </c>
      <c r="I619" t="s">
        <v>100</v>
      </c>
      <c r="J619">
        <v>4</v>
      </c>
      <c r="K619" t="s">
        <v>98</v>
      </c>
      <c r="L619" t="s">
        <v>89</v>
      </c>
      <c r="M619">
        <v>1</v>
      </c>
      <c r="N619" t="s">
        <v>90</v>
      </c>
      <c r="O619">
        <v>22</v>
      </c>
      <c r="P619" t="s">
        <v>89</v>
      </c>
      <c r="Q619" t="s">
        <v>91</v>
      </c>
      <c r="R619">
        <v>1</v>
      </c>
      <c r="S619" t="s">
        <v>92</v>
      </c>
      <c r="T619">
        <v>1</v>
      </c>
      <c r="U619" t="s">
        <v>89</v>
      </c>
      <c r="V619" t="s">
        <v>94</v>
      </c>
      <c r="W619">
        <v>2</v>
      </c>
      <c r="X619">
        <v>1</v>
      </c>
    </row>
    <row r="620" spans="2:24" x14ac:dyDescent="0.3">
      <c r="B620">
        <v>616</v>
      </c>
      <c r="C620" t="s">
        <v>10</v>
      </c>
      <c r="D620">
        <v>48</v>
      </c>
      <c r="E620" t="s">
        <v>121</v>
      </c>
      <c r="F620" t="s">
        <v>119</v>
      </c>
      <c r="G620">
        <v>12204</v>
      </c>
      <c r="H620" t="s">
        <v>86</v>
      </c>
      <c r="I620" t="s">
        <v>97</v>
      </c>
      <c r="J620">
        <v>2</v>
      </c>
      <c r="K620" t="s">
        <v>88</v>
      </c>
      <c r="L620" t="s">
        <v>89</v>
      </c>
      <c r="M620">
        <v>2</v>
      </c>
      <c r="N620" t="s">
        <v>111</v>
      </c>
      <c r="O620">
        <v>48</v>
      </c>
      <c r="P620" t="s">
        <v>122</v>
      </c>
      <c r="Q620" t="s">
        <v>91</v>
      </c>
      <c r="R620">
        <v>1</v>
      </c>
      <c r="S620" t="s">
        <v>113</v>
      </c>
      <c r="T620">
        <v>1</v>
      </c>
      <c r="U620" t="s">
        <v>93</v>
      </c>
      <c r="V620" t="s">
        <v>94</v>
      </c>
      <c r="W620">
        <v>1</v>
      </c>
      <c r="X620">
        <v>0</v>
      </c>
    </row>
    <row r="621" spans="2:24" x14ac:dyDescent="0.3">
      <c r="B621">
        <v>617</v>
      </c>
      <c r="C621" t="s">
        <v>10</v>
      </c>
      <c r="D621">
        <v>60</v>
      </c>
      <c r="E621" t="s">
        <v>106</v>
      </c>
      <c r="F621" t="s">
        <v>85</v>
      </c>
      <c r="G621">
        <v>9157</v>
      </c>
      <c r="H621" t="s">
        <v>86</v>
      </c>
      <c r="I621" t="s">
        <v>97</v>
      </c>
      <c r="J621">
        <v>2</v>
      </c>
      <c r="K621" t="s">
        <v>88</v>
      </c>
      <c r="L621" t="s">
        <v>89</v>
      </c>
      <c r="M621">
        <v>2</v>
      </c>
      <c r="N621" t="s">
        <v>108</v>
      </c>
      <c r="O621">
        <v>27</v>
      </c>
      <c r="P621" t="s">
        <v>89</v>
      </c>
      <c r="Q621" t="s">
        <v>105</v>
      </c>
      <c r="R621">
        <v>1</v>
      </c>
      <c r="S621" t="s">
        <v>113</v>
      </c>
      <c r="T621">
        <v>1</v>
      </c>
      <c r="U621" t="s">
        <v>89</v>
      </c>
      <c r="V621" t="s">
        <v>94</v>
      </c>
      <c r="W621">
        <v>1</v>
      </c>
      <c r="X621">
        <v>0</v>
      </c>
    </row>
    <row r="622" spans="2:24" x14ac:dyDescent="0.3">
      <c r="B622">
        <v>618</v>
      </c>
      <c r="C622" t="s">
        <v>8</v>
      </c>
      <c r="D622">
        <v>6</v>
      </c>
      <c r="E622" t="s">
        <v>84</v>
      </c>
      <c r="F622" t="s">
        <v>107</v>
      </c>
      <c r="G622">
        <v>3676</v>
      </c>
      <c r="H622" t="s">
        <v>96</v>
      </c>
      <c r="I622" t="s">
        <v>97</v>
      </c>
      <c r="J622">
        <v>1</v>
      </c>
      <c r="K622" t="s">
        <v>88</v>
      </c>
      <c r="L622" t="s">
        <v>89</v>
      </c>
      <c r="M622">
        <v>3</v>
      </c>
      <c r="N622" t="s">
        <v>90</v>
      </c>
      <c r="O622">
        <v>37</v>
      </c>
      <c r="P622" t="s">
        <v>89</v>
      </c>
      <c r="Q622" t="s">
        <v>112</v>
      </c>
      <c r="R622">
        <v>3</v>
      </c>
      <c r="S622" t="s">
        <v>92</v>
      </c>
      <c r="T622">
        <v>2</v>
      </c>
      <c r="U622" t="s">
        <v>89</v>
      </c>
      <c r="V622" t="s">
        <v>94</v>
      </c>
      <c r="W622">
        <v>1</v>
      </c>
      <c r="X622">
        <v>0</v>
      </c>
    </row>
    <row r="623" spans="2:24" x14ac:dyDescent="0.3">
      <c r="B623">
        <v>619</v>
      </c>
      <c r="C623" t="s">
        <v>10</v>
      </c>
      <c r="D623">
        <v>30</v>
      </c>
      <c r="E623" t="s">
        <v>95</v>
      </c>
      <c r="F623" t="s">
        <v>102</v>
      </c>
      <c r="G623">
        <v>3441</v>
      </c>
      <c r="H623" t="s">
        <v>120</v>
      </c>
      <c r="I623" t="s">
        <v>97</v>
      </c>
      <c r="J623">
        <v>2</v>
      </c>
      <c r="K623" t="s">
        <v>98</v>
      </c>
      <c r="L623" t="s">
        <v>126</v>
      </c>
      <c r="M623">
        <v>4</v>
      </c>
      <c r="N623" t="s">
        <v>111</v>
      </c>
      <c r="O623">
        <v>21</v>
      </c>
      <c r="P623" t="s">
        <v>89</v>
      </c>
      <c r="Q623" t="s">
        <v>112</v>
      </c>
      <c r="R623">
        <v>1</v>
      </c>
      <c r="S623" t="s">
        <v>92</v>
      </c>
      <c r="T623">
        <v>1</v>
      </c>
      <c r="U623" t="s">
        <v>89</v>
      </c>
      <c r="V623" t="s">
        <v>94</v>
      </c>
      <c r="W623">
        <v>2</v>
      </c>
      <c r="X623">
        <v>1</v>
      </c>
    </row>
    <row r="624" spans="2:24" x14ac:dyDescent="0.3">
      <c r="B624">
        <v>620</v>
      </c>
      <c r="C624" t="s">
        <v>12</v>
      </c>
      <c r="D624">
        <v>12</v>
      </c>
      <c r="E624" t="s">
        <v>95</v>
      </c>
      <c r="F624" t="s">
        <v>107</v>
      </c>
      <c r="G624">
        <v>640</v>
      </c>
      <c r="H624" t="s">
        <v>96</v>
      </c>
      <c r="I624" t="s">
        <v>97</v>
      </c>
      <c r="J624">
        <v>4</v>
      </c>
      <c r="K624" t="s">
        <v>115</v>
      </c>
      <c r="L624" t="s">
        <v>89</v>
      </c>
      <c r="M624">
        <v>2</v>
      </c>
      <c r="N624" t="s">
        <v>90</v>
      </c>
      <c r="O624">
        <v>49</v>
      </c>
      <c r="P624" t="s">
        <v>89</v>
      </c>
      <c r="Q624" t="s">
        <v>91</v>
      </c>
      <c r="R624">
        <v>1</v>
      </c>
      <c r="S624" t="s">
        <v>101</v>
      </c>
      <c r="T624">
        <v>1</v>
      </c>
      <c r="U624" t="s">
        <v>89</v>
      </c>
      <c r="V624" t="s">
        <v>94</v>
      </c>
      <c r="W624">
        <v>1</v>
      </c>
      <c r="X624">
        <v>0</v>
      </c>
    </row>
    <row r="625" spans="2:24" x14ac:dyDescent="0.3">
      <c r="B625">
        <v>621</v>
      </c>
      <c r="C625" t="s">
        <v>10</v>
      </c>
      <c r="D625">
        <v>21</v>
      </c>
      <c r="E625" t="s">
        <v>84</v>
      </c>
      <c r="F625" t="s">
        <v>119</v>
      </c>
      <c r="G625">
        <v>3652</v>
      </c>
      <c r="H625" t="s">
        <v>96</v>
      </c>
      <c r="I625" t="s">
        <v>100</v>
      </c>
      <c r="J625">
        <v>2</v>
      </c>
      <c r="K625" t="s">
        <v>88</v>
      </c>
      <c r="L625" t="s">
        <v>89</v>
      </c>
      <c r="M625">
        <v>3</v>
      </c>
      <c r="N625" t="s">
        <v>104</v>
      </c>
      <c r="O625">
        <v>27</v>
      </c>
      <c r="P625" t="s">
        <v>89</v>
      </c>
      <c r="Q625" t="s">
        <v>91</v>
      </c>
      <c r="R625">
        <v>2</v>
      </c>
      <c r="S625" t="s">
        <v>92</v>
      </c>
      <c r="T625">
        <v>1</v>
      </c>
      <c r="U625" t="s">
        <v>89</v>
      </c>
      <c r="V625" t="s">
        <v>94</v>
      </c>
      <c r="W625">
        <v>1</v>
      </c>
      <c r="X625">
        <v>0</v>
      </c>
    </row>
    <row r="626" spans="2:24" x14ac:dyDescent="0.3">
      <c r="B626">
        <v>622</v>
      </c>
      <c r="C626" t="s">
        <v>12</v>
      </c>
      <c r="D626">
        <v>18</v>
      </c>
      <c r="E626" t="s">
        <v>84</v>
      </c>
      <c r="F626" t="s">
        <v>107</v>
      </c>
      <c r="G626">
        <v>1530</v>
      </c>
      <c r="H626" t="s">
        <v>96</v>
      </c>
      <c r="I626" t="s">
        <v>97</v>
      </c>
      <c r="J626">
        <v>3</v>
      </c>
      <c r="K626" t="s">
        <v>88</v>
      </c>
      <c r="L626" t="s">
        <v>89</v>
      </c>
      <c r="M626">
        <v>2</v>
      </c>
      <c r="N626" t="s">
        <v>104</v>
      </c>
      <c r="O626">
        <v>32</v>
      </c>
      <c r="P626" t="s">
        <v>122</v>
      </c>
      <c r="Q626" t="s">
        <v>91</v>
      </c>
      <c r="R626">
        <v>2</v>
      </c>
      <c r="S626" t="s">
        <v>92</v>
      </c>
      <c r="T626">
        <v>1</v>
      </c>
      <c r="U626" t="s">
        <v>89</v>
      </c>
      <c r="V626" t="s">
        <v>94</v>
      </c>
      <c r="W626">
        <v>2</v>
      </c>
      <c r="X626">
        <v>1</v>
      </c>
    </row>
    <row r="627" spans="2:24" x14ac:dyDescent="0.3">
      <c r="B627">
        <v>623</v>
      </c>
      <c r="C627" t="s">
        <v>12</v>
      </c>
      <c r="D627">
        <v>48</v>
      </c>
      <c r="E627" t="s">
        <v>95</v>
      </c>
      <c r="F627" t="s">
        <v>119</v>
      </c>
      <c r="G627">
        <v>3914</v>
      </c>
      <c r="H627" t="s">
        <v>86</v>
      </c>
      <c r="I627" t="s">
        <v>97</v>
      </c>
      <c r="J627">
        <v>4</v>
      </c>
      <c r="K627" t="s">
        <v>115</v>
      </c>
      <c r="L627" t="s">
        <v>89</v>
      </c>
      <c r="M627">
        <v>2</v>
      </c>
      <c r="N627" t="s">
        <v>90</v>
      </c>
      <c r="O627">
        <v>38</v>
      </c>
      <c r="P627" t="s">
        <v>122</v>
      </c>
      <c r="Q627" t="s">
        <v>91</v>
      </c>
      <c r="R627">
        <v>1</v>
      </c>
      <c r="S627" t="s">
        <v>92</v>
      </c>
      <c r="T627">
        <v>1</v>
      </c>
      <c r="U627" t="s">
        <v>89</v>
      </c>
      <c r="V627" t="s">
        <v>94</v>
      </c>
      <c r="W627">
        <v>2</v>
      </c>
      <c r="X627">
        <v>1</v>
      </c>
    </row>
    <row r="628" spans="2:24" x14ac:dyDescent="0.3">
      <c r="B628">
        <v>624</v>
      </c>
      <c r="C628" t="s">
        <v>8</v>
      </c>
      <c r="D628">
        <v>12</v>
      </c>
      <c r="E628" t="s">
        <v>95</v>
      </c>
      <c r="F628" t="s">
        <v>102</v>
      </c>
      <c r="G628">
        <v>1858</v>
      </c>
      <c r="H628" t="s">
        <v>96</v>
      </c>
      <c r="I628" t="s">
        <v>118</v>
      </c>
      <c r="J628">
        <v>4</v>
      </c>
      <c r="K628" t="s">
        <v>98</v>
      </c>
      <c r="L628" t="s">
        <v>89</v>
      </c>
      <c r="M628">
        <v>1</v>
      </c>
      <c r="N628" t="s">
        <v>111</v>
      </c>
      <c r="O628">
        <v>22</v>
      </c>
      <c r="P628" t="s">
        <v>89</v>
      </c>
      <c r="Q628" t="s">
        <v>112</v>
      </c>
      <c r="R628">
        <v>1</v>
      </c>
      <c r="S628" t="s">
        <v>92</v>
      </c>
      <c r="T628">
        <v>1</v>
      </c>
      <c r="U628" t="s">
        <v>89</v>
      </c>
      <c r="V628" t="s">
        <v>94</v>
      </c>
      <c r="W628">
        <v>1</v>
      </c>
      <c r="X628">
        <v>0</v>
      </c>
    </row>
    <row r="629" spans="2:24" x14ac:dyDescent="0.3">
      <c r="B629">
        <v>625</v>
      </c>
      <c r="C629" t="s">
        <v>8</v>
      </c>
      <c r="D629">
        <v>18</v>
      </c>
      <c r="E629" t="s">
        <v>95</v>
      </c>
      <c r="F629" t="s">
        <v>85</v>
      </c>
      <c r="G629">
        <v>2600</v>
      </c>
      <c r="H629" t="s">
        <v>96</v>
      </c>
      <c r="I629" t="s">
        <v>97</v>
      </c>
      <c r="J629">
        <v>4</v>
      </c>
      <c r="K629" t="s">
        <v>88</v>
      </c>
      <c r="L629" t="s">
        <v>89</v>
      </c>
      <c r="M629">
        <v>4</v>
      </c>
      <c r="N629" t="s">
        <v>108</v>
      </c>
      <c r="O629">
        <v>65</v>
      </c>
      <c r="P629" t="s">
        <v>89</v>
      </c>
      <c r="Q629" t="s">
        <v>105</v>
      </c>
      <c r="R629">
        <v>2</v>
      </c>
      <c r="S629" t="s">
        <v>92</v>
      </c>
      <c r="T629">
        <v>1</v>
      </c>
      <c r="U629" t="s">
        <v>89</v>
      </c>
      <c r="V629" t="s">
        <v>94</v>
      </c>
      <c r="W629">
        <v>2</v>
      </c>
      <c r="X629">
        <v>1</v>
      </c>
    </row>
    <row r="630" spans="2:24" x14ac:dyDescent="0.3">
      <c r="B630">
        <v>626</v>
      </c>
      <c r="C630" t="s">
        <v>12</v>
      </c>
      <c r="D630">
        <v>15</v>
      </c>
      <c r="E630" t="s">
        <v>95</v>
      </c>
      <c r="F630" t="s">
        <v>85</v>
      </c>
      <c r="G630">
        <v>1979</v>
      </c>
      <c r="H630" t="s">
        <v>86</v>
      </c>
      <c r="I630" t="s">
        <v>87</v>
      </c>
      <c r="J630">
        <v>4</v>
      </c>
      <c r="K630" t="s">
        <v>88</v>
      </c>
      <c r="L630" t="s">
        <v>89</v>
      </c>
      <c r="M630">
        <v>2</v>
      </c>
      <c r="N630" t="s">
        <v>111</v>
      </c>
      <c r="O630">
        <v>35</v>
      </c>
      <c r="P630" t="s">
        <v>89</v>
      </c>
      <c r="Q630" t="s">
        <v>91</v>
      </c>
      <c r="R630">
        <v>1</v>
      </c>
      <c r="S630" t="s">
        <v>92</v>
      </c>
      <c r="T630">
        <v>1</v>
      </c>
      <c r="U630" t="s">
        <v>89</v>
      </c>
      <c r="V630" t="s">
        <v>94</v>
      </c>
      <c r="W630">
        <v>1</v>
      </c>
      <c r="X630">
        <v>0</v>
      </c>
    </row>
    <row r="631" spans="2:24" x14ac:dyDescent="0.3">
      <c r="B631">
        <v>627</v>
      </c>
      <c r="C631" t="s">
        <v>11</v>
      </c>
      <c r="D631">
        <v>6</v>
      </c>
      <c r="E631" t="s">
        <v>95</v>
      </c>
      <c r="F631" t="s">
        <v>102</v>
      </c>
      <c r="G631">
        <v>2116</v>
      </c>
      <c r="H631" t="s">
        <v>96</v>
      </c>
      <c r="I631" t="s">
        <v>97</v>
      </c>
      <c r="J631">
        <v>2</v>
      </c>
      <c r="K631" t="s">
        <v>88</v>
      </c>
      <c r="L631" t="s">
        <v>89</v>
      </c>
      <c r="M631">
        <v>2</v>
      </c>
      <c r="N631" t="s">
        <v>90</v>
      </c>
      <c r="O631">
        <v>41</v>
      </c>
      <c r="P631" t="s">
        <v>89</v>
      </c>
      <c r="Q631" t="s">
        <v>91</v>
      </c>
      <c r="R631">
        <v>1</v>
      </c>
      <c r="S631" t="s">
        <v>92</v>
      </c>
      <c r="T631">
        <v>1</v>
      </c>
      <c r="U631" t="s">
        <v>93</v>
      </c>
      <c r="V631" t="s">
        <v>94</v>
      </c>
      <c r="W631">
        <v>1</v>
      </c>
      <c r="X631">
        <v>0</v>
      </c>
    </row>
    <row r="632" spans="2:24" x14ac:dyDescent="0.3">
      <c r="B632">
        <v>628</v>
      </c>
      <c r="C632" t="s">
        <v>10</v>
      </c>
      <c r="D632">
        <v>9</v>
      </c>
      <c r="E632" t="s">
        <v>124</v>
      </c>
      <c r="F632" t="s">
        <v>107</v>
      </c>
      <c r="G632">
        <v>1437</v>
      </c>
      <c r="H632" t="s">
        <v>120</v>
      </c>
      <c r="I632" t="s">
        <v>100</v>
      </c>
      <c r="J632">
        <v>2</v>
      </c>
      <c r="K632" t="s">
        <v>88</v>
      </c>
      <c r="L632" t="s">
        <v>89</v>
      </c>
      <c r="M632">
        <v>3</v>
      </c>
      <c r="N632" t="s">
        <v>108</v>
      </c>
      <c r="O632">
        <v>29</v>
      </c>
      <c r="P632" t="s">
        <v>89</v>
      </c>
      <c r="Q632" t="s">
        <v>91</v>
      </c>
      <c r="R632">
        <v>1</v>
      </c>
      <c r="S632" t="s">
        <v>92</v>
      </c>
      <c r="T632">
        <v>1</v>
      </c>
      <c r="U632" t="s">
        <v>89</v>
      </c>
      <c r="V632" t="s">
        <v>94</v>
      </c>
      <c r="W632">
        <v>2</v>
      </c>
      <c r="X632">
        <v>1</v>
      </c>
    </row>
    <row r="633" spans="2:24" x14ac:dyDescent="0.3">
      <c r="B633">
        <v>629</v>
      </c>
      <c r="C633" t="s">
        <v>12</v>
      </c>
      <c r="D633">
        <v>42</v>
      </c>
      <c r="E633" t="s">
        <v>84</v>
      </c>
      <c r="F633" t="s">
        <v>102</v>
      </c>
      <c r="G633">
        <v>4042</v>
      </c>
      <c r="H633" t="s">
        <v>109</v>
      </c>
      <c r="I633" t="s">
        <v>97</v>
      </c>
      <c r="J633">
        <v>4</v>
      </c>
      <c r="K633" t="s">
        <v>88</v>
      </c>
      <c r="L633" t="s">
        <v>89</v>
      </c>
      <c r="M633">
        <v>4</v>
      </c>
      <c r="N633" t="s">
        <v>90</v>
      </c>
      <c r="O633">
        <v>36</v>
      </c>
      <c r="P633" t="s">
        <v>89</v>
      </c>
      <c r="Q633" t="s">
        <v>91</v>
      </c>
      <c r="R633">
        <v>2</v>
      </c>
      <c r="S633" t="s">
        <v>92</v>
      </c>
      <c r="T633">
        <v>1</v>
      </c>
      <c r="U633" t="s">
        <v>93</v>
      </c>
      <c r="V633" t="s">
        <v>94</v>
      </c>
      <c r="W633">
        <v>1</v>
      </c>
      <c r="X633">
        <v>0</v>
      </c>
    </row>
    <row r="634" spans="2:24" x14ac:dyDescent="0.3">
      <c r="B634">
        <v>630</v>
      </c>
      <c r="C634" t="s">
        <v>12</v>
      </c>
      <c r="D634">
        <v>9</v>
      </c>
      <c r="E634" t="s">
        <v>95</v>
      </c>
      <c r="F634" t="s">
        <v>99</v>
      </c>
      <c r="G634">
        <v>3832</v>
      </c>
      <c r="H634" t="s">
        <v>86</v>
      </c>
      <c r="I634" t="s">
        <v>87</v>
      </c>
      <c r="J634">
        <v>1</v>
      </c>
      <c r="K634" t="s">
        <v>88</v>
      </c>
      <c r="L634" t="s">
        <v>89</v>
      </c>
      <c r="M634">
        <v>4</v>
      </c>
      <c r="N634" t="s">
        <v>90</v>
      </c>
      <c r="O634">
        <v>64</v>
      </c>
      <c r="P634" t="s">
        <v>89</v>
      </c>
      <c r="Q634" t="s">
        <v>91</v>
      </c>
      <c r="R634">
        <v>1</v>
      </c>
      <c r="S634" t="s">
        <v>101</v>
      </c>
      <c r="T634">
        <v>1</v>
      </c>
      <c r="U634" t="s">
        <v>89</v>
      </c>
      <c r="V634" t="s">
        <v>94</v>
      </c>
      <c r="W634">
        <v>1</v>
      </c>
      <c r="X634">
        <v>0</v>
      </c>
    </row>
    <row r="635" spans="2:24" x14ac:dyDescent="0.3">
      <c r="B635">
        <v>631</v>
      </c>
      <c r="C635" t="s">
        <v>8</v>
      </c>
      <c r="D635">
        <v>24</v>
      </c>
      <c r="E635" t="s">
        <v>95</v>
      </c>
      <c r="F635" t="s">
        <v>85</v>
      </c>
      <c r="G635">
        <v>3660</v>
      </c>
      <c r="H635" t="s">
        <v>96</v>
      </c>
      <c r="I635" t="s">
        <v>97</v>
      </c>
      <c r="J635">
        <v>2</v>
      </c>
      <c r="K635" t="s">
        <v>98</v>
      </c>
      <c r="L635" t="s">
        <v>89</v>
      </c>
      <c r="M635">
        <v>4</v>
      </c>
      <c r="N635" t="s">
        <v>111</v>
      </c>
      <c r="O635">
        <v>28</v>
      </c>
      <c r="P635" t="s">
        <v>89</v>
      </c>
      <c r="Q635" t="s">
        <v>91</v>
      </c>
      <c r="R635">
        <v>1</v>
      </c>
      <c r="S635" t="s">
        <v>92</v>
      </c>
      <c r="T635">
        <v>1</v>
      </c>
      <c r="U635" t="s">
        <v>89</v>
      </c>
      <c r="V635" t="s">
        <v>94</v>
      </c>
      <c r="W635">
        <v>1</v>
      </c>
      <c r="X635">
        <v>0</v>
      </c>
    </row>
    <row r="636" spans="2:24" x14ac:dyDescent="0.3">
      <c r="B636">
        <v>632</v>
      </c>
      <c r="C636" t="s">
        <v>8</v>
      </c>
      <c r="D636">
        <v>18</v>
      </c>
      <c r="E636" t="s">
        <v>124</v>
      </c>
      <c r="F636" t="s">
        <v>102</v>
      </c>
      <c r="G636">
        <v>1553</v>
      </c>
      <c r="H636" t="s">
        <v>96</v>
      </c>
      <c r="I636" t="s">
        <v>97</v>
      </c>
      <c r="J636">
        <v>4</v>
      </c>
      <c r="K636" t="s">
        <v>88</v>
      </c>
      <c r="L636" t="s">
        <v>89</v>
      </c>
      <c r="M636">
        <v>3</v>
      </c>
      <c r="N636" t="s">
        <v>111</v>
      </c>
      <c r="O636">
        <v>44</v>
      </c>
      <c r="P636" t="s">
        <v>122</v>
      </c>
      <c r="Q636" t="s">
        <v>91</v>
      </c>
      <c r="R636">
        <v>1</v>
      </c>
      <c r="S636" t="s">
        <v>92</v>
      </c>
      <c r="T636">
        <v>1</v>
      </c>
      <c r="U636" t="s">
        <v>89</v>
      </c>
      <c r="V636" t="s">
        <v>94</v>
      </c>
      <c r="W636">
        <v>2</v>
      </c>
      <c r="X636">
        <v>1</v>
      </c>
    </row>
    <row r="637" spans="2:24" x14ac:dyDescent="0.3">
      <c r="B637">
        <v>633</v>
      </c>
      <c r="C637" t="s">
        <v>10</v>
      </c>
      <c r="D637">
        <v>15</v>
      </c>
      <c r="E637" t="s">
        <v>95</v>
      </c>
      <c r="F637" t="s">
        <v>85</v>
      </c>
      <c r="G637">
        <v>1444</v>
      </c>
      <c r="H637" t="s">
        <v>86</v>
      </c>
      <c r="I637" t="s">
        <v>118</v>
      </c>
      <c r="J637">
        <v>4</v>
      </c>
      <c r="K637" t="s">
        <v>88</v>
      </c>
      <c r="L637" t="s">
        <v>89</v>
      </c>
      <c r="M637">
        <v>1</v>
      </c>
      <c r="N637" t="s">
        <v>104</v>
      </c>
      <c r="O637">
        <v>23</v>
      </c>
      <c r="P637" t="s">
        <v>89</v>
      </c>
      <c r="Q637" t="s">
        <v>91</v>
      </c>
      <c r="R637">
        <v>1</v>
      </c>
      <c r="S637" t="s">
        <v>92</v>
      </c>
      <c r="T637">
        <v>1</v>
      </c>
      <c r="U637" t="s">
        <v>89</v>
      </c>
      <c r="V637" t="s">
        <v>94</v>
      </c>
      <c r="W637">
        <v>1</v>
      </c>
      <c r="X637">
        <v>0</v>
      </c>
    </row>
    <row r="638" spans="2:24" x14ac:dyDescent="0.3">
      <c r="B638">
        <v>634</v>
      </c>
      <c r="C638" t="s">
        <v>12</v>
      </c>
      <c r="D638">
        <v>9</v>
      </c>
      <c r="E638" t="s">
        <v>95</v>
      </c>
      <c r="F638" t="s">
        <v>102</v>
      </c>
      <c r="G638">
        <v>1980</v>
      </c>
      <c r="H638" t="s">
        <v>96</v>
      </c>
      <c r="I638" t="s">
        <v>118</v>
      </c>
      <c r="J638">
        <v>2</v>
      </c>
      <c r="K638" t="s">
        <v>98</v>
      </c>
      <c r="L638" t="s">
        <v>126</v>
      </c>
      <c r="M638">
        <v>2</v>
      </c>
      <c r="N638" t="s">
        <v>111</v>
      </c>
      <c r="O638">
        <v>19</v>
      </c>
      <c r="P638" t="s">
        <v>89</v>
      </c>
      <c r="Q638" t="s">
        <v>112</v>
      </c>
      <c r="R638">
        <v>2</v>
      </c>
      <c r="S638" t="s">
        <v>92</v>
      </c>
      <c r="T638">
        <v>1</v>
      </c>
      <c r="U638" t="s">
        <v>89</v>
      </c>
      <c r="V638" t="s">
        <v>94</v>
      </c>
      <c r="W638">
        <v>2</v>
      </c>
      <c r="X638">
        <v>1</v>
      </c>
    </row>
    <row r="639" spans="2:24" x14ac:dyDescent="0.3">
      <c r="B639">
        <v>635</v>
      </c>
      <c r="C639" t="s">
        <v>10</v>
      </c>
      <c r="D639">
        <v>24</v>
      </c>
      <c r="E639" t="s">
        <v>95</v>
      </c>
      <c r="F639" t="s">
        <v>107</v>
      </c>
      <c r="G639">
        <v>1355</v>
      </c>
      <c r="H639" t="s">
        <v>96</v>
      </c>
      <c r="I639" t="s">
        <v>118</v>
      </c>
      <c r="J639">
        <v>3</v>
      </c>
      <c r="K639" t="s">
        <v>98</v>
      </c>
      <c r="L639" t="s">
        <v>89</v>
      </c>
      <c r="M639">
        <v>4</v>
      </c>
      <c r="N639" t="s">
        <v>111</v>
      </c>
      <c r="O639">
        <v>25</v>
      </c>
      <c r="P639" t="s">
        <v>89</v>
      </c>
      <c r="Q639" t="s">
        <v>91</v>
      </c>
      <c r="R639">
        <v>1</v>
      </c>
      <c r="S639" t="s">
        <v>101</v>
      </c>
      <c r="T639">
        <v>1</v>
      </c>
      <c r="U639" t="s">
        <v>93</v>
      </c>
      <c r="V639" t="s">
        <v>94</v>
      </c>
      <c r="W639">
        <v>2</v>
      </c>
      <c r="X639">
        <v>1</v>
      </c>
    </row>
    <row r="640" spans="2:24" x14ac:dyDescent="0.3">
      <c r="B640">
        <v>636</v>
      </c>
      <c r="C640" t="s">
        <v>12</v>
      </c>
      <c r="D640">
        <v>12</v>
      </c>
      <c r="E640" t="s">
        <v>95</v>
      </c>
      <c r="F640" t="s">
        <v>99</v>
      </c>
      <c r="G640">
        <v>1393</v>
      </c>
      <c r="H640" t="s">
        <v>96</v>
      </c>
      <c r="I640" t="s">
        <v>87</v>
      </c>
      <c r="J640">
        <v>4</v>
      </c>
      <c r="K640" t="s">
        <v>88</v>
      </c>
      <c r="L640" t="s">
        <v>89</v>
      </c>
      <c r="M640">
        <v>4</v>
      </c>
      <c r="N640" t="s">
        <v>104</v>
      </c>
      <c r="O640">
        <v>47</v>
      </c>
      <c r="P640" t="s">
        <v>122</v>
      </c>
      <c r="Q640" t="s">
        <v>91</v>
      </c>
      <c r="R640">
        <v>3</v>
      </c>
      <c r="S640" t="s">
        <v>92</v>
      </c>
      <c r="T640">
        <v>2</v>
      </c>
      <c r="U640" t="s">
        <v>93</v>
      </c>
      <c r="V640" t="s">
        <v>94</v>
      </c>
      <c r="W640">
        <v>1</v>
      </c>
      <c r="X640">
        <v>0</v>
      </c>
    </row>
    <row r="641" spans="2:24" x14ac:dyDescent="0.3">
      <c r="B641">
        <v>637</v>
      </c>
      <c r="C641" t="s">
        <v>12</v>
      </c>
      <c r="D641">
        <v>24</v>
      </c>
      <c r="E641" t="s">
        <v>95</v>
      </c>
      <c r="F641" t="s">
        <v>85</v>
      </c>
      <c r="G641">
        <v>1376</v>
      </c>
      <c r="H641" t="s">
        <v>109</v>
      </c>
      <c r="I641" t="s">
        <v>100</v>
      </c>
      <c r="J641">
        <v>4</v>
      </c>
      <c r="K641" t="s">
        <v>98</v>
      </c>
      <c r="L641" t="s">
        <v>89</v>
      </c>
      <c r="M641">
        <v>1</v>
      </c>
      <c r="N641" t="s">
        <v>111</v>
      </c>
      <c r="O641">
        <v>28</v>
      </c>
      <c r="P641" t="s">
        <v>89</v>
      </c>
      <c r="Q641" t="s">
        <v>91</v>
      </c>
      <c r="R641">
        <v>1</v>
      </c>
      <c r="S641" t="s">
        <v>92</v>
      </c>
      <c r="T641">
        <v>1</v>
      </c>
      <c r="U641" t="s">
        <v>89</v>
      </c>
      <c r="V641" t="s">
        <v>94</v>
      </c>
      <c r="W641">
        <v>1</v>
      </c>
      <c r="X641">
        <v>0</v>
      </c>
    </row>
    <row r="642" spans="2:24" x14ac:dyDescent="0.3">
      <c r="B642">
        <v>638</v>
      </c>
      <c r="C642" t="s">
        <v>12</v>
      </c>
      <c r="D642">
        <v>60</v>
      </c>
      <c r="E642" t="s">
        <v>106</v>
      </c>
      <c r="F642" t="s">
        <v>85</v>
      </c>
      <c r="G642">
        <v>15653</v>
      </c>
      <c r="H642" t="s">
        <v>96</v>
      </c>
      <c r="I642" t="s">
        <v>100</v>
      </c>
      <c r="J642">
        <v>2</v>
      </c>
      <c r="K642" t="s">
        <v>88</v>
      </c>
      <c r="L642" t="s">
        <v>89</v>
      </c>
      <c r="M642">
        <v>4</v>
      </c>
      <c r="N642" t="s">
        <v>111</v>
      </c>
      <c r="O642">
        <v>21</v>
      </c>
      <c r="P642" t="s">
        <v>89</v>
      </c>
      <c r="Q642" t="s">
        <v>91</v>
      </c>
      <c r="R642">
        <v>2</v>
      </c>
      <c r="S642" t="s">
        <v>92</v>
      </c>
      <c r="T642">
        <v>1</v>
      </c>
      <c r="U642" t="s">
        <v>93</v>
      </c>
      <c r="V642" t="s">
        <v>94</v>
      </c>
      <c r="W642">
        <v>1</v>
      </c>
      <c r="X642">
        <v>0</v>
      </c>
    </row>
    <row r="643" spans="2:24" x14ac:dyDescent="0.3">
      <c r="B643">
        <v>639</v>
      </c>
      <c r="C643" t="s">
        <v>12</v>
      </c>
      <c r="D643">
        <v>12</v>
      </c>
      <c r="E643" t="s">
        <v>95</v>
      </c>
      <c r="F643" t="s">
        <v>85</v>
      </c>
      <c r="G643">
        <v>1493</v>
      </c>
      <c r="H643" t="s">
        <v>96</v>
      </c>
      <c r="I643" t="s">
        <v>118</v>
      </c>
      <c r="J643">
        <v>4</v>
      </c>
      <c r="K643" t="s">
        <v>98</v>
      </c>
      <c r="L643" t="s">
        <v>89</v>
      </c>
      <c r="M643">
        <v>3</v>
      </c>
      <c r="N643" t="s">
        <v>111</v>
      </c>
      <c r="O643">
        <v>34</v>
      </c>
      <c r="P643" t="s">
        <v>89</v>
      </c>
      <c r="Q643" t="s">
        <v>91</v>
      </c>
      <c r="R643">
        <v>1</v>
      </c>
      <c r="S643" t="s">
        <v>92</v>
      </c>
      <c r="T643">
        <v>2</v>
      </c>
      <c r="U643" t="s">
        <v>89</v>
      </c>
      <c r="V643" t="s">
        <v>94</v>
      </c>
      <c r="W643">
        <v>1</v>
      </c>
      <c r="X643">
        <v>0</v>
      </c>
    </row>
    <row r="644" spans="2:24" x14ac:dyDescent="0.3">
      <c r="B644">
        <v>640</v>
      </c>
      <c r="C644" t="s">
        <v>8</v>
      </c>
      <c r="D644">
        <v>42</v>
      </c>
      <c r="E644" t="s">
        <v>106</v>
      </c>
      <c r="F644" t="s">
        <v>85</v>
      </c>
      <c r="G644">
        <v>4370</v>
      </c>
      <c r="H644" t="s">
        <v>96</v>
      </c>
      <c r="I644" t="s">
        <v>100</v>
      </c>
      <c r="J644">
        <v>3</v>
      </c>
      <c r="K644" t="s">
        <v>88</v>
      </c>
      <c r="L644" t="s">
        <v>89</v>
      </c>
      <c r="M644">
        <v>2</v>
      </c>
      <c r="N644" t="s">
        <v>104</v>
      </c>
      <c r="O644">
        <v>26</v>
      </c>
      <c r="P644" t="s">
        <v>122</v>
      </c>
      <c r="Q644" t="s">
        <v>91</v>
      </c>
      <c r="R644">
        <v>2</v>
      </c>
      <c r="S644" t="s">
        <v>92</v>
      </c>
      <c r="T644">
        <v>2</v>
      </c>
      <c r="U644" t="s">
        <v>93</v>
      </c>
      <c r="V644" t="s">
        <v>94</v>
      </c>
      <c r="W644">
        <v>2</v>
      </c>
      <c r="X644">
        <v>1</v>
      </c>
    </row>
    <row r="645" spans="2:24" x14ac:dyDescent="0.3">
      <c r="B645">
        <v>641</v>
      </c>
      <c r="C645" t="s">
        <v>8</v>
      </c>
      <c r="D645">
        <v>18</v>
      </c>
      <c r="E645" t="s">
        <v>95</v>
      </c>
      <c r="F645" t="s">
        <v>99</v>
      </c>
      <c r="G645">
        <v>750</v>
      </c>
      <c r="H645" t="s">
        <v>96</v>
      </c>
      <c r="I645" t="s">
        <v>116</v>
      </c>
      <c r="J645">
        <v>4</v>
      </c>
      <c r="K645" t="s">
        <v>98</v>
      </c>
      <c r="L645" t="s">
        <v>89</v>
      </c>
      <c r="M645">
        <v>1</v>
      </c>
      <c r="N645" t="s">
        <v>90</v>
      </c>
      <c r="O645">
        <v>27</v>
      </c>
      <c r="P645" t="s">
        <v>89</v>
      </c>
      <c r="Q645" t="s">
        <v>91</v>
      </c>
      <c r="R645">
        <v>1</v>
      </c>
      <c r="S645" t="s">
        <v>129</v>
      </c>
      <c r="T645">
        <v>1</v>
      </c>
      <c r="U645" t="s">
        <v>89</v>
      </c>
      <c r="V645" t="s">
        <v>94</v>
      </c>
      <c r="W645">
        <v>2</v>
      </c>
      <c r="X645">
        <v>1</v>
      </c>
    </row>
    <row r="646" spans="2:24" x14ac:dyDescent="0.3">
      <c r="B646">
        <v>642</v>
      </c>
      <c r="C646" t="s">
        <v>10</v>
      </c>
      <c r="D646">
        <v>15</v>
      </c>
      <c r="E646" t="s">
        <v>95</v>
      </c>
      <c r="F646" t="s">
        <v>128</v>
      </c>
      <c r="G646">
        <v>1308</v>
      </c>
      <c r="H646" t="s">
        <v>96</v>
      </c>
      <c r="I646" t="s">
        <v>87</v>
      </c>
      <c r="J646">
        <v>4</v>
      </c>
      <c r="K646" t="s">
        <v>88</v>
      </c>
      <c r="L646" t="s">
        <v>89</v>
      </c>
      <c r="M646">
        <v>4</v>
      </c>
      <c r="N646" t="s">
        <v>111</v>
      </c>
      <c r="O646">
        <v>38</v>
      </c>
      <c r="P646" t="s">
        <v>89</v>
      </c>
      <c r="Q646" t="s">
        <v>91</v>
      </c>
      <c r="R646">
        <v>2</v>
      </c>
      <c r="S646" t="s">
        <v>101</v>
      </c>
      <c r="T646">
        <v>1</v>
      </c>
      <c r="U646" t="s">
        <v>89</v>
      </c>
      <c r="V646" t="s">
        <v>94</v>
      </c>
      <c r="W646">
        <v>1</v>
      </c>
      <c r="X646">
        <v>0</v>
      </c>
    </row>
    <row r="647" spans="2:24" x14ac:dyDescent="0.3">
      <c r="B647">
        <v>643</v>
      </c>
      <c r="C647" t="s">
        <v>12</v>
      </c>
      <c r="D647">
        <v>15</v>
      </c>
      <c r="E647" t="s">
        <v>95</v>
      </c>
      <c r="F647" t="s">
        <v>99</v>
      </c>
      <c r="G647">
        <v>4623</v>
      </c>
      <c r="H647" t="s">
        <v>120</v>
      </c>
      <c r="I647" t="s">
        <v>97</v>
      </c>
      <c r="J647">
        <v>3</v>
      </c>
      <c r="K647" t="s">
        <v>88</v>
      </c>
      <c r="L647" t="s">
        <v>89</v>
      </c>
      <c r="M647">
        <v>2</v>
      </c>
      <c r="N647" t="s">
        <v>104</v>
      </c>
      <c r="O647">
        <v>40</v>
      </c>
      <c r="P647" t="s">
        <v>89</v>
      </c>
      <c r="Q647" t="s">
        <v>91</v>
      </c>
      <c r="R647">
        <v>1</v>
      </c>
      <c r="S647" t="s">
        <v>113</v>
      </c>
      <c r="T647">
        <v>1</v>
      </c>
      <c r="U647" t="s">
        <v>93</v>
      </c>
      <c r="V647" t="s">
        <v>94</v>
      </c>
      <c r="W647">
        <v>2</v>
      </c>
      <c r="X647">
        <v>1</v>
      </c>
    </row>
    <row r="648" spans="2:24" x14ac:dyDescent="0.3">
      <c r="B648">
        <v>644</v>
      </c>
      <c r="C648" t="s">
        <v>12</v>
      </c>
      <c r="D648">
        <v>24</v>
      </c>
      <c r="E648" t="s">
        <v>84</v>
      </c>
      <c r="F648" t="s">
        <v>85</v>
      </c>
      <c r="G648">
        <v>1851</v>
      </c>
      <c r="H648" t="s">
        <v>96</v>
      </c>
      <c r="I648" t="s">
        <v>100</v>
      </c>
      <c r="J648">
        <v>4</v>
      </c>
      <c r="K648" t="s">
        <v>117</v>
      </c>
      <c r="L648" t="s">
        <v>103</v>
      </c>
      <c r="M648">
        <v>2</v>
      </c>
      <c r="N648" t="s">
        <v>111</v>
      </c>
      <c r="O648">
        <v>33</v>
      </c>
      <c r="P648" t="s">
        <v>89</v>
      </c>
      <c r="Q648" t="s">
        <v>91</v>
      </c>
      <c r="R648">
        <v>2</v>
      </c>
      <c r="S648" t="s">
        <v>92</v>
      </c>
      <c r="T648">
        <v>1</v>
      </c>
      <c r="U648" t="s">
        <v>93</v>
      </c>
      <c r="V648" t="s">
        <v>94</v>
      </c>
      <c r="W648">
        <v>1</v>
      </c>
      <c r="X648">
        <v>0</v>
      </c>
    </row>
    <row r="649" spans="2:24" x14ac:dyDescent="0.3">
      <c r="B649">
        <v>645</v>
      </c>
      <c r="C649" t="s">
        <v>8</v>
      </c>
      <c r="D649">
        <v>18</v>
      </c>
      <c r="E649" t="s">
        <v>84</v>
      </c>
      <c r="F649" t="s">
        <v>85</v>
      </c>
      <c r="G649">
        <v>1880</v>
      </c>
      <c r="H649" t="s">
        <v>96</v>
      </c>
      <c r="I649" t="s">
        <v>100</v>
      </c>
      <c r="J649">
        <v>4</v>
      </c>
      <c r="K649" t="s">
        <v>117</v>
      </c>
      <c r="L649" t="s">
        <v>89</v>
      </c>
      <c r="M649">
        <v>1</v>
      </c>
      <c r="N649" t="s">
        <v>104</v>
      </c>
      <c r="O649">
        <v>32</v>
      </c>
      <c r="P649" t="s">
        <v>89</v>
      </c>
      <c r="Q649" t="s">
        <v>91</v>
      </c>
      <c r="R649">
        <v>2</v>
      </c>
      <c r="S649" t="s">
        <v>113</v>
      </c>
      <c r="T649">
        <v>1</v>
      </c>
      <c r="U649" t="s">
        <v>93</v>
      </c>
      <c r="V649" t="s">
        <v>94</v>
      </c>
      <c r="W649">
        <v>1</v>
      </c>
      <c r="X649">
        <v>0</v>
      </c>
    </row>
    <row r="650" spans="2:24" x14ac:dyDescent="0.3">
      <c r="B650">
        <v>646</v>
      </c>
      <c r="C650" t="s">
        <v>12</v>
      </c>
      <c r="D650">
        <v>36</v>
      </c>
      <c r="E650" t="s">
        <v>106</v>
      </c>
      <c r="F650" t="s">
        <v>119</v>
      </c>
      <c r="G650">
        <v>7980</v>
      </c>
      <c r="H650" t="s">
        <v>86</v>
      </c>
      <c r="I650" t="s">
        <v>118</v>
      </c>
      <c r="J650">
        <v>4</v>
      </c>
      <c r="K650" t="s">
        <v>88</v>
      </c>
      <c r="L650" t="s">
        <v>89</v>
      </c>
      <c r="M650">
        <v>4</v>
      </c>
      <c r="N650" t="s">
        <v>111</v>
      </c>
      <c r="O650">
        <v>27</v>
      </c>
      <c r="P650" t="s">
        <v>89</v>
      </c>
      <c r="Q650" t="s">
        <v>112</v>
      </c>
      <c r="R650">
        <v>2</v>
      </c>
      <c r="S650" t="s">
        <v>92</v>
      </c>
      <c r="T650">
        <v>1</v>
      </c>
      <c r="U650" t="s">
        <v>93</v>
      </c>
      <c r="V650" t="s">
        <v>94</v>
      </c>
      <c r="W650">
        <v>2</v>
      </c>
      <c r="X650">
        <v>1</v>
      </c>
    </row>
    <row r="651" spans="2:24" x14ac:dyDescent="0.3">
      <c r="B651">
        <v>647</v>
      </c>
      <c r="C651" t="s">
        <v>8</v>
      </c>
      <c r="D651">
        <v>30</v>
      </c>
      <c r="E651" t="s">
        <v>121</v>
      </c>
      <c r="F651" t="s">
        <v>102</v>
      </c>
      <c r="G651">
        <v>4583</v>
      </c>
      <c r="H651" t="s">
        <v>96</v>
      </c>
      <c r="I651" t="s">
        <v>97</v>
      </c>
      <c r="J651">
        <v>2</v>
      </c>
      <c r="K651" t="s">
        <v>115</v>
      </c>
      <c r="L651" t="s">
        <v>103</v>
      </c>
      <c r="M651">
        <v>2</v>
      </c>
      <c r="N651" t="s">
        <v>90</v>
      </c>
      <c r="O651">
        <v>32</v>
      </c>
      <c r="P651" t="s">
        <v>89</v>
      </c>
      <c r="Q651" t="s">
        <v>91</v>
      </c>
      <c r="R651">
        <v>2</v>
      </c>
      <c r="S651" t="s">
        <v>92</v>
      </c>
      <c r="T651">
        <v>1</v>
      </c>
      <c r="U651" t="s">
        <v>89</v>
      </c>
      <c r="V651" t="s">
        <v>94</v>
      </c>
      <c r="W651">
        <v>1</v>
      </c>
      <c r="X651">
        <v>0</v>
      </c>
    </row>
    <row r="652" spans="2:24" x14ac:dyDescent="0.3">
      <c r="B652">
        <v>648</v>
      </c>
      <c r="C652" t="s">
        <v>12</v>
      </c>
      <c r="D652">
        <v>12</v>
      </c>
      <c r="E652" t="s">
        <v>95</v>
      </c>
      <c r="F652" t="s">
        <v>107</v>
      </c>
      <c r="G652">
        <v>1386</v>
      </c>
      <c r="H652" t="s">
        <v>109</v>
      </c>
      <c r="I652" t="s">
        <v>97</v>
      </c>
      <c r="J652">
        <v>2</v>
      </c>
      <c r="K652" t="s">
        <v>98</v>
      </c>
      <c r="L652" t="s">
        <v>89</v>
      </c>
      <c r="M652">
        <v>2</v>
      </c>
      <c r="N652" t="s">
        <v>104</v>
      </c>
      <c r="O652">
        <v>26</v>
      </c>
      <c r="P652" t="s">
        <v>89</v>
      </c>
      <c r="Q652" t="s">
        <v>91</v>
      </c>
      <c r="R652">
        <v>1</v>
      </c>
      <c r="S652" t="s">
        <v>92</v>
      </c>
      <c r="T652">
        <v>1</v>
      </c>
      <c r="U652" t="s">
        <v>89</v>
      </c>
      <c r="V652" t="s">
        <v>94</v>
      </c>
      <c r="W652">
        <v>2</v>
      </c>
      <c r="X652">
        <v>1</v>
      </c>
    </row>
    <row r="653" spans="2:24" x14ac:dyDescent="0.3">
      <c r="B653">
        <v>649</v>
      </c>
      <c r="C653" t="s">
        <v>11</v>
      </c>
      <c r="D653">
        <v>24</v>
      </c>
      <c r="E653" t="s">
        <v>95</v>
      </c>
      <c r="F653" t="s">
        <v>107</v>
      </c>
      <c r="G653">
        <v>947</v>
      </c>
      <c r="H653" t="s">
        <v>96</v>
      </c>
      <c r="I653" t="s">
        <v>100</v>
      </c>
      <c r="J653">
        <v>4</v>
      </c>
      <c r="K653" t="s">
        <v>88</v>
      </c>
      <c r="L653" t="s">
        <v>89</v>
      </c>
      <c r="M653">
        <v>3</v>
      </c>
      <c r="N653" t="s">
        <v>108</v>
      </c>
      <c r="O653">
        <v>38</v>
      </c>
      <c r="P653" t="s">
        <v>122</v>
      </c>
      <c r="Q653" t="s">
        <v>105</v>
      </c>
      <c r="R653">
        <v>1</v>
      </c>
      <c r="S653" t="s">
        <v>92</v>
      </c>
      <c r="T653">
        <v>2</v>
      </c>
      <c r="U653" t="s">
        <v>89</v>
      </c>
      <c r="V653" t="s">
        <v>94</v>
      </c>
      <c r="W653">
        <v>2</v>
      </c>
      <c r="X653">
        <v>1</v>
      </c>
    </row>
    <row r="654" spans="2:24" x14ac:dyDescent="0.3">
      <c r="B654">
        <v>650</v>
      </c>
      <c r="C654" t="s">
        <v>8</v>
      </c>
      <c r="D654">
        <v>12</v>
      </c>
      <c r="E654" t="s">
        <v>95</v>
      </c>
      <c r="F654" t="s">
        <v>99</v>
      </c>
      <c r="G654">
        <v>684</v>
      </c>
      <c r="H654" t="s">
        <v>96</v>
      </c>
      <c r="I654" t="s">
        <v>97</v>
      </c>
      <c r="J654">
        <v>4</v>
      </c>
      <c r="K654" t="s">
        <v>88</v>
      </c>
      <c r="L654" t="s">
        <v>89</v>
      </c>
      <c r="M654">
        <v>4</v>
      </c>
      <c r="N654" t="s">
        <v>111</v>
      </c>
      <c r="O654">
        <v>40</v>
      </c>
      <c r="P654" t="s">
        <v>89</v>
      </c>
      <c r="Q654" t="s">
        <v>112</v>
      </c>
      <c r="R654">
        <v>1</v>
      </c>
      <c r="S654" t="s">
        <v>101</v>
      </c>
      <c r="T654">
        <v>2</v>
      </c>
      <c r="U654" t="s">
        <v>89</v>
      </c>
      <c r="V654" t="s">
        <v>94</v>
      </c>
      <c r="W654">
        <v>2</v>
      </c>
      <c r="X654">
        <v>1</v>
      </c>
    </row>
    <row r="655" spans="2:24" x14ac:dyDescent="0.3">
      <c r="B655">
        <v>651</v>
      </c>
      <c r="C655" t="s">
        <v>8</v>
      </c>
      <c r="D655">
        <v>48</v>
      </c>
      <c r="E655" t="s">
        <v>95</v>
      </c>
      <c r="F655" t="s">
        <v>99</v>
      </c>
      <c r="G655">
        <v>7476</v>
      </c>
      <c r="H655" t="s">
        <v>96</v>
      </c>
      <c r="I655" t="s">
        <v>100</v>
      </c>
      <c r="J655">
        <v>4</v>
      </c>
      <c r="K655" t="s">
        <v>88</v>
      </c>
      <c r="L655" t="s">
        <v>89</v>
      </c>
      <c r="M655">
        <v>1</v>
      </c>
      <c r="N655" t="s">
        <v>108</v>
      </c>
      <c r="O655">
        <v>50</v>
      </c>
      <c r="P655" t="s">
        <v>89</v>
      </c>
      <c r="Q655" t="s">
        <v>105</v>
      </c>
      <c r="R655">
        <v>1</v>
      </c>
      <c r="S655" t="s">
        <v>113</v>
      </c>
      <c r="T655">
        <v>1</v>
      </c>
      <c r="U655" t="s">
        <v>93</v>
      </c>
      <c r="V655" t="s">
        <v>94</v>
      </c>
      <c r="W655">
        <v>1</v>
      </c>
      <c r="X655">
        <v>0</v>
      </c>
    </row>
    <row r="656" spans="2:24" x14ac:dyDescent="0.3">
      <c r="B656">
        <v>652</v>
      </c>
      <c r="C656" t="s">
        <v>10</v>
      </c>
      <c r="D656">
        <v>12</v>
      </c>
      <c r="E656" t="s">
        <v>95</v>
      </c>
      <c r="F656" t="s">
        <v>102</v>
      </c>
      <c r="G656">
        <v>1922</v>
      </c>
      <c r="H656" t="s">
        <v>96</v>
      </c>
      <c r="I656" t="s">
        <v>97</v>
      </c>
      <c r="J656">
        <v>4</v>
      </c>
      <c r="K656" t="s">
        <v>88</v>
      </c>
      <c r="L656" t="s">
        <v>89</v>
      </c>
      <c r="M656">
        <v>2</v>
      </c>
      <c r="N656" t="s">
        <v>104</v>
      </c>
      <c r="O656">
        <v>37</v>
      </c>
      <c r="P656" t="s">
        <v>89</v>
      </c>
      <c r="Q656" t="s">
        <v>91</v>
      </c>
      <c r="R656">
        <v>1</v>
      </c>
      <c r="S656" t="s">
        <v>101</v>
      </c>
      <c r="T656">
        <v>1</v>
      </c>
      <c r="U656" t="s">
        <v>89</v>
      </c>
      <c r="V656" t="s">
        <v>94</v>
      </c>
      <c r="W656">
        <v>2</v>
      </c>
      <c r="X656">
        <v>1</v>
      </c>
    </row>
    <row r="657" spans="2:24" x14ac:dyDescent="0.3">
      <c r="B657">
        <v>653</v>
      </c>
      <c r="C657" t="s">
        <v>8</v>
      </c>
      <c r="D657">
        <v>24</v>
      </c>
      <c r="E657" t="s">
        <v>95</v>
      </c>
      <c r="F657" t="s">
        <v>107</v>
      </c>
      <c r="G657">
        <v>2303</v>
      </c>
      <c r="H657" t="s">
        <v>96</v>
      </c>
      <c r="I657" t="s">
        <v>87</v>
      </c>
      <c r="J657">
        <v>4</v>
      </c>
      <c r="K657" t="s">
        <v>88</v>
      </c>
      <c r="L657" t="s">
        <v>126</v>
      </c>
      <c r="M657">
        <v>1</v>
      </c>
      <c r="N657" t="s">
        <v>90</v>
      </c>
      <c r="O657">
        <v>45</v>
      </c>
      <c r="P657" t="s">
        <v>89</v>
      </c>
      <c r="Q657" t="s">
        <v>91</v>
      </c>
      <c r="R657">
        <v>1</v>
      </c>
      <c r="S657" t="s">
        <v>92</v>
      </c>
      <c r="T657">
        <v>1</v>
      </c>
      <c r="U657" t="s">
        <v>89</v>
      </c>
      <c r="V657" t="s">
        <v>94</v>
      </c>
      <c r="W657">
        <v>2</v>
      </c>
      <c r="X657">
        <v>1</v>
      </c>
    </row>
    <row r="658" spans="2:24" x14ac:dyDescent="0.3">
      <c r="B658">
        <v>654</v>
      </c>
      <c r="C658" t="s">
        <v>10</v>
      </c>
      <c r="D658">
        <v>36</v>
      </c>
      <c r="E658" t="s">
        <v>106</v>
      </c>
      <c r="F658" t="s">
        <v>107</v>
      </c>
      <c r="G658">
        <v>8086</v>
      </c>
      <c r="H658" t="s">
        <v>120</v>
      </c>
      <c r="I658" t="s">
        <v>87</v>
      </c>
      <c r="J658">
        <v>2</v>
      </c>
      <c r="K658" t="s">
        <v>88</v>
      </c>
      <c r="L658" t="s">
        <v>89</v>
      </c>
      <c r="M658">
        <v>4</v>
      </c>
      <c r="N658" t="s">
        <v>111</v>
      </c>
      <c r="O658">
        <v>42</v>
      </c>
      <c r="P658" t="s">
        <v>89</v>
      </c>
      <c r="Q658" t="s">
        <v>91</v>
      </c>
      <c r="R658">
        <v>4</v>
      </c>
      <c r="S658" t="s">
        <v>113</v>
      </c>
      <c r="T658">
        <v>1</v>
      </c>
      <c r="U658" t="s">
        <v>93</v>
      </c>
      <c r="V658" t="s">
        <v>94</v>
      </c>
      <c r="W658">
        <v>2</v>
      </c>
      <c r="X658">
        <v>1</v>
      </c>
    </row>
    <row r="659" spans="2:24" x14ac:dyDescent="0.3">
      <c r="B659">
        <v>655</v>
      </c>
      <c r="C659" t="s">
        <v>12</v>
      </c>
      <c r="D659">
        <v>24</v>
      </c>
      <c r="E659" t="s">
        <v>84</v>
      </c>
      <c r="F659" t="s">
        <v>110</v>
      </c>
      <c r="G659">
        <v>2346</v>
      </c>
      <c r="H659" t="s">
        <v>96</v>
      </c>
      <c r="I659" t="s">
        <v>100</v>
      </c>
      <c r="J659">
        <v>4</v>
      </c>
      <c r="K659" t="s">
        <v>88</v>
      </c>
      <c r="L659" t="s">
        <v>89</v>
      </c>
      <c r="M659">
        <v>3</v>
      </c>
      <c r="N659" t="s">
        <v>111</v>
      </c>
      <c r="O659">
        <v>35</v>
      </c>
      <c r="P659" t="s">
        <v>89</v>
      </c>
      <c r="Q659" t="s">
        <v>91</v>
      </c>
      <c r="R659">
        <v>2</v>
      </c>
      <c r="S659" t="s">
        <v>92</v>
      </c>
      <c r="T659">
        <v>1</v>
      </c>
      <c r="U659" t="s">
        <v>93</v>
      </c>
      <c r="V659" t="s">
        <v>94</v>
      </c>
      <c r="W659">
        <v>1</v>
      </c>
      <c r="X659">
        <v>0</v>
      </c>
    </row>
    <row r="660" spans="2:24" x14ac:dyDescent="0.3">
      <c r="B660">
        <v>656</v>
      </c>
      <c r="C660" t="s">
        <v>8</v>
      </c>
      <c r="D660">
        <v>14</v>
      </c>
      <c r="E660" t="s">
        <v>95</v>
      </c>
      <c r="F660" t="s">
        <v>107</v>
      </c>
      <c r="G660">
        <v>3973</v>
      </c>
      <c r="H660" t="s">
        <v>96</v>
      </c>
      <c r="I660" t="s">
        <v>116</v>
      </c>
      <c r="J660">
        <v>1</v>
      </c>
      <c r="K660" t="s">
        <v>88</v>
      </c>
      <c r="L660" t="s">
        <v>89</v>
      </c>
      <c r="M660">
        <v>4</v>
      </c>
      <c r="N660" t="s">
        <v>108</v>
      </c>
      <c r="O660">
        <v>22</v>
      </c>
      <c r="P660" t="s">
        <v>89</v>
      </c>
      <c r="Q660" t="s">
        <v>105</v>
      </c>
      <c r="R660">
        <v>1</v>
      </c>
      <c r="S660" t="s">
        <v>92</v>
      </c>
      <c r="T660">
        <v>1</v>
      </c>
      <c r="U660" t="s">
        <v>89</v>
      </c>
      <c r="V660" t="s">
        <v>94</v>
      </c>
      <c r="W660">
        <v>1</v>
      </c>
      <c r="X660">
        <v>0</v>
      </c>
    </row>
    <row r="661" spans="2:24" x14ac:dyDescent="0.3">
      <c r="B661">
        <v>657</v>
      </c>
      <c r="C661" t="s">
        <v>10</v>
      </c>
      <c r="D661">
        <v>12</v>
      </c>
      <c r="E661" t="s">
        <v>95</v>
      </c>
      <c r="F661" t="s">
        <v>107</v>
      </c>
      <c r="G661">
        <v>888</v>
      </c>
      <c r="H661" t="s">
        <v>96</v>
      </c>
      <c r="I661" t="s">
        <v>87</v>
      </c>
      <c r="J661">
        <v>4</v>
      </c>
      <c r="K661" t="s">
        <v>88</v>
      </c>
      <c r="L661" t="s">
        <v>89</v>
      </c>
      <c r="M661">
        <v>4</v>
      </c>
      <c r="N661" t="s">
        <v>111</v>
      </c>
      <c r="O661">
        <v>41</v>
      </c>
      <c r="P661" t="s">
        <v>122</v>
      </c>
      <c r="Q661" t="s">
        <v>91</v>
      </c>
      <c r="R661">
        <v>1</v>
      </c>
      <c r="S661" t="s">
        <v>101</v>
      </c>
      <c r="T661">
        <v>2</v>
      </c>
      <c r="U661" t="s">
        <v>89</v>
      </c>
      <c r="V661" t="s">
        <v>94</v>
      </c>
      <c r="W661">
        <v>2</v>
      </c>
      <c r="X661">
        <v>1</v>
      </c>
    </row>
    <row r="662" spans="2:24" x14ac:dyDescent="0.3">
      <c r="B662">
        <v>658</v>
      </c>
      <c r="C662" t="s">
        <v>12</v>
      </c>
      <c r="D662">
        <v>48</v>
      </c>
      <c r="E662" t="s">
        <v>95</v>
      </c>
      <c r="F662" t="s">
        <v>85</v>
      </c>
      <c r="G662">
        <v>10222</v>
      </c>
      <c r="H662" t="s">
        <v>86</v>
      </c>
      <c r="I662" t="s">
        <v>100</v>
      </c>
      <c r="J662">
        <v>4</v>
      </c>
      <c r="K662" t="s">
        <v>88</v>
      </c>
      <c r="L662" t="s">
        <v>89</v>
      </c>
      <c r="M662">
        <v>3</v>
      </c>
      <c r="N662" t="s">
        <v>111</v>
      </c>
      <c r="O662">
        <v>37</v>
      </c>
      <c r="P662" t="s">
        <v>125</v>
      </c>
      <c r="Q662" t="s">
        <v>91</v>
      </c>
      <c r="R662">
        <v>1</v>
      </c>
      <c r="S662" t="s">
        <v>92</v>
      </c>
      <c r="T662">
        <v>1</v>
      </c>
      <c r="U662" t="s">
        <v>93</v>
      </c>
      <c r="V662" t="s">
        <v>94</v>
      </c>
      <c r="W662">
        <v>1</v>
      </c>
      <c r="X662">
        <v>0</v>
      </c>
    </row>
    <row r="663" spans="2:24" x14ac:dyDescent="0.3">
      <c r="B663">
        <v>659</v>
      </c>
      <c r="C663" t="s">
        <v>10</v>
      </c>
      <c r="D663">
        <v>30</v>
      </c>
      <c r="E663" t="s">
        <v>121</v>
      </c>
      <c r="F663" t="s">
        <v>119</v>
      </c>
      <c r="G663">
        <v>4221</v>
      </c>
      <c r="H663" t="s">
        <v>96</v>
      </c>
      <c r="I663" t="s">
        <v>97</v>
      </c>
      <c r="J663">
        <v>2</v>
      </c>
      <c r="K663" t="s">
        <v>98</v>
      </c>
      <c r="L663" t="s">
        <v>89</v>
      </c>
      <c r="M663">
        <v>1</v>
      </c>
      <c r="N663" t="s">
        <v>111</v>
      </c>
      <c r="O663">
        <v>28</v>
      </c>
      <c r="P663" t="s">
        <v>89</v>
      </c>
      <c r="Q663" t="s">
        <v>91</v>
      </c>
      <c r="R663">
        <v>2</v>
      </c>
      <c r="S663" t="s">
        <v>92</v>
      </c>
      <c r="T663">
        <v>1</v>
      </c>
      <c r="U663" t="s">
        <v>89</v>
      </c>
      <c r="V663" t="s">
        <v>94</v>
      </c>
      <c r="W663">
        <v>1</v>
      </c>
      <c r="X663">
        <v>0</v>
      </c>
    </row>
    <row r="664" spans="2:24" x14ac:dyDescent="0.3">
      <c r="B664">
        <v>660</v>
      </c>
      <c r="C664" t="s">
        <v>10</v>
      </c>
      <c r="D664">
        <v>18</v>
      </c>
      <c r="E664" t="s">
        <v>84</v>
      </c>
      <c r="F664" t="s">
        <v>102</v>
      </c>
      <c r="G664">
        <v>6361</v>
      </c>
      <c r="H664" t="s">
        <v>96</v>
      </c>
      <c r="I664" t="s">
        <v>87</v>
      </c>
      <c r="J664">
        <v>2</v>
      </c>
      <c r="K664" t="s">
        <v>88</v>
      </c>
      <c r="L664" t="s">
        <v>89</v>
      </c>
      <c r="M664">
        <v>1</v>
      </c>
      <c r="N664" t="s">
        <v>108</v>
      </c>
      <c r="O664">
        <v>41</v>
      </c>
      <c r="P664" t="s">
        <v>89</v>
      </c>
      <c r="Q664" t="s">
        <v>91</v>
      </c>
      <c r="R664">
        <v>1</v>
      </c>
      <c r="S664" t="s">
        <v>92</v>
      </c>
      <c r="T664">
        <v>1</v>
      </c>
      <c r="U664" t="s">
        <v>93</v>
      </c>
      <c r="V664" t="s">
        <v>94</v>
      </c>
      <c r="W664">
        <v>1</v>
      </c>
      <c r="X664">
        <v>0</v>
      </c>
    </row>
    <row r="665" spans="2:24" x14ac:dyDescent="0.3">
      <c r="B665">
        <v>661</v>
      </c>
      <c r="C665" t="s">
        <v>11</v>
      </c>
      <c r="D665">
        <v>12</v>
      </c>
      <c r="E665" t="s">
        <v>95</v>
      </c>
      <c r="F665" t="s">
        <v>85</v>
      </c>
      <c r="G665">
        <v>1297</v>
      </c>
      <c r="H665" t="s">
        <v>96</v>
      </c>
      <c r="I665" t="s">
        <v>97</v>
      </c>
      <c r="J665">
        <v>3</v>
      </c>
      <c r="K665" t="s">
        <v>117</v>
      </c>
      <c r="L665" t="s">
        <v>89</v>
      </c>
      <c r="M665">
        <v>4</v>
      </c>
      <c r="N665" t="s">
        <v>90</v>
      </c>
      <c r="O665">
        <v>23</v>
      </c>
      <c r="P665" t="s">
        <v>89</v>
      </c>
      <c r="Q665" t="s">
        <v>112</v>
      </c>
      <c r="R665">
        <v>1</v>
      </c>
      <c r="S665" t="s">
        <v>92</v>
      </c>
      <c r="T665">
        <v>1</v>
      </c>
      <c r="U665" t="s">
        <v>89</v>
      </c>
      <c r="V665" t="s">
        <v>94</v>
      </c>
      <c r="W665">
        <v>1</v>
      </c>
      <c r="X665">
        <v>0</v>
      </c>
    </row>
    <row r="666" spans="2:24" x14ac:dyDescent="0.3">
      <c r="B666">
        <v>662</v>
      </c>
      <c r="C666" t="s">
        <v>8</v>
      </c>
      <c r="D666">
        <v>12</v>
      </c>
      <c r="E666" t="s">
        <v>95</v>
      </c>
      <c r="F666" t="s">
        <v>107</v>
      </c>
      <c r="G666">
        <v>900</v>
      </c>
      <c r="H666" t="s">
        <v>86</v>
      </c>
      <c r="I666" t="s">
        <v>97</v>
      </c>
      <c r="J666">
        <v>4</v>
      </c>
      <c r="K666" t="s">
        <v>117</v>
      </c>
      <c r="L666" t="s">
        <v>89</v>
      </c>
      <c r="M666">
        <v>2</v>
      </c>
      <c r="N666" t="s">
        <v>111</v>
      </c>
      <c r="O666">
        <v>23</v>
      </c>
      <c r="P666" t="s">
        <v>89</v>
      </c>
      <c r="Q666" t="s">
        <v>91</v>
      </c>
      <c r="R666">
        <v>1</v>
      </c>
      <c r="S666" t="s">
        <v>92</v>
      </c>
      <c r="T666">
        <v>1</v>
      </c>
      <c r="U666" t="s">
        <v>89</v>
      </c>
      <c r="V666" t="s">
        <v>94</v>
      </c>
      <c r="W666">
        <v>2</v>
      </c>
      <c r="X666">
        <v>1</v>
      </c>
    </row>
    <row r="667" spans="2:24" x14ac:dyDescent="0.3">
      <c r="B667">
        <v>663</v>
      </c>
      <c r="C667" t="s">
        <v>12</v>
      </c>
      <c r="D667">
        <v>21</v>
      </c>
      <c r="E667" t="s">
        <v>95</v>
      </c>
      <c r="F667" t="s">
        <v>102</v>
      </c>
      <c r="G667">
        <v>2241</v>
      </c>
      <c r="H667" t="s">
        <v>96</v>
      </c>
      <c r="I667" t="s">
        <v>87</v>
      </c>
      <c r="J667">
        <v>4</v>
      </c>
      <c r="K667" t="s">
        <v>88</v>
      </c>
      <c r="L667" t="s">
        <v>89</v>
      </c>
      <c r="M667">
        <v>2</v>
      </c>
      <c r="N667" t="s">
        <v>90</v>
      </c>
      <c r="O667">
        <v>50</v>
      </c>
      <c r="P667" t="s">
        <v>89</v>
      </c>
      <c r="Q667" t="s">
        <v>91</v>
      </c>
      <c r="R667">
        <v>2</v>
      </c>
      <c r="S667" t="s">
        <v>92</v>
      </c>
      <c r="T667">
        <v>1</v>
      </c>
      <c r="U667" t="s">
        <v>89</v>
      </c>
      <c r="V667" t="s">
        <v>94</v>
      </c>
      <c r="W667">
        <v>1</v>
      </c>
      <c r="X667">
        <v>0</v>
      </c>
    </row>
    <row r="668" spans="2:24" x14ac:dyDescent="0.3">
      <c r="B668">
        <v>664</v>
      </c>
      <c r="C668" t="s">
        <v>10</v>
      </c>
      <c r="D668">
        <v>6</v>
      </c>
      <c r="E668" t="s">
        <v>106</v>
      </c>
      <c r="F668" t="s">
        <v>102</v>
      </c>
      <c r="G668">
        <v>1050</v>
      </c>
      <c r="H668" t="s">
        <v>96</v>
      </c>
      <c r="I668" t="s">
        <v>116</v>
      </c>
      <c r="J668">
        <v>4</v>
      </c>
      <c r="K668" t="s">
        <v>88</v>
      </c>
      <c r="L668" t="s">
        <v>89</v>
      </c>
      <c r="M668">
        <v>1</v>
      </c>
      <c r="N668" t="s">
        <v>104</v>
      </c>
      <c r="O668">
        <v>35</v>
      </c>
      <c r="P668" t="s">
        <v>125</v>
      </c>
      <c r="Q668" t="s">
        <v>91</v>
      </c>
      <c r="R668">
        <v>2</v>
      </c>
      <c r="S668" t="s">
        <v>113</v>
      </c>
      <c r="T668">
        <v>1</v>
      </c>
      <c r="U668" t="s">
        <v>93</v>
      </c>
      <c r="V668" t="s">
        <v>94</v>
      </c>
      <c r="W668">
        <v>1</v>
      </c>
      <c r="X668">
        <v>0</v>
      </c>
    </row>
    <row r="669" spans="2:24" x14ac:dyDescent="0.3">
      <c r="B669">
        <v>665</v>
      </c>
      <c r="C669" t="s">
        <v>11</v>
      </c>
      <c r="D669">
        <v>6</v>
      </c>
      <c r="E669" t="s">
        <v>84</v>
      </c>
      <c r="F669" t="s">
        <v>99</v>
      </c>
      <c r="G669">
        <v>1047</v>
      </c>
      <c r="H669" t="s">
        <v>96</v>
      </c>
      <c r="I669" t="s">
        <v>97</v>
      </c>
      <c r="J669">
        <v>2</v>
      </c>
      <c r="K669" t="s">
        <v>98</v>
      </c>
      <c r="L669" t="s">
        <v>89</v>
      </c>
      <c r="M669">
        <v>4</v>
      </c>
      <c r="N669" t="s">
        <v>104</v>
      </c>
      <c r="O669">
        <v>50</v>
      </c>
      <c r="P669" t="s">
        <v>89</v>
      </c>
      <c r="Q669" t="s">
        <v>91</v>
      </c>
      <c r="R669">
        <v>1</v>
      </c>
      <c r="S669" t="s">
        <v>101</v>
      </c>
      <c r="T669">
        <v>1</v>
      </c>
      <c r="U669" t="s">
        <v>89</v>
      </c>
      <c r="V669" t="s">
        <v>94</v>
      </c>
      <c r="W669">
        <v>1</v>
      </c>
      <c r="X669">
        <v>0</v>
      </c>
    </row>
    <row r="670" spans="2:24" x14ac:dyDescent="0.3">
      <c r="B670">
        <v>666</v>
      </c>
      <c r="C670" t="s">
        <v>12</v>
      </c>
      <c r="D670">
        <v>24</v>
      </c>
      <c r="E670" t="s">
        <v>84</v>
      </c>
      <c r="F670" t="s">
        <v>130</v>
      </c>
      <c r="G670">
        <v>6314</v>
      </c>
      <c r="H670" t="s">
        <v>96</v>
      </c>
      <c r="I670" t="s">
        <v>116</v>
      </c>
      <c r="J670">
        <v>4</v>
      </c>
      <c r="K670" t="s">
        <v>88</v>
      </c>
      <c r="L670" t="s">
        <v>126</v>
      </c>
      <c r="M670">
        <v>2</v>
      </c>
      <c r="N670" t="s">
        <v>108</v>
      </c>
      <c r="O670">
        <v>27</v>
      </c>
      <c r="P670" t="s">
        <v>122</v>
      </c>
      <c r="Q670" t="s">
        <v>91</v>
      </c>
      <c r="R670">
        <v>2</v>
      </c>
      <c r="S670" t="s">
        <v>113</v>
      </c>
      <c r="T670">
        <v>1</v>
      </c>
      <c r="U670" t="s">
        <v>93</v>
      </c>
      <c r="V670" t="s">
        <v>94</v>
      </c>
      <c r="W670">
        <v>1</v>
      </c>
      <c r="X670">
        <v>0</v>
      </c>
    </row>
    <row r="671" spans="2:24" x14ac:dyDescent="0.3">
      <c r="B671">
        <v>667</v>
      </c>
      <c r="C671" t="s">
        <v>10</v>
      </c>
      <c r="D671">
        <v>30</v>
      </c>
      <c r="E671" t="s">
        <v>124</v>
      </c>
      <c r="F671" t="s">
        <v>102</v>
      </c>
      <c r="G671">
        <v>3496</v>
      </c>
      <c r="H671" t="s">
        <v>114</v>
      </c>
      <c r="I671" t="s">
        <v>97</v>
      </c>
      <c r="J671">
        <v>4</v>
      </c>
      <c r="K671" t="s">
        <v>88</v>
      </c>
      <c r="L671" t="s">
        <v>89</v>
      </c>
      <c r="M671">
        <v>2</v>
      </c>
      <c r="N671" t="s">
        <v>111</v>
      </c>
      <c r="O671">
        <v>34</v>
      </c>
      <c r="P671" t="s">
        <v>125</v>
      </c>
      <c r="Q671" t="s">
        <v>91</v>
      </c>
      <c r="R671">
        <v>1</v>
      </c>
      <c r="S671" t="s">
        <v>92</v>
      </c>
      <c r="T671">
        <v>2</v>
      </c>
      <c r="U671" t="s">
        <v>93</v>
      </c>
      <c r="V671" t="s">
        <v>94</v>
      </c>
      <c r="W671">
        <v>1</v>
      </c>
      <c r="X671">
        <v>0</v>
      </c>
    </row>
    <row r="672" spans="2:24" x14ac:dyDescent="0.3">
      <c r="B672">
        <v>668</v>
      </c>
      <c r="C672" t="s">
        <v>12</v>
      </c>
      <c r="D672">
        <v>48</v>
      </c>
      <c r="E672" t="s">
        <v>124</v>
      </c>
      <c r="F672" t="s">
        <v>119</v>
      </c>
      <c r="G672">
        <v>3609</v>
      </c>
      <c r="H672" t="s">
        <v>96</v>
      </c>
      <c r="I672" t="s">
        <v>97</v>
      </c>
      <c r="J672">
        <v>1</v>
      </c>
      <c r="K672" t="s">
        <v>98</v>
      </c>
      <c r="L672" t="s">
        <v>89</v>
      </c>
      <c r="M672">
        <v>1</v>
      </c>
      <c r="N672" t="s">
        <v>90</v>
      </c>
      <c r="O672">
        <v>27</v>
      </c>
      <c r="P672" t="s">
        <v>125</v>
      </c>
      <c r="Q672" t="s">
        <v>91</v>
      </c>
      <c r="R672">
        <v>1</v>
      </c>
      <c r="S672" t="s">
        <v>92</v>
      </c>
      <c r="T672">
        <v>1</v>
      </c>
      <c r="U672" t="s">
        <v>89</v>
      </c>
      <c r="V672" t="s">
        <v>94</v>
      </c>
      <c r="W672">
        <v>1</v>
      </c>
      <c r="X672">
        <v>0</v>
      </c>
    </row>
    <row r="673" spans="2:24" x14ac:dyDescent="0.3">
      <c r="B673">
        <v>669</v>
      </c>
      <c r="C673" t="s">
        <v>8</v>
      </c>
      <c r="D673">
        <v>12</v>
      </c>
      <c r="E673" t="s">
        <v>84</v>
      </c>
      <c r="F673" t="s">
        <v>107</v>
      </c>
      <c r="G673">
        <v>4843</v>
      </c>
      <c r="H673" t="s">
        <v>96</v>
      </c>
      <c r="I673" t="s">
        <v>87</v>
      </c>
      <c r="J673">
        <v>3</v>
      </c>
      <c r="K673" t="s">
        <v>88</v>
      </c>
      <c r="L673" t="s">
        <v>126</v>
      </c>
      <c r="M673">
        <v>4</v>
      </c>
      <c r="N673" t="s">
        <v>104</v>
      </c>
      <c r="O673">
        <v>43</v>
      </c>
      <c r="P673" t="s">
        <v>89</v>
      </c>
      <c r="Q673" t="s">
        <v>112</v>
      </c>
      <c r="R673">
        <v>2</v>
      </c>
      <c r="S673" t="s">
        <v>92</v>
      </c>
      <c r="T673">
        <v>1</v>
      </c>
      <c r="U673" t="s">
        <v>93</v>
      </c>
      <c r="V673" t="s">
        <v>94</v>
      </c>
      <c r="W673">
        <v>2</v>
      </c>
      <c r="X673">
        <v>1</v>
      </c>
    </row>
    <row r="674" spans="2:24" x14ac:dyDescent="0.3">
      <c r="B674">
        <v>670</v>
      </c>
      <c r="C674" t="s">
        <v>11</v>
      </c>
      <c r="D674">
        <v>30</v>
      </c>
      <c r="E674" t="s">
        <v>84</v>
      </c>
      <c r="F674" t="s">
        <v>85</v>
      </c>
      <c r="G674">
        <v>3017</v>
      </c>
      <c r="H674" t="s">
        <v>96</v>
      </c>
      <c r="I674" t="s">
        <v>87</v>
      </c>
      <c r="J674">
        <v>4</v>
      </c>
      <c r="K674" t="s">
        <v>88</v>
      </c>
      <c r="L674" t="s">
        <v>89</v>
      </c>
      <c r="M674">
        <v>4</v>
      </c>
      <c r="N674" t="s">
        <v>104</v>
      </c>
      <c r="O674">
        <v>47</v>
      </c>
      <c r="P674" t="s">
        <v>89</v>
      </c>
      <c r="Q674" t="s">
        <v>91</v>
      </c>
      <c r="R674">
        <v>1</v>
      </c>
      <c r="S674" t="s">
        <v>92</v>
      </c>
      <c r="T674">
        <v>1</v>
      </c>
      <c r="U674" t="s">
        <v>89</v>
      </c>
      <c r="V674" t="s">
        <v>94</v>
      </c>
      <c r="W674">
        <v>1</v>
      </c>
      <c r="X674">
        <v>0</v>
      </c>
    </row>
    <row r="675" spans="2:24" x14ac:dyDescent="0.3">
      <c r="B675">
        <v>671</v>
      </c>
      <c r="C675" t="s">
        <v>12</v>
      </c>
      <c r="D675">
        <v>24</v>
      </c>
      <c r="E675" t="s">
        <v>84</v>
      </c>
      <c r="F675" t="s">
        <v>119</v>
      </c>
      <c r="G675">
        <v>4139</v>
      </c>
      <c r="H675" t="s">
        <v>120</v>
      </c>
      <c r="I675" t="s">
        <v>97</v>
      </c>
      <c r="J675">
        <v>3</v>
      </c>
      <c r="K675" t="s">
        <v>88</v>
      </c>
      <c r="L675" t="s">
        <v>89</v>
      </c>
      <c r="M675">
        <v>3</v>
      </c>
      <c r="N675" t="s">
        <v>104</v>
      </c>
      <c r="O675">
        <v>27</v>
      </c>
      <c r="P675" t="s">
        <v>89</v>
      </c>
      <c r="Q675" t="s">
        <v>91</v>
      </c>
      <c r="R675">
        <v>2</v>
      </c>
      <c r="S675" t="s">
        <v>101</v>
      </c>
      <c r="T675">
        <v>1</v>
      </c>
      <c r="U675" t="s">
        <v>93</v>
      </c>
      <c r="V675" t="s">
        <v>94</v>
      </c>
      <c r="W675">
        <v>1</v>
      </c>
      <c r="X675">
        <v>0</v>
      </c>
    </row>
    <row r="676" spans="2:24" x14ac:dyDescent="0.3">
      <c r="B676">
        <v>672</v>
      </c>
      <c r="C676" t="s">
        <v>12</v>
      </c>
      <c r="D676">
        <v>36</v>
      </c>
      <c r="E676" t="s">
        <v>95</v>
      </c>
      <c r="F676" t="s">
        <v>119</v>
      </c>
      <c r="G676">
        <v>5742</v>
      </c>
      <c r="H676" t="s">
        <v>120</v>
      </c>
      <c r="I676" t="s">
        <v>100</v>
      </c>
      <c r="J676">
        <v>2</v>
      </c>
      <c r="K676" t="s">
        <v>88</v>
      </c>
      <c r="L676" t="s">
        <v>89</v>
      </c>
      <c r="M676">
        <v>2</v>
      </c>
      <c r="N676" t="s">
        <v>111</v>
      </c>
      <c r="O676">
        <v>31</v>
      </c>
      <c r="P676" t="s">
        <v>89</v>
      </c>
      <c r="Q676" t="s">
        <v>91</v>
      </c>
      <c r="R676">
        <v>2</v>
      </c>
      <c r="S676" t="s">
        <v>92</v>
      </c>
      <c r="T676">
        <v>1</v>
      </c>
      <c r="U676" t="s">
        <v>93</v>
      </c>
      <c r="V676" t="s">
        <v>94</v>
      </c>
      <c r="W676">
        <v>1</v>
      </c>
      <c r="X676">
        <v>0</v>
      </c>
    </row>
    <row r="677" spans="2:24" x14ac:dyDescent="0.3">
      <c r="B677">
        <v>673</v>
      </c>
      <c r="C677" t="s">
        <v>12</v>
      </c>
      <c r="D677">
        <v>60</v>
      </c>
      <c r="E677" t="s">
        <v>95</v>
      </c>
      <c r="F677" t="s">
        <v>107</v>
      </c>
      <c r="G677">
        <v>10366</v>
      </c>
      <c r="H677" t="s">
        <v>96</v>
      </c>
      <c r="I677" t="s">
        <v>87</v>
      </c>
      <c r="J677">
        <v>2</v>
      </c>
      <c r="K677" t="s">
        <v>88</v>
      </c>
      <c r="L677" t="s">
        <v>89</v>
      </c>
      <c r="M677">
        <v>4</v>
      </c>
      <c r="N677" t="s">
        <v>104</v>
      </c>
      <c r="O677">
        <v>42</v>
      </c>
      <c r="P677" t="s">
        <v>89</v>
      </c>
      <c r="Q677" t="s">
        <v>91</v>
      </c>
      <c r="R677">
        <v>1</v>
      </c>
      <c r="S677" t="s">
        <v>113</v>
      </c>
      <c r="T677">
        <v>1</v>
      </c>
      <c r="U677" t="s">
        <v>93</v>
      </c>
      <c r="V677" t="s">
        <v>94</v>
      </c>
      <c r="W677">
        <v>1</v>
      </c>
      <c r="X677">
        <v>0</v>
      </c>
    </row>
    <row r="678" spans="2:24" x14ac:dyDescent="0.3">
      <c r="B678">
        <v>674</v>
      </c>
      <c r="C678" t="s">
        <v>12</v>
      </c>
      <c r="D678">
        <v>6</v>
      </c>
      <c r="E678" t="s">
        <v>84</v>
      </c>
      <c r="F678" t="s">
        <v>107</v>
      </c>
      <c r="G678">
        <v>2080</v>
      </c>
      <c r="H678" t="s">
        <v>109</v>
      </c>
      <c r="I678" t="s">
        <v>97</v>
      </c>
      <c r="J678">
        <v>1</v>
      </c>
      <c r="K678" t="s">
        <v>117</v>
      </c>
      <c r="L678" t="s">
        <v>89</v>
      </c>
      <c r="M678">
        <v>2</v>
      </c>
      <c r="N678" t="s">
        <v>111</v>
      </c>
      <c r="O678">
        <v>24</v>
      </c>
      <c r="P678" t="s">
        <v>89</v>
      </c>
      <c r="Q678" t="s">
        <v>91</v>
      </c>
      <c r="R678">
        <v>1</v>
      </c>
      <c r="S678" t="s">
        <v>92</v>
      </c>
      <c r="T678">
        <v>1</v>
      </c>
      <c r="U678" t="s">
        <v>89</v>
      </c>
      <c r="V678" t="s">
        <v>94</v>
      </c>
      <c r="W678">
        <v>1</v>
      </c>
      <c r="X678">
        <v>0</v>
      </c>
    </row>
    <row r="679" spans="2:24" x14ac:dyDescent="0.3">
      <c r="B679">
        <v>675</v>
      </c>
      <c r="C679" t="s">
        <v>12</v>
      </c>
      <c r="D679">
        <v>21</v>
      </c>
      <c r="E679" t="s">
        <v>106</v>
      </c>
      <c r="F679" t="s">
        <v>119</v>
      </c>
      <c r="G679">
        <v>2580</v>
      </c>
      <c r="H679" t="s">
        <v>109</v>
      </c>
      <c r="I679" t="s">
        <v>118</v>
      </c>
      <c r="J679">
        <v>4</v>
      </c>
      <c r="K679" t="s">
        <v>88</v>
      </c>
      <c r="L679" t="s">
        <v>89</v>
      </c>
      <c r="M679">
        <v>2</v>
      </c>
      <c r="N679" t="s">
        <v>90</v>
      </c>
      <c r="O679">
        <v>41</v>
      </c>
      <c r="P679" t="s">
        <v>122</v>
      </c>
      <c r="Q679" t="s">
        <v>91</v>
      </c>
      <c r="R679">
        <v>1</v>
      </c>
      <c r="S679" t="s">
        <v>101</v>
      </c>
      <c r="T679">
        <v>2</v>
      </c>
      <c r="U679" t="s">
        <v>89</v>
      </c>
      <c r="V679" t="s">
        <v>94</v>
      </c>
      <c r="W679">
        <v>2</v>
      </c>
      <c r="X679">
        <v>1</v>
      </c>
    </row>
    <row r="680" spans="2:24" x14ac:dyDescent="0.3">
      <c r="B680">
        <v>676</v>
      </c>
      <c r="C680" t="s">
        <v>12</v>
      </c>
      <c r="D680">
        <v>30</v>
      </c>
      <c r="E680" t="s">
        <v>84</v>
      </c>
      <c r="F680" t="s">
        <v>85</v>
      </c>
      <c r="G680">
        <v>4530</v>
      </c>
      <c r="H680" t="s">
        <v>96</v>
      </c>
      <c r="I680" t="s">
        <v>100</v>
      </c>
      <c r="J680">
        <v>4</v>
      </c>
      <c r="K680" t="s">
        <v>98</v>
      </c>
      <c r="L680" t="s">
        <v>89</v>
      </c>
      <c r="M680">
        <v>4</v>
      </c>
      <c r="N680" t="s">
        <v>111</v>
      </c>
      <c r="O680">
        <v>26</v>
      </c>
      <c r="P680" t="s">
        <v>89</v>
      </c>
      <c r="Q680" t="s">
        <v>112</v>
      </c>
      <c r="R680">
        <v>1</v>
      </c>
      <c r="S680" t="s">
        <v>113</v>
      </c>
      <c r="T680">
        <v>1</v>
      </c>
      <c r="U680" t="s">
        <v>93</v>
      </c>
      <c r="V680" t="s">
        <v>94</v>
      </c>
      <c r="W680">
        <v>1</v>
      </c>
      <c r="X680">
        <v>0</v>
      </c>
    </row>
    <row r="681" spans="2:24" x14ac:dyDescent="0.3">
      <c r="B681">
        <v>677</v>
      </c>
      <c r="C681" t="s">
        <v>12</v>
      </c>
      <c r="D681">
        <v>24</v>
      </c>
      <c r="E681" t="s">
        <v>84</v>
      </c>
      <c r="F681" t="s">
        <v>102</v>
      </c>
      <c r="G681">
        <v>5150</v>
      </c>
      <c r="H681" t="s">
        <v>96</v>
      </c>
      <c r="I681" t="s">
        <v>87</v>
      </c>
      <c r="J681">
        <v>4</v>
      </c>
      <c r="K681" t="s">
        <v>88</v>
      </c>
      <c r="L681" t="s">
        <v>89</v>
      </c>
      <c r="M681">
        <v>4</v>
      </c>
      <c r="N681" t="s">
        <v>111</v>
      </c>
      <c r="O681">
        <v>33</v>
      </c>
      <c r="P681" t="s">
        <v>89</v>
      </c>
      <c r="Q681" t="s">
        <v>91</v>
      </c>
      <c r="R681">
        <v>1</v>
      </c>
      <c r="S681" t="s">
        <v>92</v>
      </c>
      <c r="T681">
        <v>1</v>
      </c>
      <c r="U681" t="s">
        <v>93</v>
      </c>
      <c r="V681" t="s">
        <v>94</v>
      </c>
      <c r="W681">
        <v>1</v>
      </c>
      <c r="X681">
        <v>0</v>
      </c>
    </row>
    <row r="682" spans="2:24" x14ac:dyDescent="0.3">
      <c r="B682">
        <v>678</v>
      </c>
      <c r="C682" t="s">
        <v>10</v>
      </c>
      <c r="D682">
        <v>72</v>
      </c>
      <c r="E682" t="s">
        <v>95</v>
      </c>
      <c r="F682" t="s">
        <v>85</v>
      </c>
      <c r="G682">
        <v>5595</v>
      </c>
      <c r="H682" t="s">
        <v>120</v>
      </c>
      <c r="I682" t="s">
        <v>97</v>
      </c>
      <c r="J682">
        <v>2</v>
      </c>
      <c r="K682" t="s">
        <v>117</v>
      </c>
      <c r="L682" t="s">
        <v>89</v>
      </c>
      <c r="M682">
        <v>2</v>
      </c>
      <c r="N682" t="s">
        <v>111</v>
      </c>
      <c r="O682">
        <v>24</v>
      </c>
      <c r="P682" t="s">
        <v>89</v>
      </c>
      <c r="Q682" t="s">
        <v>91</v>
      </c>
      <c r="R682">
        <v>1</v>
      </c>
      <c r="S682" t="s">
        <v>92</v>
      </c>
      <c r="T682">
        <v>1</v>
      </c>
      <c r="U682" t="s">
        <v>89</v>
      </c>
      <c r="V682" t="s">
        <v>94</v>
      </c>
      <c r="W682">
        <v>2</v>
      </c>
      <c r="X682">
        <v>1</v>
      </c>
    </row>
    <row r="683" spans="2:24" x14ac:dyDescent="0.3">
      <c r="B683">
        <v>679</v>
      </c>
      <c r="C683" t="s">
        <v>8</v>
      </c>
      <c r="D683">
        <v>24</v>
      </c>
      <c r="E683" t="s">
        <v>95</v>
      </c>
      <c r="F683" t="s">
        <v>85</v>
      </c>
      <c r="G683">
        <v>2384</v>
      </c>
      <c r="H683" t="s">
        <v>96</v>
      </c>
      <c r="I683" t="s">
        <v>87</v>
      </c>
      <c r="J683">
        <v>4</v>
      </c>
      <c r="K683" t="s">
        <v>88</v>
      </c>
      <c r="L683" t="s">
        <v>89</v>
      </c>
      <c r="M683">
        <v>4</v>
      </c>
      <c r="N683" t="s">
        <v>90</v>
      </c>
      <c r="O683">
        <v>64</v>
      </c>
      <c r="P683" t="s">
        <v>122</v>
      </c>
      <c r="Q683" t="s">
        <v>112</v>
      </c>
      <c r="R683">
        <v>1</v>
      </c>
      <c r="S683" t="s">
        <v>101</v>
      </c>
      <c r="T683">
        <v>1</v>
      </c>
      <c r="U683" t="s">
        <v>89</v>
      </c>
      <c r="V683" t="s">
        <v>94</v>
      </c>
      <c r="W683">
        <v>1</v>
      </c>
      <c r="X683">
        <v>0</v>
      </c>
    </row>
    <row r="684" spans="2:24" x14ac:dyDescent="0.3">
      <c r="B684">
        <v>680</v>
      </c>
      <c r="C684" t="s">
        <v>12</v>
      </c>
      <c r="D684">
        <v>18</v>
      </c>
      <c r="E684" t="s">
        <v>95</v>
      </c>
      <c r="F684" t="s">
        <v>85</v>
      </c>
      <c r="G684">
        <v>1453</v>
      </c>
      <c r="H684" t="s">
        <v>96</v>
      </c>
      <c r="I684" t="s">
        <v>118</v>
      </c>
      <c r="J684">
        <v>3</v>
      </c>
      <c r="K684" t="s">
        <v>98</v>
      </c>
      <c r="L684" t="s">
        <v>89</v>
      </c>
      <c r="M684">
        <v>1</v>
      </c>
      <c r="N684" t="s">
        <v>90</v>
      </c>
      <c r="O684">
        <v>26</v>
      </c>
      <c r="P684" t="s">
        <v>89</v>
      </c>
      <c r="Q684" t="s">
        <v>91</v>
      </c>
      <c r="R684">
        <v>1</v>
      </c>
      <c r="S684" t="s">
        <v>92</v>
      </c>
      <c r="T684">
        <v>1</v>
      </c>
      <c r="U684" t="s">
        <v>89</v>
      </c>
      <c r="V684" t="s">
        <v>94</v>
      </c>
      <c r="W684">
        <v>1</v>
      </c>
      <c r="X684">
        <v>0</v>
      </c>
    </row>
    <row r="685" spans="2:24" x14ac:dyDescent="0.3">
      <c r="B685">
        <v>681</v>
      </c>
      <c r="C685" t="s">
        <v>12</v>
      </c>
      <c r="D685">
        <v>6</v>
      </c>
      <c r="E685" t="s">
        <v>95</v>
      </c>
      <c r="F685" t="s">
        <v>99</v>
      </c>
      <c r="G685">
        <v>1538</v>
      </c>
      <c r="H685" t="s">
        <v>96</v>
      </c>
      <c r="I685" t="s">
        <v>118</v>
      </c>
      <c r="J685">
        <v>1</v>
      </c>
      <c r="K685" t="s">
        <v>98</v>
      </c>
      <c r="L685" t="s">
        <v>89</v>
      </c>
      <c r="M685">
        <v>2</v>
      </c>
      <c r="N685" t="s">
        <v>108</v>
      </c>
      <c r="O685">
        <v>56</v>
      </c>
      <c r="P685" t="s">
        <v>89</v>
      </c>
      <c r="Q685" t="s">
        <v>91</v>
      </c>
      <c r="R685">
        <v>1</v>
      </c>
      <c r="S685" t="s">
        <v>92</v>
      </c>
      <c r="T685">
        <v>1</v>
      </c>
      <c r="U685" t="s">
        <v>89</v>
      </c>
      <c r="V685" t="s">
        <v>94</v>
      </c>
      <c r="W685">
        <v>1</v>
      </c>
      <c r="X685">
        <v>0</v>
      </c>
    </row>
    <row r="686" spans="2:24" x14ac:dyDescent="0.3">
      <c r="B686">
        <v>682</v>
      </c>
      <c r="C686" t="s">
        <v>12</v>
      </c>
      <c r="D686">
        <v>12</v>
      </c>
      <c r="E686" t="s">
        <v>95</v>
      </c>
      <c r="F686" t="s">
        <v>85</v>
      </c>
      <c r="G686">
        <v>2279</v>
      </c>
      <c r="H686" t="s">
        <v>86</v>
      </c>
      <c r="I686" t="s">
        <v>97</v>
      </c>
      <c r="J686">
        <v>4</v>
      </c>
      <c r="K686" t="s">
        <v>88</v>
      </c>
      <c r="L686" t="s">
        <v>89</v>
      </c>
      <c r="M686">
        <v>4</v>
      </c>
      <c r="N686" t="s">
        <v>108</v>
      </c>
      <c r="O686">
        <v>37</v>
      </c>
      <c r="P686" t="s">
        <v>89</v>
      </c>
      <c r="Q686" t="s">
        <v>105</v>
      </c>
      <c r="R686">
        <v>1</v>
      </c>
      <c r="S686" t="s">
        <v>92</v>
      </c>
      <c r="T686">
        <v>1</v>
      </c>
      <c r="U686" t="s">
        <v>93</v>
      </c>
      <c r="V686" t="s">
        <v>94</v>
      </c>
      <c r="W686">
        <v>1</v>
      </c>
      <c r="X686">
        <v>0</v>
      </c>
    </row>
    <row r="687" spans="2:24" x14ac:dyDescent="0.3">
      <c r="B687">
        <v>683</v>
      </c>
      <c r="C687" t="s">
        <v>12</v>
      </c>
      <c r="D687">
        <v>15</v>
      </c>
      <c r="E687" t="s">
        <v>106</v>
      </c>
      <c r="F687" t="s">
        <v>85</v>
      </c>
      <c r="G687">
        <v>1478</v>
      </c>
      <c r="H687" t="s">
        <v>96</v>
      </c>
      <c r="I687" t="s">
        <v>97</v>
      </c>
      <c r="J687">
        <v>4</v>
      </c>
      <c r="K687" t="s">
        <v>117</v>
      </c>
      <c r="L687" t="s">
        <v>89</v>
      </c>
      <c r="M687">
        <v>3</v>
      </c>
      <c r="N687" t="s">
        <v>90</v>
      </c>
      <c r="O687">
        <v>33</v>
      </c>
      <c r="P687" t="s">
        <v>122</v>
      </c>
      <c r="Q687" t="s">
        <v>91</v>
      </c>
      <c r="R687">
        <v>2</v>
      </c>
      <c r="S687" t="s">
        <v>92</v>
      </c>
      <c r="T687">
        <v>1</v>
      </c>
      <c r="U687" t="s">
        <v>89</v>
      </c>
      <c r="V687" t="s">
        <v>94</v>
      </c>
      <c r="W687">
        <v>1</v>
      </c>
      <c r="X687">
        <v>0</v>
      </c>
    </row>
    <row r="688" spans="2:24" x14ac:dyDescent="0.3">
      <c r="B688">
        <v>684</v>
      </c>
      <c r="C688" t="s">
        <v>12</v>
      </c>
      <c r="D688">
        <v>24</v>
      </c>
      <c r="E688" t="s">
        <v>84</v>
      </c>
      <c r="F688" t="s">
        <v>85</v>
      </c>
      <c r="G688">
        <v>5103</v>
      </c>
      <c r="H688" t="s">
        <v>96</v>
      </c>
      <c r="I688" t="s">
        <v>118</v>
      </c>
      <c r="J688">
        <v>3</v>
      </c>
      <c r="K688" t="s">
        <v>117</v>
      </c>
      <c r="L688" t="s">
        <v>89</v>
      </c>
      <c r="M688">
        <v>3</v>
      </c>
      <c r="N688" t="s">
        <v>108</v>
      </c>
      <c r="O688">
        <v>47</v>
      </c>
      <c r="P688" t="s">
        <v>89</v>
      </c>
      <c r="Q688" t="s">
        <v>105</v>
      </c>
      <c r="R688">
        <v>3</v>
      </c>
      <c r="S688" t="s">
        <v>92</v>
      </c>
      <c r="T688">
        <v>1</v>
      </c>
      <c r="U688" t="s">
        <v>93</v>
      </c>
      <c r="V688" t="s">
        <v>94</v>
      </c>
      <c r="W688">
        <v>1</v>
      </c>
      <c r="X688">
        <v>0</v>
      </c>
    </row>
    <row r="689" spans="2:24" x14ac:dyDescent="0.3">
      <c r="B689">
        <v>685</v>
      </c>
      <c r="C689" t="s">
        <v>10</v>
      </c>
      <c r="D689">
        <v>36</v>
      </c>
      <c r="E689" t="s">
        <v>106</v>
      </c>
      <c r="F689" t="s">
        <v>119</v>
      </c>
      <c r="G689">
        <v>9857</v>
      </c>
      <c r="H689" t="s">
        <v>120</v>
      </c>
      <c r="I689" t="s">
        <v>100</v>
      </c>
      <c r="J689">
        <v>1</v>
      </c>
      <c r="K689" t="s">
        <v>88</v>
      </c>
      <c r="L689" t="s">
        <v>89</v>
      </c>
      <c r="M689">
        <v>3</v>
      </c>
      <c r="N689" t="s">
        <v>104</v>
      </c>
      <c r="O689">
        <v>31</v>
      </c>
      <c r="P689" t="s">
        <v>89</v>
      </c>
      <c r="Q689" t="s">
        <v>91</v>
      </c>
      <c r="R689">
        <v>2</v>
      </c>
      <c r="S689" t="s">
        <v>101</v>
      </c>
      <c r="T689">
        <v>2</v>
      </c>
      <c r="U689" t="s">
        <v>93</v>
      </c>
      <c r="V689" t="s">
        <v>94</v>
      </c>
      <c r="W689">
        <v>1</v>
      </c>
      <c r="X689">
        <v>0</v>
      </c>
    </row>
    <row r="690" spans="2:24" x14ac:dyDescent="0.3">
      <c r="B690">
        <v>686</v>
      </c>
      <c r="C690" t="s">
        <v>12</v>
      </c>
      <c r="D690">
        <v>60</v>
      </c>
      <c r="E690" t="s">
        <v>95</v>
      </c>
      <c r="F690" t="s">
        <v>107</v>
      </c>
      <c r="G690">
        <v>6527</v>
      </c>
      <c r="H690" t="s">
        <v>86</v>
      </c>
      <c r="I690" t="s">
        <v>97</v>
      </c>
      <c r="J690">
        <v>4</v>
      </c>
      <c r="K690" t="s">
        <v>88</v>
      </c>
      <c r="L690" t="s">
        <v>89</v>
      </c>
      <c r="M690">
        <v>4</v>
      </c>
      <c r="N690" t="s">
        <v>108</v>
      </c>
      <c r="O690">
        <v>34</v>
      </c>
      <c r="P690" t="s">
        <v>89</v>
      </c>
      <c r="Q690" t="s">
        <v>105</v>
      </c>
      <c r="R690">
        <v>1</v>
      </c>
      <c r="S690" t="s">
        <v>92</v>
      </c>
      <c r="T690">
        <v>2</v>
      </c>
      <c r="U690" t="s">
        <v>93</v>
      </c>
      <c r="V690" t="s">
        <v>94</v>
      </c>
      <c r="W690">
        <v>1</v>
      </c>
      <c r="X690">
        <v>0</v>
      </c>
    </row>
    <row r="691" spans="2:24" x14ac:dyDescent="0.3">
      <c r="B691">
        <v>687</v>
      </c>
      <c r="C691" t="s">
        <v>11</v>
      </c>
      <c r="D691">
        <v>10</v>
      </c>
      <c r="E691" t="s">
        <v>84</v>
      </c>
      <c r="F691" t="s">
        <v>85</v>
      </c>
      <c r="G691">
        <v>1347</v>
      </c>
      <c r="H691" t="s">
        <v>86</v>
      </c>
      <c r="I691" t="s">
        <v>100</v>
      </c>
      <c r="J691">
        <v>4</v>
      </c>
      <c r="K691" t="s">
        <v>88</v>
      </c>
      <c r="L691" t="s">
        <v>89</v>
      </c>
      <c r="M691">
        <v>2</v>
      </c>
      <c r="N691" t="s">
        <v>104</v>
      </c>
      <c r="O691">
        <v>27</v>
      </c>
      <c r="P691" t="s">
        <v>89</v>
      </c>
      <c r="Q691" t="s">
        <v>91</v>
      </c>
      <c r="R691">
        <v>2</v>
      </c>
      <c r="S691" t="s">
        <v>92</v>
      </c>
      <c r="T691">
        <v>1</v>
      </c>
      <c r="U691" t="s">
        <v>93</v>
      </c>
      <c r="V691" t="s">
        <v>94</v>
      </c>
      <c r="W691">
        <v>1</v>
      </c>
      <c r="X691">
        <v>0</v>
      </c>
    </row>
    <row r="692" spans="2:24" x14ac:dyDescent="0.3">
      <c r="B692">
        <v>688</v>
      </c>
      <c r="C692" t="s">
        <v>10</v>
      </c>
      <c r="D692">
        <v>36</v>
      </c>
      <c r="E692" t="s">
        <v>106</v>
      </c>
      <c r="F692" t="s">
        <v>107</v>
      </c>
      <c r="G692">
        <v>2862</v>
      </c>
      <c r="H692" t="s">
        <v>120</v>
      </c>
      <c r="I692" t="s">
        <v>87</v>
      </c>
      <c r="J692">
        <v>4</v>
      </c>
      <c r="K692" t="s">
        <v>88</v>
      </c>
      <c r="L692" t="s">
        <v>89</v>
      </c>
      <c r="M692">
        <v>3</v>
      </c>
      <c r="N692" t="s">
        <v>108</v>
      </c>
      <c r="O692">
        <v>30</v>
      </c>
      <c r="P692" t="s">
        <v>89</v>
      </c>
      <c r="Q692" t="s">
        <v>105</v>
      </c>
      <c r="R692">
        <v>1</v>
      </c>
      <c r="S692" t="s">
        <v>92</v>
      </c>
      <c r="T692">
        <v>1</v>
      </c>
      <c r="U692" t="s">
        <v>89</v>
      </c>
      <c r="V692" t="s">
        <v>94</v>
      </c>
      <c r="W692">
        <v>1</v>
      </c>
      <c r="X692">
        <v>0</v>
      </c>
    </row>
    <row r="693" spans="2:24" x14ac:dyDescent="0.3">
      <c r="B693">
        <v>689</v>
      </c>
      <c r="C693" t="s">
        <v>12</v>
      </c>
      <c r="D693">
        <v>9</v>
      </c>
      <c r="E693" t="s">
        <v>95</v>
      </c>
      <c r="F693" t="s">
        <v>85</v>
      </c>
      <c r="G693">
        <v>2753</v>
      </c>
      <c r="H693" t="s">
        <v>120</v>
      </c>
      <c r="I693" t="s">
        <v>87</v>
      </c>
      <c r="J693">
        <v>3</v>
      </c>
      <c r="K693" t="s">
        <v>88</v>
      </c>
      <c r="L693" t="s">
        <v>126</v>
      </c>
      <c r="M693">
        <v>4</v>
      </c>
      <c r="N693" t="s">
        <v>111</v>
      </c>
      <c r="O693">
        <v>35</v>
      </c>
      <c r="P693" t="s">
        <v>89</v>
      </c>
      <c r="Q693" t="s">
        <v>91</v>
      </c>
      <c r="R693">
        <v>1</v>
      </c>
      <c r="S693" t="s">
        <v>92</v>
      </c>
      <c r="T693">
        <v>1</v>
      </c>
      <c r="U693" t="s">
        <v>93</v>
      </c>
      <c r="V693" t="s">
        <v>94</v>
      </c>
      <c r="W693">
        <v>1</v>
      </c>
      <c r="X693">
        <v>0</v>
      </c>
    </row>
    <row r="694" spans="2:24" x14ac:dyDescent="0.3">
      <c r="B694">
        <v>690</v>
      </c>
      <c r="C694" t="s">
        <v>8</v>
      </c>
      <c r="D694">
        <v>12</v>
      </c>
      <c r="E694" t="s">
        <v>95</v>
      </c>
      <c r="F694" t="s">
        <v>107</v>
      </c>
      <c r="G694">
        <v>3651</v>
      </c>
      <c r="H694" t="s">
        <v>114</v>
      </c>
      <c r="I694" t="s">
        <v>97</v>
      </c>
      <c r="J694">
        <v>1</v>
      </c>
      <c r="K694" t="s">
        <v>88</v>
      </c>
      <c r="L694" t="s">
        <v>89</v>
      </c>
      <c r="M694">
        <v>3</v>
      </c>
      <c r="N694" t="s">
        <v>104</v>
      </c>
      <c r="O694">
        <v>31</v>
      </c>
      <c r="P694" t="s">
        <v>89</v>
      </c>
      <c r="Q694" t="s">
        <v>91</v>
      </c>
      <c r="R694">
        <v>1</v>
      </c>
      <c r="S694" t="s">
        <v>92</v>
      </c>
      <c r="T694">
        <v>2</v>
      </c>
      <c r="U694" t="s">
        <v>89</v>
      </c>
      <c r="V694" t="s">
        <v>94</v>
      </c>
      <c r="W694">
        <v>1</v>
      </c>
      <c r="X694">
        <v>0</v>
      </c>
    </row>
    <row r="695" spans="2:24" x14ac:dyDescent="0.3">
      <c r="B695">
        <v>691</v>
      </c>
      <c r="C695" t="s">
        <v>8</v>
      </c>
      <c r="D695">
        <v>15</v>
      </c>
      <c r="E695" t="s">
        <v>84</v>
      </c>
      <c r="F695" t="s">
        <v>102</v>
      </c>
      <c r="G695">
        <v>975</v>
      </c>
      <c r="H695" t="s">
        <v>96</v>
      </c>
      <c r="I695" t="s">
        <v>97</v>
      </c>
      <c r="J695">
        <v>2</v>
      </c>
      <c r="K695" t="s">
        <v>115</v>
      </c>
      <c r="L695" t="s">
        <v>89</v>
      </c>
      <c r="M695">
        <v>3</v>
      </c>
      <c r="N695" t="s">
        <v>104</v>
      </c>
      <c r="O695">
        <v>25</v>
      </c>
      <c r="P695" t="s">
        <v>89</v>
      </c>
      <c r="Q695" t="s">
        <v>91</v>
      </c>
      <c r="R695">
        <v>2</v>
      </c>
      <c r="S695" t="s">
        <v>92</v>
      </c>
      <c r="T695">
        <v>1</v>
      </c>
      <c r="U695" t="s">
        <v>89</v>
      </c>
      <c r="V695" t="s">
        <v>94</v>
      </c>
      <c r="W695">
        <v>1</v>
      </c>
      <c r="X695">
        <v>0</v>
      </c>
    </row>
    <row r="696" spans="2:24" x14ac:dyDescent="0.3">
      <c r="B696">
        <v>692</v>
      </c>
      <c r="C696" t="s">
        <v>10</v>
      </c>
      <c r="D696">
        <v>15</v>
      </c>
      <c r="E696" t="s">
        <v>95</v>
      </c>
      <c r="F696" t="s">
        <v>128</v>
      </c>
      <c r="G696">
        <v>2631</v>
      </c>
      <c r="H696" t="s">
        <v>120</v>
      </c>
      <c r="I696" t="s">
        <v>97</v>
      </c>
      <c r="J696">
        <v>3</v>
      </c>
      <c r="K696" t="s">
        <v>98</v>
      </c>
      <c r="L696" t="s">
        <v>89</v>
      </c>
      <c r="M696">
        <v>2</v>
      </c>
      <c r="N696" t="s">
        <v>90</v>
      </c>
      <c r="O696">
        <v>25</v>
      </c>
      <c r="P696" t="s">
        <v>89</v>
      </c>
      <c r="Q696" t="s">
        <v>91</v>
      </c>
      <c r="R696">
        <v>1</v>
      </c>
      <c r="S696" t="s">
        <v>101</v>
      </c>
      <c r="T696">
        <v>1</v>
      </c>
      <c r="U696" t="s">
        <v>89</v>
      </c>
      <c r="V696" t="s">
        <v>94</v>
      </c>
      <c r="W696">
        <v>1</v>
      </c>
      <c r="X696">
        <v>0</v>
      </c>
    </row>
    <row r="697" spans="2:24" x14ac:dyDescent="0.3">
      <c r="B697">
        <v>693</v>
      </c>
      <c r="C697" t="s">
        <v>10</v>
      </c>
      <c r="D697">
        <v>24</v>
      </c>
      <c r="E697" t="s">
        <v>95</v>
      </c>
      <c r="F697" t="s">
        <v>85</v>
      </c>
      <c r="G697">
        <v>2896</v>
      </c>
      <c r="H697" t="s">
        <v>120</v>
      </c>
      <c r="I697" t="s">
        <v>118</v>
      </c>
      <c r="J697">
        <v>2</v>
      </c>
      <c r="K697" t="s">
        <v>88</v>
      </c>
      <c r="L697" t="s">
        <v>89</v>
      </c>
      <c r="M697">
        <v>1</v>
      </c>
      <c r="N697" t="s">
        <v>111</v>
      </c>
      <c r="O697">
        <v>29</v>
      </c>
      <c r="P697" t="s">
        <v>89</v>
      </c>
      <c r="Q697" t="s">
        <v>91</v>
      </c>
      <c r="R697">
        <v>1</v>
      </c>
      <c r="S697" t="s">
        <v>92</v>
      </c>
      <c r="T697">
        <v>1</v>
      </c>
      <c r="U697" t="s">
        <v>89</v>
      </c>
      <c r="V697" t="s">
        <v>94</v>
      </c>
      <c r="W697">
        <v>1</v>
      </c>
      <c r="X697">
        <v>0</v>
      </c>
    </row>
    <row r="698" spans="2:24" x14ac:dyDescent="0.3">
      <c r="B698">
        <v>694</v>
      </c>
      <c r="C698" t="s">
        <v>8</v>
      </c>
      <c r="D698">
        <v>6</v>
      </c>
      <c r="E698" t="s">
        <v>84</v>
      </c>
      <c r="F698" t="s">
        <v>107</v>
      </c>
      <c r="G698">
        <v>4716</v>
      </c>
      <c r="H698" t="s">
        <v>86</v>
      </c>
      <c r="I698" t="s">
        <v>118</v>
      </c>
      <c r="J698">
        <v>1</v>
      </c>
      <c r="K698" t="s">
        <v>88</v>
      </c>
      <c r="L698" t="s">
        <v>89</v>
      </c>
      <c r="M698">
        <v>3</v>
      </c>
      <c r="N698" t="s">
        <v>90</v>
      </c>
      <c r="O698">
        <v>44</v>
      </c>
      <c r="P698" t="s">
        <v>89</v>
      </c>
      <c r="Q698" t="s">
        <v>91</v>
      </c>
      <c r="R698">
        <v>2</v>
      </c>
      <c r="S698" t="s">
        <v>101</v>
      </c>
      <c r="T698">
        <v>2</v>
      </c>
      <c r="U698" t="s">
        <v>89</v>
      </c>
      <c r="V698" t="s">
        <v>94</v>
      </c>
      <c r="W698">
        <v>1</v>
      </c>
      <c r="X698">
        <v>0</v>
      </c>
    </row>
    <row r="699" spans="2:24" x14ac:dyDescent="0.3">
      <c r="B699">
        <v>695</v>
      </c>
      <c r="C699" t="s">
        <v>12</v>
      </c>
      <c r="D699">
        <v>24</v>
      </c>
      <c r="E699" t="s">
        <v>95</v>
      </c>
      <c r="F699" t="s">
        <v>85</v>
      </c>
      <c r="G699">
        <v>2284</v>
      </c>
      <c r="H699" t="s">
        <v>96</v>
      </c>
      <c r="I699" t="s">
        <v>100</v>
      </c>
      <c r="J699">
        <v>4</v>
      </c>
      <c r="K699" t="s">
        <v>88</v>
      </c>
      <c r="L699" t="s">
        <v>89</v>
      </c>
      <c r="M699">
        <v>2</v>
      </c>
      <c r="N699" t="s">
        <v>111</v>
      </c>
      <c r="O699">
        <v>28</v>
      </c>
      <c r="P699" t="s">
        <v>89</v>
      </c>
      <c r="Q699" t="s">
        <v>91</v>
      </c>
      <c r="R699">
        <v>1</v>
      </c>
      <c r="S699" t="s">
        <v>92</v>
      </c>
      <c r="T699">
        <v>1</v>
      </c>
      <c r="U699" t="s">
        <v>93</v>
      </c>
      <c r="V699" t="s">
        <v>94</v>
      </c>
      <c r="W699">
        <v>1</v>
      </c>
      <c r="X699">
        <v>0</v>
      </c>
    </row>
    <row r="700" spans="2:24" x14ac:dyDescent="0.3">
      <c r="B700">
        <v>696</v>
      </c>
      <c r="C700" t="s">
        <v>12</v>
      </c>
      <c r="D700">
        <v>6</v>
      </c>
      <c r="E700" t="s">
        <v>95</v>
      </c>
      <c r="F700" t="s">
        <v>110</v>
      </c>
      <c r="G700">
        <v>1236</v>
      </c>
      <c r="H700" t="s">
        <v>109</v>
      </c>
      <c r="I700" t="s">
        <v>97</v>
      </c>
      <c r="J700">
        <v>2</v>
      </c>
      <c r="K700" t="s">
        <v>88</v>
      </c>
      <c r="L700" t="s">
        <v>89</v>
      </c>
      <c r="M700">
        <v>4</v>
      </c>
      <c r="N700" t="s">
        <v>104</v>
      </c>
      <c r="O700">
        <v>50</v>
      </c>
      <c r="P700" t="s">
        <v>89</v>
      </c>
      <c r="Q700" t="s">
        <v>112</v>
      </c>
      <c r="R700">
        <v>1</v>
      </c>
      <c r="S700" t="s">
        <v>92</v>
      </c>
      <c r="T700">
        <v>1</v>
      </c>
      <c r="U700" t="s">
        <v>89</v>
      </c>
      <c r="V700" t="s">
        <v>94</v>
      </c>
      <c r="W700">
        <v>1</v>
      </c>
      <c r="X700">
        <v>0</v>
      </c>
    </row>
    <row r="701" spans="2:24" x14ac:dyDescent="0.3">
      <c r="B701">
        <v>697</v>
      </c>
      <c r="C701" t="s">
        <v>10</v>
      </c>
      <c r="D701">
        <v>12</v>
      </c>
      <c r="E701" t="s">
        <v>95</v>
      </c>
      <c r="F701" t="s">
        <v>85</v>
      </c>
      <c r="G701">
        <v>1103</v>
      </c>
      <c r="H701" t="s">
        <v>96</v>
      </c>
      <c r="I701" t="s">
        <v>100</v>
      </c>
      <c r="J701">
        <v>4</v>
      </c>
      <c r="K701" t="s">
        <v>88</v>
      </c>
      <c r="L701" t="s">
        <v>103</v>
      </c>
      <c r="M701">
        <v>3</v>
      </c>
      <c r="N701" t="s">
        <v>90</v>
      </c>
      <c r="O701">
        <v>29</v>
      </c>
      <c r="P701" t="s">
        <v>89</v>
      </c>
      <c r="Q701" t="s">
        <v>91</v>
      </c>
      <c r="R701">
        <v>2</v>
      </c>
      <c r="S701" t="s">
        <v>92</v>
      </c>
      <c r="T701">
        <v>1</v>
      </c>
      <c r="U701" t="s">
        <v>89</v>
      </c>
      <c r="V701" t="s">
        <v>123</v>
      </c>
      <c r="W701">
        <v>1</v>
      </c>
      <c r="X701">
        <v>0</v>
      </c>
    </row>
    <row r="702" spans="2:24" x14ac:dyDescent="0.3">
      <c r="B702">
        <v>698</v>
      </c>
      <c r="C702" t="s">
        <v>12</v>
      </c>
      <c r="D702">
        <v>12</v>
      </c>
      <c r="E702" t="s">
        <v>84</v>
      </c>
      <c r="F702" t="s">
        <v>107</v>
      </c>
      <c r="G702">
        <v>926</v>
      </c>
      <c r="H702" t="s">
        <v>96</v>
      </c>
      <c r="I702" t="s">
        <v>116</v>
      </c>
      <c r="J702">
        <v>1</v>
      </c>
      <c r="K702" t="s">
        <v>98</v>
      </c>
      <c r="L702" t="s">
        <v>89</v>
      </c>
      <c r="M702">
        <v>2</v>
      </c>
      <c r="N702" t="s">
        <v>104</v>
      </c>
      <c r="O702">
        <v>38</v>
      </c>
      <c r="P702" t="s">
        <v>89</v>
      </c>
      <c r="Q702" t="s">
        <v>91</v>
      </c>
      <c r="R702">
        <v>1</v>
      </c>
      <c r="S702" t="s">
        <v>129</v>
      </c>
      <c r="T702">
        <v>1</v>
      </c>
      <c r="U702" t="s">
        <v>89</v>
      </c>
      <c r="V702" t="s">
        <v>94</v>
      </c>
      <c r="W702">
        <v>1</v>
      </c>
      <c r="X702">
        <v>0</v>
      </c>
    </row>
    <row r="703" spans="2:24" x14ac:dyDescent="0.3">
      <c r="B703">
        <v>699</v>
      </c>
      <c r="C703" t="s">
        <v>12</v>
      </c>
      <c r="D703">
        <v>18</v>
      </c>
      <c r="E703" t="s">
        <v>84</v>
      </c>
      <c r="F703" t="s">
        <v>85</v>
      </c>
      <c r="G703">
        <v>1800</v>
      </c>
      <c r="H703" t="s">
        <v>96</v>
      </c>
      <c r="I703" t="s">
        <v>97</v>
      </c>
      <c r="J703">
        <v>4</v>
      </c>
      <c r="K703" t="s">
        <v>88</v>
      </c>
      <c r="L703" t="s">
        <v>89</v>
      </c>
      <c r="M703">
        <v>2</v>
      </c>
      <c r="N703" t="s">
        <v>111</v>
      </c>
      <c r="O703">
        <v>24</v>
      </c>
      <c r="P703" t="s">
        <v>89</v>
      </c>
      <c r="Q703" t="s">
        <v>91</v>
      </c>
      <c r="R703">
        <v>2</v>
      </c>
      <c r="S703" t="s">
        <v>92</v>
      </c>
      <c r="T703">
        <v>1</v>
      </c>
      <c r="U703" t="s">
        <v>89</v>
      </c>
      <c r="V703" t="s">
        <v>94</v>
      </c>
      <c r="W703">
        <v>1</v>
      </c>
      <c r="X703">
        <v>0</v>
      </c>
    </row>
    <row r="704" spans="2:24" x14ac:dyDescent="0.3">
      <c r="B704">
        <v>700</v>
      </c>
      <c r="C704" t="s">
        <v>11</v>
      </c>
      <c r="D704">
        <v>15</v>
      </c>
      <c r="E704" t="s">
        <v>95</v>
      </c>
      <c r="F704" t="s">
        <v>99</v>
      </c>
      <c r="G704">
        <v>1905</v>
      </c>
      <c r="H704" t="s">
        <v>96</v>
      </c>
      <c r="I704" t="s">
        <v>87</v>
      </c>
      <c r="J704">
        <v>4</v>
      </c>
      <c r="K704" t="s">
        <v>88</v>
      </c>
      <c r="L704" t="s">
        <v>89</v>
      </c>
      <c r="M704">
        <v>4</v>
      </c>
      <c r="N704" t="s">
        <v>111</v>
      </c>
      <c r="O704">
        <v>40</v>
      </c>
      <c r="P704" t="s">
        <v>89</v>
      </c>
      <c r="Q704" t="s">
        <v>112</v>
      </c>
      <c r="R704">
        <v>1</v>
      </c>
      <c r="S704" t="s">
        <v>113</v>
      </c>
      <c r="T704">
        <v>1</v>
      </c>
      <c r="U704" t="s">
        <v>93</v>
      </c>
      <c r="V704" t="s">
        <v>94</v>
      </c>
      <c r="W704">
        <v>1</v>
      </c>
      <c r="X704">
        <v>0</v>
      </c>
    </row>
    <row r="705" spans="2:24" x14ac:dyDescent="0.3">
      <c r="B705">
        <v>701</v>
      </c>
      <c r="C705" t="s">
        <v>12</v>
      </c>
      <c r="D705">
        <v>12</v>
      </c>
      <c r="E705" t="s">
        <v>95</v>
      </c>
      <c r="F705" t="s">
        <v>102</v>
      </c>
      <c r="G705">
        <v>1123</v>
      </c>
      <c r="H705" t="s">
        <v>109</v>
      </c>
      <c r="I705" t="s">
        <v>97</v>
      </c>
      <c r="J705">
        <v>4</v>
      </c>
      <c r="K705" t="s">
        <v>98</v>
      </c>
      <c r="L705" t="s">
        <v>89</v>
      </c>
      <c r="M705">
        <v>4</v>
      </c>
      <c r="N705" t="s">
        <v>111</v>
      </c>
      <c r="O705">
        <v>29</v>
      </c>
      <c r="P705" t="s">
        <v>89</v>
      </c>
      <c r="Q705" t="s">
        <v>112</v>
      </c>
      <c r="R705">
        <v>1</v>
      </c>
      <c r="S705" t="s">
        <v>101</v>
      </c>
      <c r="T705">
        <v>1</v>
      </c>
      <c r="U705" t="s">
        <v>89</v>
      </c>
      <c r="V705" t="s">
        <v>94</v>
      </c>
      <c r="W705">
        <v>2</v>
      </c>
      <c r="X705">
        <v>1</v>
      </c>
    </row>
    <row r="706" spans="2:24" x14ac:dyDescent="0.3">
      <c r="B706">
        <v>702</v>
      </c>
      <c r="C706" t="s">
        <v>8</v>
      </c>
      <c r="D706">
        <v>48</v>
      </c>
      <c r="E706" t="s">
        <v>84</v>
      </c>
      <c r="F706" t="s">
        <v>110</v>
      </c>
      <c r="G706">
        <v>6331</v>
      </c>
      <c r="H706" t="s">
        <v>96</v>
      </c>
      <c r="I706" t="s">
        <v>87</v>
      </c>
      <c r="J706">
        <v>4</v>
      </c>
      <c r="K706" t="s">
        <v>88</v>
      </c>
      <c r="L706" t="s">
        <v>89</v>
      </c>
      <c r="M706">
        <v>4</v>
      </c>
      <c r="N706" t="s">
        <v>108</v>
      </c>
      <c r="O706">
        <v>46</v>
      </c>
      <c r="P706" t="s">
        <v>89</v>
      </c>
      <c r="Q706" t="s">
        <v>105</v>
      </c>
      <c r="R706">
        <v>2</v>
      </c>
      <c r="S706" t="s">
        <v>92</v>
      </c>
      <c r="T706">
        <v>1</v>
      </c>
      <c r="U706" t="s">
        <v>93</v>
      </c>
      <c r="V706" t="s">
        <v>94</v>
      </c>
      <c r="W706">
        <v>2</v>
      </c>
      <c r="X706">
        <v>1</v>
      </c>
    </row>
    <row r="707" spans="2:24" x14ac:dyDescent="0.3">
      <c r="B707">
        <v>703</v>
      </c>
      <c r="C707" t="s">
        <v>11</v>
      </c>
      <c r="D707">
        <v>24</v>
      </c>
      <c r="E707" t="s">
        <v>95</v>
      </c>
      <c r="F707" t="s">
        <v>85</v>
      </c>
      <c r="G707">
        <v>1377</v>
      </c>
      <c r="H707" t="s">
        <v>120</v>
      </c>
      <c r="I707" t="s">
        <v>87</v>
      </c>
      <c r="J707">
        <v>4</v>
      </c>
      <c r="K707" t="s">
        <v>98</v>
      </c>
      <c r="L707" t="s">
        <v>89</v>
      </c>
      <c r="M707">
        <v>2</v>
      </c>
      <c r="N707" t="s">
        <v>108</v>
      </c>
      <c r="O707">
        <v>47</v>
      </c>
      <c r="P707" t="s">
        <v>89</v>
      </c>
      <c r="Q707" t="s">
        <v>105</v>
      </c>
      <c r="R707">
        <v>1</v>
      </c>
      <c r="S707" t="s">
        <v>92</v>
      </c>
      <c r="T707">
        <v>1</v>
      </c>
      <c r="U707" t="s">
        <v>93</v>
      </c>
      <c r="V707" t="s">
        <v>94</v>
      </c>
      <c r="W707">
        <v>1</v>
      </c>
      <c r="X707">
        <v>0</v>
      </c>
    </row>
    <row r="708" spans="2:24" x14ac:dyDescent="0.3">
      <c r="B708">
        <v>704</v>
      </c>
      <c r="C708" t="s">
        <v>10</v>
      </c>
      <c r="D708">
        <v>30</v>
      </c>
      <c r="E708" t="s">
        <v>106</v>
      </c>
      <c r="F708" t="s">
        <v>119</v>
      </c>
      <c r="G708">
        <v>2503</v>
      </c>
      <c r="H708" t="s">
        <v>120</v>
      </c>
      <c r="I708" t="s">
        <v>87</v>
      </c>
      <c r="J708">
        <v>4</v>
      </c>
      <c r="K708" t="s">
        <v>88</v>
      </c>
      <c r="L708" t="s">
        <v>89</v>
      </c>
      <c r="M708">
        <v>2</v>
      </c>
      <c r="N708" t="s">
        <v>104</v>
      </c>
      <c r="O708">
        <v>41</v>
      </c>
      <c r="P708" t="s">
        <v>125</v>
      </c>
      <c r="Q708" t="s">
        <v>91</v>
      </c>
      <c r="R708">
        <v>2</v>
      </c>
      <c r="S708" t="s">
        <v>92</v>
      </c>
      <c r="T708">
        <v>1</v>
      </c>
      <c r="U708" t="s">
        <v>89</v>
      </c>
      <c r="V708" t="s">
        <v>94</v>
      </c>
      <c r="W708">
        <v>1</v>
      </c>
      <c r="X708">
        <v>0</v>
      </c>
    </row>
    <row r="709" spans="2:24" x14ac:dyDescent="0.3">
      <c r="B709">
        <v>705</v>
      </c>
      <c r="C709" t="s">
        <v>10</v>
      </c>
      <c r="D709">
        <v>27</v>
      </c>
      <c r="E709" t="s">
        <v>95</v>
      </c>
      <c r="F709" t="s">
        <v>119</v>
      </c>
      <c r="G709">
        <v>2528</v>
      </c>
      <c r="H709" t="s">
        <v>96</v>
      </c>
      <c r="I709" t="s">
        <v>118</v>
      </c>
      <c r="J709">
        <v>4</v>
      </c>
      <c r="K709" t="s">
        <v>98</v>
      </c>
      <c r="L709" t="s">
        <v>89</v>
      </c>
      <c r="M709">
        <v>1</v>
      </c>
      <c r="N709" t="s">
        <v>104</v>
      </c>
      <c r="O709">
        <v>32</v>
      </c>
      <c r="P709" t="s">
        <v>89</v>
      </c>
      <c r="Q709" t="s">
        <v>91</v>
      </c>
      <c r="R709">
        <v>1</v>
      </c>
      <c r="S709" t="s">
        <v>92</v>
      </c>
      <c r="T709">
        <v>2</v>
      </c>
      <c r="U709" t="s">
        <v>93</v>
      </c>
      <c r="V709" t="s">
        <v>94</v>
      </c>
      <c r="W709">
        <v>1</v>
      </c>
      <c r="X709">
        <v>0</v>
      </c>
    </row>
    <row r="710" spans="2:24" x14ac:dyDescent="0.3">
      <c r="B710">
        <v>706</v>
      </c>
      <c r="C710" t="s">
        <v>12</v>
      </c>
      <c r="D710">
        <v>15</v>
      </c>
      <c r="E710" t="s">
        <v>95</v>
      </c>
      <c r="F710" t="s">
        <v>107</v>
      </c>
      <c r="G710">
        <v>5324</v>
      </c>
      <c r="H710" t="s">
        <v>109</v>
      </c>
      <c r="I710" t="s">
        <v>87</v>
      </c>
      <c r="J710">
        <v>1</v>
      </c>
      <c r="K710" t="s">
        <v>98</v>
      </c>
      <c r="L710" t="s">
        <v>89</v>
      </c>
      <c r="M710">
        <v>4</v>
      </c>
      <c r="N710" t="s">
        <v>108</v>
      </c>
      <c r="O710">
        <v>35</v>
      </c>
      <c r="P710" t="s">
        <v>89</v>
      </c>
      <c r="Q710" t="s">
        <v>105</v>
      </c>
      <c r="R710">
        <v>1</v>
      </c>
      <c r="S710" t="s">
        <v>92</v>
      </c>
      <c r="T710">
        <v>1</v>
      </c>
      <c r="U710" t="s">
        <v>89</v>
      </c>
      <c r="V710" t="s">
        <v>94</v>
      </c>
      <c r="W710">
        <v>1</v>
      </c>
      <c r="X710">
        <v>0</v>
      </c>
    </row>
    <row r="711" spans="2:24" x14ac:dyDescent="0.3">
      <c r="B711">
        <v>707</v>
      </c>
      <c r="C711" t="s">
        <v>10</v>
      </c>
      <c r="D711">
        <v>48</v>
      </c>
      <c r="E711" t="s">
        <v>95</v>
      </c>
      <c r="F711" t="s">
        <v>107</v>
      </c>
      <c r="G711">
        <v>6560</v>
      </c>
      <c r="H711" t="s">
        <v>120</v>
      </c>
      <c r="I711" t="s">
        <v>100</v>
      </c>
      <c r="J711">
        <v>3</v>
      </c>
      <c r="K711" t="s">
        <v>88</v>
      </c>
      <c r="L711" t="s">
        <v>89</v>
      </c>
      <c r="M711">
        <v>2</v>
      </c>
      <c r="N711" t="s">
        <v>104</v>
      </c>
      <c r="O711">
        <v>24</v>
      </c>
      <c r="P711" t="s">
        <v>89</v>
      </c>
      <c r="Q711" t="s">
        <v>91</v>
      </c>
      <c r="R711">
        <v>1</v>
      </c>
      <c r="S711" t="s">
        <v>92</v>
      </c>
      <c r="T711">
        <v>1</v>
      </c>
      <c r="U711" t="s">
        <v>89</v>
      </c>
      <c r="V711" t="s">
        <v>94</v>
      </c>
      <c r="W711">
        <v>2</v>
      </c>
      <c r="X711">
        <v>1</v>
      </c>
    </row>
    <row r="712" spans="2:24" x14ac:dyDescent="0.3">
      <c r="B712">
        <v>708</v>
      </c>
      <c r="C712" t="s">
        <v>10</v>
      </c>
      <c r="D712">
        <v>12</v>
      </c>
      <c r="E712" t="s">
        <v>121</v>
      </c>
      <c r="F712" t="s">
        <v>102</v>
      </c>
      <c r="G712">
        <v>2969</v>
      </c>
      <c r="H712" t="s">
        <v>96</v>
      </c>
      <c r="I712" t="s">
        <v>118</v>
      </c>
      <c r="J712">
        <v>4</v>
      </c>
      <c r="K712" t="s">
        <v>98</v>
      </c>
      <c r="L712" t="s">
        <v>89</v>
      </c>
      <c r="M712">
        <v>3</v>
      </c>
      <c r="N712" t="s">
        <v>104</v>
      </c>
      <c r="O712">
        <v>25</v>
      </c>
      <c r="P712" t="s">
        <v>89</v>
      </c>
      <c r="Q712" t="s">
        <v>112</v>
      </c>
      <c r="R712">
        <v>2</v>
      </c>
      <c r="S712" t="s">
        <v>92</v>
      </c>
      <c r="T712">
        <v>1</v>
      </c>
      <c r="U712" t="s">
        <v>89</v>
      </c>
      <c r="V712" t="s">
        <v>94</v>
      </c>
      <c r="W712">
        <v>2</v>
      </c>
      <c r="X712">
        <v>1</v>
      </c>
    </row>
    <row r="713" spans="2:24" x14ac:dyDescent="0.3">
      <c r="B713">
        <v>709</v>
      </c>
      <c r="C713" t="s">
        <v>10</v>
      </c>
      <c r="D713">
        <v>9</v>
      </c>
      <c r="E713" t="s">
        <v>95</v>
      </c>
      <c r="F713" t="s">
        <v>85</v>
      </c>
      <c r="G713">
        <v>1206</v>
      </c>
      <c r="H713" t="s">
        <v>96</v>
      </c>
      <c r="I713" t="s">
        <v>87</v>
      </c>
      <c r="J713">
        <v>4</v>
      </c>
      <c r="K713" t="s">
        <v>98</v>
      </c>
      <c r="L713" t="s">
        <v>89</v>
      </c>
      <c r="M713">
        <v>4</v>
      </c>
      <c r="N713" t="s">
        <v>90</v>
      </c>
      <c r="O713">
        <v>25</v>
      </c>
      <c r="P713" t="s">
        <v>89</v>
      </c>
      <c r="Q713" t="s">
        <v>91</v>
      </c>
      <c r="R713">
        <v>1</v>
      </c>
      <c r="S713" t="s">
        <v>92</v>
      </c>
      <c r="T713">
        <v>1</v>
      </c>
      <c r="U713" t="s">
        <v>89</v>
      </c>
      <c r="V713" t="s">
        <v>94</v>
      </c>
      <c r="W713">
        <v>1</v>
      </c>
      <c r="X713">
        <v>0</v>
      </c>
    </row>
    <row r="714" spans="2:24" x14ac:dyDescent="0.3">
      <c r="B714">
        <v>710</v>
      </c>
      <c r="C714" t="s">
        <v>10</v>
      </c>
      <c r="D714">
        <v>9</v>
      </c>
      <c r="E714" t="s">
        <v>95</v>
      </c>
      <c r="F714" t="s">
        <v>85</v>
      </c>
      <c r="G714">
        <v>2118</v>
      </c>
      <c r="H714" t="s">
        <v>96</v>
      </c>
      <c r="I714" t="s">
        <v>97</v>
      </c>
      <c r="J714">
        <v>2</v>
      </c>
      <c r="K714" t="s">
        <v>88</v>
      </c>
      <c r="L714" t="s">
        <v>89</v>
      </c>
      <c r="M714">
        <v>2</v>
      </c>
      <c r="N714" t="s">
        <v>90</v>
      </c>
      <c r="O714">
        <v>37</v>
      </c>
      <c r="P714" t="s">
        <v>89</v>
      </c>
      <c r="Q714" t="s">
        <v>91</v>
      </c>
      <c r="R714">
        <v>1</v>
      </c>
      <c r="S714" t="s">
        <v>101</v>
      </c>
      <c r="T714">
        <v>2</v>
      </c>
      <c r="U714" t="s">
        <v>89</v>
      </c>
      <c r="V714" t="s">
        <v>94</v>
      </c>
      <c r="W714">
        <v>1</v>
      </c>
      <c r="X714">
        <v>0</v>
      </c>
    </row>
    <row r="715" spans="2:24" x14ac:dyDescent="0.3">
      <c r="B715">
        <v>711</v>
      </c>
      <c r="C715" t="s">
        <v>12</v>
      </c>
      <c r="D715">
        <v>18</v>
      </c>
      <c r="E715" t="s">
        <v>84</v>
      </c>
      <c r="F715" t="s">
        <v>85</v>
      </c>
      <c r="G715">
        <v>629</v>
      </c>
      <c r="H715" t="s">
        <v>109</v>
      </c>
      <c r="I715" t="s">
        <v>87</v>
      </c>
      <c r="J715">
        <v>4</v>
      </c>
      <c r="K715" t="s">
        <v>88</v>
      </c>
      <c r="L715" t="s">
        <v>89</v>
      </c>
      <c r="M715">
        <v>3</v>
      </c>
      <c r="N715" t="s">
        <v>104</v>
      </c>
      <c r="O715">
        <v>32</v>
      </c>
      <c r="P715" t="s">
        <v>122</v>
      </c>
      <c r="Q715" t="s">
        <v>91</v>
      </c>
      <c r="R715">
        <v>2</v>
      </c>
      <c r="S715" t="s">
        <v>113</v>
      </c>
      <c r="T715">
        <v>1</v>
      </c>
      <c r="U715" t="s">
        <v>93</v>
      </c>
      <c r="V715" t="s">
        <v>94</v>
      </c>
      <c r="W715">
        <v>1</v>
      </c>
      <c r="X715">
        <v>0</v>
      </c>
    </row>
    <row r="716" spans="2:24" x14ac:dyDescent="0.3">
      <c r="B716">
        <v>712</v>
      </c>
      <c r="C716" t="s">
        <v>8</v>
      </c>
      <c r="D716">
        <v>6</v>
      </c>
      <c r="E716" t="s">
        <v>124</v>
      </c>
      <c r="F716" t="s">
        <v>99</v>
      </c>
      <c r="G716">
        <v>1198</v>
      </c>
      <c r="H716" t="s">
        <v>96</v>
      </c>
      <c r="I716" t="s">
        <v>87</v>
      </c>
      <c r="J716">
        <v>4</v>
      </c>
      <c r="K716" t="s">
        <v>98</v>
      </c>
      <c r="L716" t="s">
        <v>89</v>
      </c>
      <c r="M716">
        <v>4</v>
      </c>
      <c r="N716" t="s">
        <v>108</v>
      </c>
      <c r="O716">
        <v>35</v>
      </c>
      <c r="P716" t="s">
        <v>89</v>
      </c>
      <c r="Q716" t="s">
        <v>105</v>
      </c>
      <c r="R716">
        <v>1</v>
      </c>
      <c r="S716" t="s">
        <v>92</v>
      </c>
      <c r="T716">
        <v>1</v>
      </c>
      <c r="U716" t="s">
        <v>89</v>
      </c>
      <c r="V716" t="s">
        <v>94</v>
      </c>
      <c r="W716">
        <v>2</v>
      </c>
      <c r="X716">
        <v>1</v>
      </c>
    </row>
    <row r="717" spans="2:24" x14ac:dyDescent="0.3">
      <c r="B717">
        <v>713</v>
      </c>
      <c r="C717" t="s">
        <v>12</v>
      </c>
      <c r="D717">
        <v>21</v>
      </c>
      <c r="E717" t="s">
        <v>95</v>
      </c>
      <c r="F717" t="s">
        <v>110</v>
      </c>
      <c r="G717">
        <v>2476</v>
      </c>
      <c r="H717" t="s">
        <v>86</v>
      </c>
      <c r="I717" t="s">
        <v>87</v>
      </c>
      <c r="J717">
        <v>4</v>
      </c>
      <c r="K717" t="s">
        <v>88</v>
      </c>
      <c r="L717" t="s">
        <v>89</v>
      </c>
      <c r="M717">
        <v>4</v>
      </c>
      <c r="N717" t="s">
        <v>90</v>
      </c>
      <c r="O717">
        <v>46</v>
      </c>
      <c r="P717" t="s">
        <v>89</v>
      </c>
      <c r="Q717" t="s">
        <v>91</v>
      </c>
      <c r="R717">
        <v>1</v>
      </c>
      <c r="S717" t="s">
        <v>113</v>
      </c>
      <c r="T717">
        <v>1</v>
      </c>
      <c r="U717" t="s">
        <v>93</v>
      </c>
      <c r="V717" t="s">
        <v>94</v>
      </c>
      <c r="W717">
        <v>1</v>
      </c>
      <c r="X717">
        <v>0</v>
      </c>
    </row>
    <row r="718" spans="2:24" x14ac:dyDescent="0.3">
      <c r="B718">
        <v>714</v>
      </c>
      <c r="C718" t="s">
        <v>8</v>
      </c>
      <c r="D718">
        <v>9</v>
      </c>
      <c r="E718" t="s">
        <v>84</v>
      </c>
      <c r="F718" t="s">
        <v>85</v>
      </c>
      <c r="G718">
        <v>1138</v>
      </c>
      <c r="H718" t="s">
        <v>96</v>
      </c>
      <c r="I718" t="s">
        <v>97</v>
      </c>
      <c r="J718">
        <v>4</v>
      </c>
      <c r="K718" t="s">
        <v>88</v>
      </c>
      <c r="L718" t="s">
        <v>89</v>
      </c>
      <c r="M718">
        <v>4</v>
      </c>
      <c r="N718" t="s">
        <v>90</v>
      </c>
      <c r="O718">
        <v>25</v>
      </c>
      <c r="P718" t="s">
        <v>89</v>
      </c>
      <c r="Q718" t="s">
        <v>91</v>
      </c>
      <c r="R718">
        <v>2</v>
      </c>
      <c r="S718" t="s">
        <v>101</v>
      </c>
      <c r="T718">
        <v>1</v>
      </c>
      <c r="U718" t="s">
        <v>89</v>
      </c>
      <c r="V718" t="s">
        <v>94</v>
      </c>
      <c r="W718">
        <v>1</v>
      </c>
      <c r="X718">
        <v>0</v>
      </c>
    </row>
    <row r="719" spans="2:24" x14ac:dyDescent="0.3">
      <c r="B719">
        <v>715</v>
      </c>
      <c r="C719" t="s">
        <v>10</v>
      </c>
      <c r="D719">
        <v>60</v>
      </c>
      <c r="E719" t="s">
        <v>95</v>
      </c>
      <c r="F719" t="s">
        <v>107</v>
      </c>
      <c r="G719">
        <v>14027</v>
      </c>
      <c r="H719" t="s">
        <v>96</v>
      </c>
      <c r="I719" t="s">
        <v>100</v>
      </c>
      <c r="J719">
        <v>4</v>
      </c>
      <c r="K719" t="s">
        <v>88</v>
      </c>
      <c r="L719" t="s">
        <v>89</v>
      </c>
      <c r="M719">
        <v>2</v>
      </c>
      <c r="N719" t="s">
        <v>108</v>
      </c>
      <c r="O719">
        <v>27</v>
      </c>
      <c r="P719" t="s">
        <v>89</v>
      </c>
      <c r="Q719" t="s">
        <v>91</v>
      </c>
      <c r="R719">
        <v>1</v>
      </c>
      <c r="S719" t="s">
        <v>113</v>
      </c>
      <c r="T719">
        <v>1</v>
      </c>
      <c r="U719" t="s">
        <v>93</v>
      </c>
      <c r="V719" t="s">
        <v>94</v>
      </c>
      <c r="W719">
        <v>2</v>
      </c>
      <c r="X719">
        <v>1</v>
      </c>
    </row>
    <row r="720" spans="2:24" x14ac:dyDescent="0.3">
      <c r="B720">
        <v>716</v>
      </c>
      <c r="C720" t="s">
        <v>12</v>
      </c>
      <c r="D720">
        <v>30</v>
      </c>
      <c r="E720" t="s">
        <v>84</v>
      </c>
      <c r="F720" t="s">
        <v>110</v>
      </c>
      <c r="G720">
        <v>7596</v>
      </c>
      <c r="H720" t="s">
        <v>86</v>
      </c>
      <c r="I720" t="s">
        <v>87</v>
      </c>
      <c r="J720">
        <v>1</v>
      </c>
      <c r="K720" t="s">
        <v>88</v>
      </c>
      <c r="L720" t="s">
        <v>89</v>
      </c>
      <c r="M720">
        <v>4</v>
      </c>
      <c r="N720" t="s">
        <v>111</v>
      </c>
      <c r="O720">
        <v>63</v>
      </c>
      <c r="P720" t="s">
        <v>89</v>
      </c>
      <c r="Q720" t="s">
        <v>91</v>
      </c>
      <c r="R720">
        <v>2</v>
      </c>
      <c r="S720" t="s">
        <v>92</v>
      </c>
      <c r="T720">
        <v>1</v>
      </c>
      <c r="U720" t="s">
        <v>89</v>
      </c>
      <c r="V720" t="s">
        <v>94</v>
      </c>
      <c r="W720">
        <v>1</v>
      </c>
      <c r="X720">
        <v>0</v>
      </c>
    </row>
    <row r="721" spans="2:24" x14ac:dyDescent="0.3">
      <c r="B721">
        <v>717</v>
      </c>
      <c r="C721" t="s">
        <v>12</v>
      </c>
      <c r="D721">
        <v>30</v>
      </c>
      <c r="E721" t="s">
        <v>84</v>
      </c>
      <c r="F721" t="s">
        <v>85</v>
      </c>
      <c r="G721">
        <v>3077</v>
      </c>
      <c r="H721" t="s">
        <v>86</v>
      </c>
      <c r="I721" t="s">
        <v>87</v>
      </c>
      <c r="J721">
        <v>3</v>
      </c>
      <c r="K721" t="s">
        <v>88</v>
      </c>
      <c r="L721" t="s">
        <v>89</v>
      </c>
      <c r="M721">
        <v>2</v>
      </c>
      <c r="N721" t="s">
        <v>111</v>
      </c>
      <c r="O721">
        <v>40</v>
      </c>
      <c r="P721" t="s">
        <v>89</v>
      </c>
      <c r="Q721" t="s">
        <v>91</v>
      </c>
      <c r="R721">
        <v>2</v>
      </c>
      <c r="S721" t="s">
        <v>92</v>
      </c>
      <c r="T721">
        <v>2</v>
      </c>
      <c r="U721" t="s">
        <v>93</v>
      </c>
      <c r="V721" t="s">
        <v>94</v>
      </c>
      <c r="W721">
        <v>1</v>
      </c>
      <c r="X721">
        <v>0</v>
      </c>
    </row>
    <row r="722" spans="2:24" x14ac:dyDescent="0.3">
      <c r="B722">
        <v>718</v>
      </c>
      <c r="C722" t="s">
        <v>12</v>
      </c>
      <c r="D722">
        <v>18</v>
      </c>
      <c r="E722" t="s">
        <v>95</v>
      </c>
      <c r="F722" t="s">
        <v>85</v>
      </c>
      <c r="G722">
        <v>1505</v>
      </c>
      <c r="H722" t="s">
        <v>96</v>
      </c>
      <c r="I722" t="s">
        <v>97</v>
      </c>
      <c r="J722">
        <v>4</v>
      </c>
      <c r="K722" t="s">
        <v>88</v>
      </c>
      <c r="L722" t="s">
        <v>89</v>
      </c>
      <c r="M722">
        <v>2</v>
      </c>
      <c r="N722" t="s">
        <v>108</v>
      </c>
      <c r="O722">
        <v>32</v>
      </c>
      <c r="P722" t="s">
        <v>89</v>
      </c>
      <c r="Q722" t="s">
        <v>105</v>
      </c>
      <c r="R722">
        <v>1</v>
      </c>
      <c r="S722" t="s">
        <v>113</v>
      </c>
      <c r="T722">
        <v>1</v>
      </c>
      <c r="U722" t="s">
        <v>93</v>
      </c>
      <c r="V722" t="s">
        <v>94</v>
      </c>
      <c r="W722">
        <v>1</v>
      </c>
      <c r="X722">
        <v>0</v>
      </c>
    </row>
    <row r="723" spans="2:24" x14ac:dyDescent="0.3">
      <c r="B723">
        <v>719</v>
      </c>
      <c r="C723" t="s">
        <v>11</v>
      </c>
      <c r="D723">
        <v>24</v>
      </c>
      <c r="E723" t="s">
        <v>84</v>
      </c>
      <c r="F723" t="s">
        <v>85</v>
      </c>
      <c r="G723">
        <v>3148</v>
      </c>
      <c r="H723" t="s">
        <v>86</v>
      </c>
      <c r="I723" t="s">
        <v>97</v>
      </c>
      <c r="J723">
        <v>3</v>
      </c>
      <c r="K723" t="s">
        <v>88</v>
      </c>
      <c r="L723" t="s">
        <v>89</v>
      </c>
      <c r="M723">
        <v>2</v>
      </c>
      <c r="N723" t="s">
        <v>111</v>
      </c>
      <c r="O723">
        <v>31</v>
      </c>
      <c r="P723" t="s">
        <v>89</v>
      </c>
      <c r="Q723" t="s">
        <v>91</v>
      </c>
      <c r="R723">
        <v>2</v>
      </c>
      <c r="S723" t="s">
        <v>92</v>
      </c>
      <c r="T723">
        <v>1</v>
      </c>
      <c r="U723" t="s">
        <v>93</v>
      </c>
      <c r="V723" t="s">
        <v>94</v>
      </c>
      <c r="W723">
        <v>1</v>
      </c>
      <c r="X723">
        <v>0</v>
      </c>
    </row>
    <row r="724" spans="2:24" x14ac:dyDescent="0.3">
      <c r="B724">
        <v>720</v>
      </c>
      <c r="C724" t="s">
        <v>10</v>
      </c>
      <c r="D724">
        <v>20</v>
      </c>
      <c r="E724" t="s">
        <v>121</v>
      </c>
      <c r="F724" t="s">
        <v>110</v>
      </c>
      <c r="G724">
        <v>6148</v>
      </c>
      <c r="H724" t="s">
        <v>120</v>
      </c>
      <c r="I724" t="s">
        <v>87</v>
      </c>
      <c r="J724">
        <v>3</v>
      </c>
      <c r="K724" t="s">
        <v>117</v>
      </c>
      <c r="L724" t="s">
        <v>89</v>
      </c>
      <c r="M724">
        <v>4</v>
      </c>
      <c r="N724" t="s">
        <v>111</v>
      </c>
      <c r="O724">
        <v>31</v>
      </c>
      <c r="P724" t="s">
        <v>122</v>
      </c>
      <c r="Q724" t="s">
        <v>91</v>
      </c>
      <c r="R724">
        <v>2</v>
      </c>
      <c r="S724" t="s">
        <v>92</v>
      </c>
      <c r="T724">
        <v>1</v>
      </c>
      <c r="U724" t="s">
        <v>93</v>
      </c>
      <c r="V724" t="s">
        <v>94</v>
      </c>
      <c r="W724">
        <v>1</v>
      </c>
      <c r="X724">
        <v>0</v>
      </c>
    </row>
    <row r="725" spans="2:24" x14ac:dyDescent="0.3">
      <c r="B725">
        <v>721</v>
      </c>
      <c r="C725" t="s">
        <v>11</v>
      </c>
      <c r="D725">
        <v>9</v>
      </c>
      <c r="E725" t="s">
        <v>121</v>
      </c>
      <c r="F725" t="s">
        <v>85</v>
      </c>
      <c r="G725">
        <v>1337</v>
      </c>
      <c r="H725" t="s">
        <v>96</v>
      </c>
      <c r="I725" t="s">
        <v>118</v>
      </c>
      <c r="J725">
        <v>4</v>
      </c>
      <c r="K725" t="s">
        <v>88</v>
      </c>
      <c r="L725" t="s">
        <v>89</v>
      </c>
      <c r="M725">
        <v>2</v>
      </c>
      <c r="N725" t="s">
        <v>111</v>
      </c>
      <c r="O725">
        <v>34</v>
      </c>
      <c r="P725" t="s">
        <v>89</v>
      </c>
      <c r="Q725" t="s">
        <v>91</v>
      </c>
      <c r="R725">
        <v>2</v>
      </c>
      <c r="S725" t="s">
        <v>113</v>
      </c>
      <c r="T725">
        <v>1</v>
      </c>
      <c r="U725" t="s">
        <v>93</v>
      </c>
      <c r="V725" t="s">
        <v>94</v>
      </c>
      <c r="W725">
        <v>2</v>
      </c>
      <c r="X725">
        <v>1</v>
      </c>
    </row>
    <row r="726" spans="2:24" x14ac:dyDescent="0.3">
      <c r="B726">
        <v>722</v>
      </c>
      <c r="C726" t="s">
        <v>10</v>
      </c>
      <c r="D726">
        <v>6</v>
      </c>
      <c r="E726" t="s">
        <v>124</v>
      </c>
      <c r="F726" t="s">
        <v>99</v>
      </c>
      <c r="G726">
        <v>433</v>
      </c>
      <c r="H726" t="s">
        <v>114</v>
      </c>
      <c r="I726" t="s">
        <v>118</v>
      </c>
      <c r="J726">
        <v>4</v>
      </c>
      <c r="K726" t="s">
        <v>98</v>
      </c>
      <c r="L726" t="s">
        <v>89</v>
      </c>
      <c r="M726">
        <v>2</v>
      </c>
      <c r="N726" t="s">
        <v>104</v>
      </c>
      <c r="O726">
        <v>24</v>
      </c>
      <c r="P726" t="s">
        <v>122</v>
      </c>
      <c r="Q726" t="s">
        <v>112</v>
      </c>
      <c r="R726">
        <v>1</v>
      </c>
      <c r="S726" t="s">
        <v>92</v>
      </c>
      <c r="T726">
        <v>2</v>
      </c>
      <c r="U726" t="s">
        <v>89</v>
      </c>
      <c r="V726" t="s">
        <v>94</v>
      </c>
      <c r="W726">
        <v>2</v>
      </c>
      <c r="X726">
        <v>1</v>
      </c>
    </row>
    <row r="727" spans="2:24" x14ac:dyDescent="0.3">
      <c r="B727">
        <v>723</v>
      </c>
      <c r="C727" t="s">
        <v>8</v>
      </c>
      <c r="D727">
        <v>12</v>
      </c>
      <c r="E727" t="s">
        <v>95</v>
      </c>
      <c r="F727" t="s">
        <v>107</v>
      </c>
      <c r="G727">
        <v>1228</v>
      </c>
      <c r="H727" t="s">
        <v>96</v>
      </c>
      <c r="I727" t="s">
        <v>97</v>
      </c>
      <c r="J727">
        <v>4</v>
      </c>
      <c r="K727" t="s">
        <v>98</v>
      </c>
      <c r="L727" t="s">
        <v>89</v>
      </c>
      <c r="M727">
        <v>2</v>
      </c>
      <c r="N727" t="s">
        <v>90</v>
      </c>
      <c r="O727">
        <v>24</v>
      </c>
      <c r="P727" t="s">
        <v>89</v>
      </c>
      <c r="Q727" t="s">
        <v>91</v>
      </c>
      <c r="R727">
        <v>1</v>
      </c>
      <c r="S727" t="s">
        <v>101</v>
      </c>
      <c r="T727">
        <v>1</v>
      </c>
      <c r="U727" t="s">
        <v>89</v>
      </c>
      <c r="V727" t="s">
        <v>94</v>
      </c>
      <c r="W727">
        <v>2</v>
      </c>
      <c r="X727">
        <v>1</v>
      </c>
    </row>
    <row r="728" spans="2:24" x14ac:dyDescent="0.3">
      <c r="B728">
        <v>724</v>
      </c>
      <c r="C728" t="s">
        <v>10</v>
      </c>
      <c r="D728">
        <v>9</v>
      </c>
      <c r="E728" t="s">
        <v>95</v>
      </c>
      <c r="F728" t="s">
        <v>85</v>
      </c>
      <c r="G728">
        <v>790</v>
      </c>
      <c r="H728" t="s">
        <v>109</v>
      </c>
      <c r="I728" t="s">
        <v>97</v>
      </c>
      <c r="J728">
        <v>4</v>
      </c>
      <c r="K728" t="s">
        <v>98</v>
      </c>
      <c r="L728" t="s">
        <v>89</v>
      </c>
      <c r="M728">
        <v>3</v>
      </c>
      <c r="N728" t="s">
        <v>90</v>
      </c>
      <c r="O728">
        <v>66</v>
      </c>
      <c r="P728" t="s">
        <v>89</v>
      </c>
      <c r="Q728" t="s">
        <v>91</v>
      </c>
      <c r="R728">
        <v>1</v>
      </c>
      <c r="S728" t="s">
        <v>101</v>
      </c>
      <c r="T728">
        <v>1</v>
      </c>
      <c r="U728" t="s">
        <v>89</v>
      </c>
      <c r="V728" t="s">
        <v>94</v>
      </c>
      <c r="W728">
        <v>1</v>
      </c>
      <c r="X728">
        <v>0</v>
      </c>
    </row>
    <row r="729" spans="2:24" x14ac:dyDescent="0.3">
      <c r="B729">
        <v>725</v>
      </c>
      <c r="C729" t="s">
        <v>12</v>
      </c>
      <c r="D729">
        <v>27</v>
      </c>
      <c r="E729" t="s">
        <v>95</v>
      </c>
      <c r="F729" t="s">
        <v>107</v>
      </c>
      <c r="G729">
        <v>2570</v>
      </c>
      <c r="H729" t="s">
        <v>96</v>
      </c>
      <c r="I729" t="s">
        <v>97</v>
      </c>
      <c r="J729">
        <v>3</v>
      </c>
      <c r="K729" t="s">
        <v>98</v>
      </c>
      <c r="L729" t="s">
        <v>89</v>
      </c>
      <c r="M729">
        <v>3</v>
      </c>
      <c r="N729" t="s">
        <v>90</v>
      </c>
      <c r="O729">
        <v>21</v>
      </c>
      <c r="P729" t="s">
        <v>89</v>
      </c>
      <c r="Q729" t="s">
        <v>112</v>
      </c>
      <c r="R729">
        <v>1</v>
      </c>
      <c r="S729" t="s">
        <v>92</v>
      </c>
      <c r="T729">
        <v>1</v>
      </c>
      <c r="U729" t="s">
        <v>89</v>
      </c>
      <c r="V729" t="s">
        <v>94</v>
      </c>
      <c r="W729">
        <v>2</v>
      </c>
      <c r="X729">
        <v>1</v>
      </c>
    </row>
    <row r="730" spans="2:24" x14ac:dyDescent="0.3">
      <c r="B730">
        <v>726</v>
      </c>
      <c r="C730" t="s">
        <v>12</v>
      </c>
      <c r="D730">
        <v>6</v>
      </c>
      <c r="E730" t="s">
        <v>84</v>
      </c>
      <c r="F730" t="s">
        <v>107</v>
      </c>
      <c r="G730">
        <v>250</v>
      </c>
      <c r="H730" t="s">
        <v>114</v>
      </c>
      <c r="I730" t="s">
        <v>97</v>
      </c>
      <c r="J730">
        <v>2</v>
      </c>
      <c r="K730" t="s">
        <v>98</v>
      </c>
      <c r="L730" t="s">
        <v>89</v>
      </c>
      <c r="M730">
        <v>2</v>
      </c>
      <c r="N730" t="s">
        <v>90</v>
      </c>
      <c r="O730">
        <v>41</v>
      </c>
      <c r="P730" t="s">
        <v>122</v>
      </c>
      <c r="Q730" t="s">
        <v>91</v>
      </c>
      <c r="R730">
        <v>2</v>
      </c>
      <c r="S730" t="s">
        <v>101</v>
      </c>
      <c r="T730">
        <v>1</v>
      </c>
      <c r="U730" t="s">
        <v>89</v>
      </c>
      <c r="V730" t="s">
        <v>94</v>
      </c>
      <c r="W730">
        <v>1</v>
      </c>
      <c r="X730">
        <v>0</v>
      </c>
    </row>
    <row r="731" spans="2:24" x14ac:dyDescent="0.3">
      <c r="B731">
        <v>727</v>
      </c>
      <c r="C731" t="s">
        <v>12</v>
      </c>
      <c r="D731">
        <v>15</v>
      </c>
      <c r="E731" t="s">
        <v>84</v>
      </c>
      <c r="F731" t="s">
        <v>85</v>
      </c>
      <c r="G731">
        <v>1316</v>
      </c>
      <c r="H731" t="s">
        <v>109</v>
      </c>
      <c r="I731" t="s">
        <v>97</v>
      </c>
      <c r="J731">
        <v>2</v>
      </c>
      <c r="K731" t="s">
        <v>117</v>
      </c>
      <c r="L731" t="s">
        <v>89</v>
      </c>
      <c r="M731">
        <v>2</v>
      </c>
      <c r="N731" t="s">
        <v>104</v>
      </c>
      <c r="O731">
        <v>47</v>
      </c>
      <c r="P731" t="s">
        <v>89</v>
      </c>
      <c r="Q731" t="s">
        <v>91</v>
      </c>
      <c r="R731">
        <v>2</v>
      </c>
      <c r="S731" t="s">
        <v>101</v>
      </c>
      <c r="T731">
        <v>1</v>
      </c>
      <c r="U731" t="s">
        <v>89</v>
      </c>
      <c r="V731" t="s">
        <v>94</v>
      </c>
      <c r="W731">
        <v>1</v>
      </c>
      <c r="X731">
        <v>0</v>
      </c>
    </row>
    <row r="732" spans="2:24" x14ac:dyDescent="0.3">
      <c r="B732">
        <v>728</v>
      </c>
      <c r="C732" t="s">
        <v>8</v>
      </c>
      <c r="D732">
        <v>18</v>
      </c>
      <c r="E732" t="s">
        <v>95</v>
      </c>
      <c r="F732" t="s">
        <v>85</v>
      </c>
      <c r="G732">
        <v>1882</v>
      </c>
      <c r="H732" t="s">
        <v>96</v>
      </c>
      <c r="I732" t="s">
        <v>97</v>
      </c>
      <c r="J732">
        <v>4</v>
      </c>
      <c r="K732" t="s">
        <v>98</v>
      </c>
      <c r="L732" t="s">
        <v>89</v>
      </c>
      <c r="M732">
        <v>4</v>
      </c>
      <c r="N732" t="s">
        <v>111</v>
      </c>
      <c r="O732">
        <v>25</v>
      </c>
      <c r="P732" t="s">
        <v>122</v>
      </c>
      <c r="Q732" t="s">
        <v>112</v>
      </c>
      <c r="R732">
        <v>2</v>
      </c>
      <c r="S732" t="s">
        <v>92</v>
      </c>
      <c r="T732">
        <v>1</v>
      </c>
      <c r="U732" t="s">
        <v>89</v>
      </c>
      <c r="V732" t="s">
        <v>94</v>
      </c>
      <c r="W732">
        <v>2</v>
      </c>
      <c r="X732">
        <v>1</v>
      </c>
    </row>
    <row r="733" spans="2:24" x14ac:dyDescent="0.3">
      <c r="B733">
        <v>729</v>
      </c>
      <c r="C733" t="s">
        <v>10</v>
      </c>
      <c r="D733">
        <v>48</v>
      </c>
      <c r="E733" t="s">
        <v>124</v>
      </c>
      <c r="F733" t="s">
        <v>119</v>
      </c>
      <c r="G733">
        <v>6416</v>
      </c>
      <c r="H733" t="s">
        <v>96</v>
      </c>
      <c r="I733" t="s">
        <v>87</v>
      </c>
      <c r="J733">
        <v>4</v>
      </c>
      <c r="K733" t="s">
        <v>98</v>
      </c>
      <c r="L733" t="s">
        <v>89</v>
      </c>
      <c r="M733">
        <v>3</v>
      </c>
      <c r="N733" t="s">
        <v>108</v>
      </c>
      <c r="O733">
        <v>59</v>
      </c>
      <c r="P733" t="s">
        <v>89</v>
      </c>
      <c r="Q733" t="s">
        <v>112</v>
      </c>
      <c r="R733">
        <v>1</v>
      </c>
      <c r="S733" t="s">
        <v>92</v>
      </c>
      <c r="T733">
        <v>1</v>
      </c>
      <c r="U733" t="s">
        <v>89</v>
      </c>
      <c r="V733" t="s">
        <v>94</v>
      </c>
      <c r="W733">
        <v>2</v>
      </c>
      <c r="X733">
        <v>1</v>
      </c>
    </row>
    <row r="734" spans="2:24" x14ac:dyDescent="0.3">
      <c r="B734">
        <v>730</v>
      </c>
      <c r="C734" t="s">
        <v>11</v>
      </c>
      <c r="D734">
        <v>24</v>
      </c>
      <c r="E734" t="s">
        <v>84</v>
      </c>
      <c r="F734" t="s">
        <v>119</v>
      </c>
      <c r="G734">
        <v>1275</v>
      </c>
      <c r="H734" t="s">
        <v>114</v>
      </c>
      <c r="I734" t="s">
        <v>97</v>
      </c>
      <c r="J734">
        <v>2</v>
      </c>
      <c r="K734" t="s">
        <v>115</v>
      </c>
      <c r="L734" t="s">
        <v>89</v>
      </c>
      <c r="M734">
        <v>4</v>
      </c>
      <c r="N734" t="s">
        <v>90</v>
      </c>
      <c r="O734">
        <v>36</v>
      </c>
      <c r="P734" t="s">
        <v>89</v>
      </c>
      <c r="Q734" t="s">
        <v>91</v>
      </c>
      <c r="R734">
        <v>2</v>
      </c>
      <c r="S734" t="s">
        <v>92</v>
      </c>
      <c r="T734">
        <v>1</v>
      </c>
      <c r="U734" t="s">
        <v>93</v>
      </c>
      <c r="V734" t="s">
        <v>94</v>
      </c>
      <c r="W734">
        <v>1</v>
      </c>
      <c r="X734">
        <v>0</v>
      </c>
    </row>
    <row r="735" spans="2:24" x14ac:dyDescent="0.3">
      <c r="B735">
        <v>731</v>
      </c>
      <c r="C735" t="s">
        <v>10</v>
      </c>
      <c r="D735">
        <v>24</v>
      </c>
      <c r="E735" t="s">
        <v>106</v>
      </c>
      <c r="F735" t="s">
        <v>85</v>
      </c>
      <c r="G735">
        <v>6403</v>
      </c>
      <c r="H735" t="s">
        <v>96</v>
      </c>
      <c r="I735" t="s">
        <v>118</v>
      </c>
      <c r="J735">
        <v>1</v>
      </c>
      <c r="K735" t="s">
        <v>88</v>
      </c>
      <c r="L735" t="s">
        <v>89</v>
      </c>
      <c r="M735">
        <v>2</v>
      </c>
      <c r="N735" t="s">
        <v>111</v>
      </c>
      <c r="O735">
        <v>33</v>
      </c>
      <c r="P735" t="s">
        <v>89</v>
      </c>
      <c r="Q735" t="s">
        <v>91</v>
      </c>
      <c r="R735">
        <v>1</v>
      </c>
      <c r="S735" t="s">
        <v>92</v>
      </c>
      <c r="T735">
        <v>1</v>
      </c>
      <c r="U735" t="s">
        <v>89</v>
      </c>
      <c r="V735" t="s">
        <v>94</v>
      </c>
      <c r="W735">
        <v>1</v>
      </c>
      <c r="X735">
        <v>0</v>
      </c>
    </row>
    <row r="736" spans="2:24" x14ac:dyDescent="0.3">
      <c r="B736">
        <v>732</v>
      </c>
      <c r="C736" t="s">
        <v>8</v>
      </c>
      <c r="D736">
        <v>24</v>
      </c>
      <c r="E736" t="s">
        <v>95</v>
      </c>
      <c r="F736" t="s">
        <v>85</v>
      </c>
      <c r="G736">
        <v>1987</v>
      </c>
      <c r="H736" t="s">
        <v>96</v>
      </c>
      <c r="I736" t="s">
        <v>97</v>
      </c>
      <c r="J736">
        <v>2</v>
      </c>
      <c r="K736" t="s">
        <v>88</v>
      </c>
      <c r="L736" t="s">
        <v>89</v>
      </c>
      <c r="M736">
        <v>4</v>
      </c>
      <c r="N736" t="s">
        <v>90</v>
      </c>
      <c r="O736">
        <v>21</v>
      </c>
      <c r="P736" t="s">
        <v>89</v>
      </c>
      <c r="Q736" t="s">
        <v>112</v>
      </c>
      <c r="R736">
        <v>1</v>
      </c>
      <c r="S736" t="s">
        <v>101</v>
      </c>
      <c r="T736">
        <v>2</v>
      </c>
      <c r="U736" t="s">
        <v>89</v>
      </c>
      <c r="V736" t="s">
        <v>94</v>
      </c>
      <c r="W736">
        <v>2</v>
      </c>
      <c r="X736">
        <v>1</v>
      </c>
    </row>
    <row r="737" spans="2:24" x14ac:dyDescent="0.3">
      <c r="B737">
        <v>733</v>
      </c>
      <c r="C737" t="s">
        <v>10</v>
      </c>
      <c r="D737">
        <v>8</v>
      </c>
      <c r="E737" t="s">
        <v>95</v>
      </c>
      <c r="F737" t="s">
        <v>85</v>
      </c>
      <c r="G737">
        <v>760</v>
      </c>
      <c r="H737" t="s">
        <v>96</v>
      </c>
      <c r="I737" t="s">
        <v>100</v>
      </c>
      <c r="J737">
        <v>4</v>
      </c>
      <c r="K737" t="s">
        <v>98</v>
      </c>
      <c r="L737" t="s">
        <v>103</v>
      </c>
      <c r="M737">
        <v>2</v>
      </c>
      <c r="N737" t="s">
        <v>90</v>
      </c>
      <c r="O737">
        <v>44</v>
      </c>
      <c r="P737" t="s">
        <v>89</v>
      </c>
      <c r="Q737" t="s">
        <v>91</v>
      </c>
      <c r="R737">
        <v>1</v>
      </c>
      <c r="S737" t="s">
        <v>101</v>
      </c>
      <c r="T737">
        <v>1</v>
      </c>
      <c r="U737" t="s">
        <v>89</v>
      </c>
      <c r="V737" t="s">
        <v>94</v>
      </c>
      <c r="W737">
        <v>1</v>
      </c>
      <c r="X737">
        <v>0</v>
      </c>
    </row>
    <row r="738" spans="2:24" x14ac:dyDescent="0.3">
      <c r="B738">
        <v>734</v>
      </c>
      <c r="C738" t="s">
        <v>12</v>
      </c>
      <c r="D738">
        <v>24</v>
      </c>
      <c r="E738" t="s">
        <v>95</v>
      </c>
      <c r="F738" t="s">
        <v>110</v>
      </c>
      <c r="G738">
        <v>2603</v>
      </c>
      <c r="H738" t="s">
        <v>114</v>
      </c>
      <c r="I738" t="s">
        <v>97</v>
      </c>
      <c r="J738">
        <v>2</v>
      </c>
      <c r="K738" t="s">
        <v>98</v>
      </c>
      <c r="L738" t="s">
        <v>89</v>
      </c>
      <c r="M738">
        <v>4</v>
      </c>
      <c r="N738" t="s">
        <v>111</v>
      </c>
      <c r="O738">
        <v>28</v>
      </c>
      <c r="P738" t="s">
        <v>89</v>
      </c>
      <c r="Q738" t="s">
        <v>112</v>
      </c>
      <c r="R738">
        <v>1</v>
      </c>
      <c r="S738" t="s">
        <v>92</v>
      </c>
      <c r="T738">
        <v>1</v>
      </c>
      <c r="U738" t="s">
        <v>93</v>
      </c>
      <c r="V738" t="s">
        <v>94</v>
      </c>
      <c r="W738">
        <v>1</v>
      </c>
      <c r="X738">
        <v>0</v>
      </c>
    </row>
    <row r="739" spans="2:24" x14ac:dyDescent="0.3">
      <c r="B739">
        <v>735</v>
      </c>
      <c r="C739" t="s">
        <v>12</v>
      </c>
      <c r="D739">
        <v>4</v>
      </c>
      <c r="E739" t="s">
        <v>84</v>
      </c>
      <c r="F739" t="s">
        <v>107</v>
      </c>
      <c r="G739">
        <v>3380</v>
      </c>
      <c r="H739" t="s">
        <v>96</v>
      </c>
      <c r="I739" t="s">
        <v>100</v>
      </c>
      <c r="J739">
        <v>1</v>
      </c>
      <c r="K739" t="s">
        <v>98</v>
      </c>
      <c r="L739" t="s">
        <v>89</v>
      </c>
      <c r="M739">
        <v>1</v>
      </c>
      <c r="N739" t="s">
        <v>90</v>
      </c>
      <c r="O739">
        <v>37</v>
      </c>
      <c r="P739" t="s">
        <v>89</v>
      </c>
      <c r="Q739" t="s">
        <v>91</v>
      </c>
      <c r="R739">
        <v>1</v>
      </c>
      <c r="S739" t="s">
        <v>92</v>
      </c>
      <c r="T739">
        <v>2</v>
      </c>
      <c r="U739" t="s">
        <v>89</v>
      </c>
      <c r="V739" t="s">
        <v>94</v>
      </c>
      <c r="W739">
        <v>1</v>
      </c>
      <c r="X739">
        <v>0</v>
      </c>
    </row>
    <row r="740" spans="2:24" x14ac:dyDescent="0.3">
      <c r="B740">
        <v>736</v>
      </c>
      <c r="C740" t="s">
        <v>10</v>
      </c>
      <c r="D740">
        <v>36</v>
      </c>
      <c r="E740" t="s">
        <v>124</v>
      </c>
      <c r="F740" t="s">
        <v>127</v>
      </c>
      <c r="G740">
        <v>3990</v>
      </c>
      <c r="H740" t="s">
        <v>86</v>
      </c>
      <c r="I740" t="s">
        <v>118</v>
      </c>
      <c r="J740">
        <v>3</v>
      </c>
      <c r="K740" t="s">
        <v>98</v>
      </c>
      <c r="L740" t="s">
        <v>89</v>
      </c>
      <c r="M740">
        <v>2</v>
      </c>
      <c r="N740" t="s">
        <v>108</v>
      </c>
      <c r="O740">
        <v>29</v>
      </c>
      <c r="P740" t="s">
        <v>122</v>
      </c>
      <c r="Q740" t="s">
        <v>91</v>
      </c>
      <c r="R740">
        <v>1</v>
      </c>
      <c r="S740" t="s">
        <v>129</v>
      </c>
      <c r="T740">
        <v>1</v>
      </c>
      <c r="U740" t="s">
        <v>89</v>
      </c>
      <c r="V740" t="s">
        <v>94</v>
      </c>
      <c r="W740">
        <v>1</v>
      </c>
      <c r="X740">
        <v>0</v>
      </c>
    </row>
    <row r="741" spans="2:24" x14ac:dyDescent="0.3">
      <c r="B741">
        <v>737</v>
      </c>
      <c r="C741" t="s">
        <v>10</v>
      </c>
      <c r="D741">
        <v>24</v>
      </c>
      <c r="E741" t="s">
        <v>95</v>
      </c>
      <c r="F741" t="s">
        <v>110</v>
      </c>
      <c r="G741">
        <v>11560</v>
      </c>
      <c r="H741" t="s">
        <v>96</v>
      </c>
      <c r="I741" t="s">
        <v>97</v>
      </c>
      <c r="J741">
        <v>1</v>
      </c>
      <c r="K741" t="s">
        <v>98</v>
      </c>
      <c r="L741" t="s">
        <v>89</v>
      </c>
      <c r="M741">
        <v>4</v>
      </c>
      <c r="N741" t="s">
        <v>111</v>
      </c>
      <c r="O741">
        <v>23</v>
      </c>
      <c r="P741" t="s">
        <v>89</v>
      </c>
      <c r="Q741" t="s">
        <v>112</v>
      </c>
      <c r="R741">
        <v>2</v>
      </c>
      <c r="S741" t="s">
        <v>113</v>
      </c>
      <c r="T741">
        <v>1</v>
      </c>
      <c r="U741" t="s">
        <v>89</v>
      </c>
      <c r="V741" t="s">
        <v>94</v>
      </c>
      <c r="W741">
        <v>2</v>
      </c>
      <c r="X741">
        <v>1</v>
      </c>
    </row>
    <row r="742" spans="2:24" x14ac:dyDescent="0.3">
      <c r="B742">
        <v>738</v>
      </c>
      <c r="C742" t="s">
        <v>8</v>
      </c>
      <c r="D742">
        <v>18</v>
      </c>
      <c r="E742" t="s">
        <v>95</v>
      </c>
      <c r="F742" t="s">
        <v>107</v>
      </c>
      <c r="G742">
        <v>4380</v>
      </c>
      <c r="H742" t="s">
        <v>120</v>
      </c>
      <c r="I742" t="s">
        <v>97</v>
      </c>
      <c r="J742">
        <v>3</v>
      </c>
      <c r="K742" t="s">
        <v>88</v>
      </c>
      <c r="L742" t="s">
        <v>89</v>
      </c>
      <c r="M742">
        <v>4</v>
      </c>
      <c r="N742" t="s">
        <v>111</v>
      </c>
      <c r="O742">
        <v>35</v>
      </c>
      <c r="P742" t="s">
        <v>89</v>
      </c>
      <c r="Q742" t="s">
        <v>91</v>
      </c>
      <c r="R742">
        <v>1</v>
      </c>
      <c r="S742" t="s">
        <v>101</v>
      </c>
      <c r="T742">
        <v>2</v>
      </c>
      <c r="U742" t="s">
        <v>93</v>
      </c>
      <c r="V742" t="s">
        <v>94</v>
      </c>
      <c r="W742">
        <v>1</v>
      </c>
      <c r="X742">
        <v>0</v>
      </c>
    </row>
    <row r="743" spans="2:24" x14ac:dyDescent="0.3">
      <c r="B743">
        <v>739</v>
      </c>
      <c r="C743" t="s">
        <v>12</v>
      </c>
      <c r="D743">
        <v>6</v>
      </c>
      <c r="E743" t="s">
        <v>84</v>
      </c>
      <c r="F743" t="s">
        <v>107</v>
      </c>
      <c r="G743">
        <v>6761</v>
      </c>
      <c r="H743" t="s">
        <v>96</v>
      </c>
      <c r="I743" t="s">
        <v>100</v>
      </c>
      <c r="J743">
        <v>1</v>
      </c>
      <c r="K743" t="s">
        <v>88</v>
      </c>
      <c r="L743" t="s">
        <v>89</v>
      </c>
      <c r="M743">
        <v>3</v>
      </c>
      <c r="N743" t="s">
        <v>108</v>
      </c>
      <c r="O743">
        <v>45</v>
      </c>
      <c r="P743" t="s">
        <v>89</v>
      </c>
      <c r="Q743" t="s">
        <v>91</v>
      </c>
      <c r="R743">
        <v>2</v>
      </c>
      <c r="S743" t="s">
        <v>113</v>
      </c>
      <c r="T743">
        <v>2</v>
      </c>
      <c r="U743" t="s">
        <v>93</v>
      </c>
      <c r="V743" t="s">
        <v>94</v>
      </c>
      <c r="W743">
        <v>1</v>
      </c>
      <c r="X743">
        <v>0</v>
      </c>
    </row>
    <row r="744" spans="2:24" x14ac:dyDescent="0.3">
      <c r="B744">
        <v>740</v>
      </c>
      <c r="C744" t="s">
        <v>10</v>
      </c>
      <c r="D744">
        <v>30</v>
      </c>
      <c r="E744" t="s">
        <v>121</v>
      </c>
      <c r="F744" t="s">
        <v>119</v>
      </c>
      <c r="G744">
        <v>4280</v>
      </c>
      <c r="H744" t="s">
        <v>120</v>
      </c>
      <c r="I744" t="s">
        <v>97</v>
      </c>
      <c r="J744">
        <v>4</v>
      </c>
      <c r="K744" t="s">
        <v>98</v>
      </c>
      <c r="L744" t="s">
        <v>89</v>
      </c>
      <c r="M744">
        <v>4</v>
      </c>
      <c r="N744" t="s">
        <v>111</v>
      </c>
      <c r="O744">
        <v>26</v>
      </c>
      <c r="P744" t="s">
        <v>89</v>
      </c>
      <c r="Q744" t="s">
        <v>112</v>
      </c>
      <c r="R744">
        <v>2</v>
      </c>
      <c r="S744" t="s">
        <v>101</v>
      </c>
      <c r="T744">
        <v>1</v>
      </c>
      <c r="U744" t="s">
        <v>89</v>
      </c>
      <c r="V744" t="s">
        <v>94</v>
      </c>
      <c r="W744">
        <v>2</v>
      </c>
      <c r="X744">
        <v>1</v>
      </c>
    </row>
    <row r="745" spans="2:24" x14ac:dyDescent="0.3">
      <c r="B745">
        <v>741</v>
      </c>
      <c r="C745" t="s">
        <v>8</v>
      </c>
      <c r="D745">
        <v>24</v>
      </c>
      <c r="E745" t="s">
        <v>124</v>
      </c>
      <c r="F745" t="s">
        <v>107</v>
      </c>
      <c r="G745">
        <v>2325</v>
      </c>
      <c r="H745" t="s">
        <v>120</v>
      </c>
      <c r="I745" t="s">
        <v>100</v>
      </c>
      <c r="J745">
        <v>2</v>
      </c>
      <c r="K745" t="s">
        <v>88</v>
      </c>
      <c r="L745" t="s">
        <v>89</v>
      </c>
      <c r="M745">
        <v>3</v>
      </c>
      <c r="N745" t="s">
        <v>111</v>
      </c>
      <c r="O745">
        <v>32</v>
      </c>
      <c r="P745" t="s">
        <v>122</v>
      </c>
      <c r="Q745" t="s">
        <v>91</v>
      </c>
      <c r="R745">
        <v>1</v>
      </c>
      <c r="S745" t="s">
        <v>92</v>
      </c>
      <c r="T745">
        <v>1</v>
      </c>
      <c r="U745" t="s">
        <v>89</v>
      </c>
      <c r="V745" t="s">
        <v>94</v>
      </c>
      <c r="W745">
        <v>1</v>
      </c>
      <c r="X745">
        <v>0</v>
      </c>
    </row>
    <row r="746" spans="2:24" x14ac:dyDescent="0.3">
      <c r="B746">
        <v>742</v>
      </c>
      <c r="C746" t="s">
        <v>10</v>
      </c>
      <c r="D746">
        <v>10</v>
      </c>
      <c r="E746" t="s">
        <v>124</v>
      </c>
      <c r="F746" t="s">
        <v>85</v>
      </c>
      <c r="G746">
        <v>1048</v>
      </c>
      <c r="H746" t="s">
        <v>96</v>
      </c>
      <c r="I746" t="s">
        <v>97</v>
      </c>
      <c r="J746">
        <v>4</v>
      </c>
      <c r="K746" t="s">
        <v>88</v>
      </c>
      <c r="L746" t="s">
        <v>89</v>
      </c>
      <c r="M746">
        <v>4</v>
      </c>
      <c r="N746" t="s">
        <v>90</v>
      </c>
      <c r="O746">
        <v>23</v>
      </c>
      <c r="P746" t="s">
        <v>125</v>
      </c>
      <c r="Q746" t="s">
        <v>91</v>
      </c>
      <c r="R746">
        <v>1</v>
      </c>
      <c r="S746" t="s">
        <v>101</v>
      </c>
      <c r="T746">
        <v>1</v>
      </c>
      <c r="U746" t="s">
        <v>89</v>
      </c>
      <c r="V746" t="s">
        <v>94</v>
      </c>
      <c r="W746">
        <v>1</v>
      </c>
      <c r="X746">
        <v>0</v>
      </c>
    </row>
    <row r="747" spans="2:24" x14ac:dyDescent="0.3">
      <c r="B747">
        <v>743</v>
      </c>
      <c r="C747" t="s">
        <v>12</v>
      </c>
      <c r="D747">
        <v>21</v>
      </c>
      <c r="E747" t="s">
        <v>95</v>
      </c>
      <c r="F747" t="s">
        <v>85</v>
      </c>
      <c r="G747">
        <v>3160</v>
      </c>
      <c r="H747" t="s">
        <v>86</v>
      </c>
      <c r="I747" t="s">
        <v>87</v>
      </c>
      <c r="J747">
        <v>4</v>
      </c>
      <c r="K747" t="s">
        <v>88</v>
      </c>
      <c r="L747" t="s">
        <v>89</v>
      </c>
      <c r="M747">
        <v>3</v>
      </c>
      <c r="N747" t="s">
        <v>104</v>
      </c>
      <c r="O747">
        <v>41</v>
      </c>
      <c r="P747" t="s">
        <v>89</v>
      </c>
      <c r="Q747" t="s">
        <v>91</v>
      </c>
      <c r="R747">
        <v>1</v>
      </c>
      <c r="S747" t="s">
        <v>92</v>
      </c>
      <c r="T747">
        <v>1</v>
      </c>
      <c r="U747" t="s">
        <v>93</v>
      </c>
      <c r="V747" t="s">
        <v>94</v>
      </c>
      <c r="W747">
        <v>1</v>
      </c>
      <c r="X747">
        <v>0</v>
      </c>
    </row>
    <row r="748" spans="2:24" x14ac:dyDescent="0.3">
      <c r="B748">
        <v>744</v>
      </c>
      <c r="C748" t="s">
        <v>8</v>
      </c>
      <c r="D748">
        <v>24</v>
      </c>
      <c r="E748" t="s">
        <v>124</v>
      </c>
      <c r="F748" t="s">
        <v>102</v>
      </c>
      <c r="G748">
        <v>2483</v>
      </c>
      <c r="H748" t="s">
        <v>109</v>
      </c>
      <c r="I748" t="s">
        <v>97</v>
      </c>
      <c r="J748">
        <v>4</v>
      </c>
      <c r="K748" t="s">
        <v>88</v>
      </c>
      <c r="L748" t="s">
        <v>89</v>
      </c>
      <c r="M748">
        <v>4</v>
      </c>
      <c r="N748" t="s">
        <v>90</v>
      </c>
      <c r="O748">
        <v>22</v>
      </c>
      <c r="P748" t="s">
        <v>125</v>
      </c>
      <c r="Q748" t="s">
        <v>91</v>
      </c>
      <c r="R748">
        <v>1</v>
      </c>
      <c r="S748" t="s">
        <v>92</v>
      </c>
      <c r="T748">
        <v>1</v>
      </c>
      <c r="U748" t="s">
        <v>93</v>
      </c>
      <c r="V748" t="s">
        <v>94</v>
      </c>
      <c r="W748">
        <v>1</v>
      </c>
      <c r="X748">
        <v>0</v>
      </c>
    </row>
    <row r="749" spans="2:24" x14ac:dyDescent="0.3">
      <c r="B749">
        <v>745</v>
      </c>
      <c r="C749" t="s">
        <v>8</v>
      </c>
      <c r="D749">
        <v>39</v>
      </c>
      <c r="E749" t="s">
        <v>84</v>
      </c>
      <c r="F749" t="s">
        <v>102</v>
      </c>
      <c r="G749">
        <v>14179</v>
      </c>
      <c r="H749" t="s">
        <v>86</v>
      </c>
      <c r="I749" t="s">
        <v>100</v>
      </c>
      <c r="J749">
        <v>4</v>
      </c>
      <c r="K749" t="s">
        <v>88</v>
      </c>
      <c r="L749" t="s">
        <v>89</v>
      </c>
      <c r="M749">
        <v>4</v>
      </c>
      <c r="N749" t="s">
        <v>104</v>
      </c>
      <c r="O749">
        <v>30</v>
      </c>
      <c r="P749" t="s">
        <v>89</v>
      </c>
      <c r="Q749" t="s">
        <v>91</v>
      </c>
      <c r="R749">
        <v>2</v>
      </c>
      <c r="S749" t="s">
        <v>113</v>
      </c>
      <c r="T749">
        <v>1</v>
      </c>
      <c r="U749" t="s">
        <v>93</v>
      </c>
      <c r="V749" t="s">
        <v>94</v>
      </c>
      <c r="W749">
        <v>1</v>
      </c>
      <c r="X749">
        <v>0</v>
      </c>
    </row>
    <row r="750" spans="2:24" x14ac:dyDescent="0.3">
      <c r="B750">
        <v>746</v>
      </c>
      <c r="C750" t="s">
        <v>8</v>
      </c>
      <c r="D750">
        <v>13</v>
      </c>
      <c r="E750" t="s">
        <v>84</v>
      </c>
      <c r="F750" t="s">
        <v>119</v>
      </c>
      <c r="G750">
        <v>1797</v>
      </c>
      <c r="H750" t="s">
        <v>96</v>
      </c>
      <c r="I750" t="s">
        <v>118</v>
      </c>
      <c r="J750">
        <v>3</v>
      </c>
      <c r="K750" t="s">
        <v>88</v>
      </c>
      <c r="L750" t="s">
        <v>89</v>
      </c>
      <c r="M750">
        <v>1</v>
      </c>
      <c r="N750" t="s">
        <v>104</v>
      </c>
      <c r="O750">
        <v>28</v>
      </c>
      <c r="P750" t="s">
        <v>122</v>
      </c>
      <c r="Q750" t="s">
        <v>91</v>
      </c>
      <c r="R750">
        <v>2</v>
      </c>
      <c r="S750" t="s">
        <v>101</v>
      </c>
      <c r="T750">
        <v>1</v>
      </c>
      <c r="U750" t="s">
        <v>89</v>
      </c>
      <c r="V750" t="s">
        <v>94</v>
      </c>
      <c r="W750">
        <v>1</v>
      </c>
      <c r="X750">
        <v>0</v>
      </c>
    </row>
    <row r="751" spans="2:24" x14ac:dyDescent="0.3">
      <c r="B751">
        <v>747</v>
      </c>
      <c r="C751" t="s">
        <v>8</v>
      </c>
      <c r="D751">
        <v>15</v>
      </c>
      <c r="E751" t="s">
        <v>95</v>
      </c>
      <c r="F751" t="s">
        <v>107</v>
      </c>
      <c r="G751">
        <v>2511</v>
      </c>
      <c r="H751" t="s">
        <v>96</v>
      </c>
      <c r="I751" t="s">
        <v>116</v>
      </c>
      <c r="J751">
        <v>1</v>
      </c>
      <c r="K751" t="s">
        <v>98</v>
      </c>
      <c r="L751" t="s">
        <v>89</v>
      </c>
      <c r="M751">
        <v>4</v>
      </c>
      <c r="N751" t="s">
        <v>111</v>
      </c>
      <c r="O751">
        <v>23</v>
      </c>
      <c r="P751" t="s">
        <v>89</v>
      </c>
      <c r="Q751" t="s">
        <v>112</v>
      </c>
      <c r="R751">
        <v>1</v>
      </c>
      <c r="S751" t="s">
        <v>92</v>
      </c>
      <c r="T751">
        <v>1</v>
      </c>
      <c r="U751" t="s">
        <v>89</v>
      </c>
      <c r="V751" t="s">
        <v>94</v>
      </c>
      <c r="W751">
        <v>1</v>
      </c>
      <c r="X751">
        <v>0</v>
      </c>
    </row>
    <row r="752" spans="2:24" x14ac:dyDescent="0.3">
      <c r="B752">
        <v>748</v>
      </c>
      <c r="C752" t="s">
        <v>8</v>
      </c>
      <c r="D752">
        <v>12</v>
      </c>
      <c r="E752" t="s">
        <v>95</v>
      </c>
      <c r="F752" t="s">
        <v>107</v>
      </c>
      <c r="G752">
        <v>1274</v>
      </c>
      <c r="H752" t="s">
        <v>96</v>
      </c>
      <c r="I752" t="s">
        <v>118</v>
      </c>
      <c r="J752">
        <v>3</v>
      </c>
      <c r="K752" t="s">
        <v>98</v>
      </c>
      <c r="L752" t="s">
        <v>89</v>
      </c>
      <c r="M752">
        <v>1</v>
      </c>
      <c r="N752" t="s">
        <v>90</v>
      </c>
      <c r="O752">
        <v>37</v>
      </c>
      <c r="P752" t="s">
        <v>89</v>
      </c>
      <c r="Q752" t="s">
        <v>91</v>
      </c>
      <c r="R752">
        <v>1</v>
      </c>
      <c r="S752" t="s">
        <v>101</v>
      </c>
      <c r="T752">
        <v>1</v>
      </c>
      <c r="U752" t="s">
        <v>89</v>
      </c>
      <c r="V752" t="s">
        <v>94</v>
      </c>
      <c r="W752">
        <v>2</v>
      </c>
      <c r="X752">
        <v>1</v>
      </c>
    </row>
    <row r="753" spans="2:24" x14ac:dyDescent="0.3">
      <c r="B753">
        <v>749</v>
      </c>
      <c r="C753" t="s">
        <v>12</v>
      </c>
      <c r="D753">
        <v>21</v>
      </c>
      <c r="E753" t="s">
        <v>95</v>
      </c>
      <c r="F753" t="s">
        <v>110</v>
      </c>
      <c r="G753">
        <v>5248</v>
      </c>
      <c r="H753" t="s">
        <v>86</v>
      </c>
      <c r="I753" t="s">
        <v>97</v>
      </c>
      <c r="J753">
        <v>1</v>
      </c>
      <c r="K753" t="s">
        <v>88</v>
      </c>
      <c r="L753" t="s">
        <v>89</v>
      </c>
      <c r="M753">
        <v>3</v>
      </c>
      <c r="N753" t="s">
        <v>111</v>
      </c>
      <c r="O753">
        <v>26</v>
      </c>
      <c r="P753" t="s">
        <v>89</v>
      </c>
      <c r="Q753" t="s">
        <v>91</v>
      </c>
      <c r="R753">
        <v>1</v>
      </c>
      <c r="S753" t="s">
        <v>92</v>
      </c>
      <c r="T753">
        <v>1</v>
      </c>
      <c r="U753" t="s">
        <v>89</v>
      </c>
      <c r="V753" t="s">
        <v>94</v>
      </c>
      <c r="W753">
        <v>1</v>
      </c>
      <c r="X753">
        <v>0</v>
      </c>
    </row>
    <row r="754" spans="2:24" x14ac:dyDescent="0.3">
      <c r="B754">
        <v>750</v>
      </c>
      <c r="C754" t="s">
        <v>12</v>
      </c>
      <c r="D754">
        <v>15</v>
      </c>
      <c r="E754" t="s">
        <v>95</v>
      </c>
      <c r="F754" t="s">
        <v>110</v>
      </c>
      <c r="G754">
        <v>3029</v>
      </c>
      <c r="H754" t="s">
        <v>96</v>
      </c>
      <c r="I754" t="s">
        <v>100</v>
      </c>
      <c r="J754">
        <v>2</v>
      </c>
      <c r="K754" t="s">
        <v>88</v>
      </c>
      <c r="L754" t="s">
        <v>89</v>
      </c>
      <c r="M754">
        <v>2</v>
      </c>
      <c r="N754" t="s">
        <v>111</v>
      </c>
      <c r="O754">
        <v>33</v>
      </c>
      <c r="P754" t="s">
        <v>89</v>
      </c>
      <c r="Q754" t="s">
        <v>91</v>
      </c>
      <c r="R754">
        <v>1</v>
      </c>
      <c r="S754" t="s">
        <v>92</v>
      </c>
      <c r="T754">
        <v>1</v>
      </c>
      <c r="U754" t="s">
        <v>89</v>
      </c>
      <c r="V754" t="s">
        <v>94</v>
      </c>
      <c r="W754">
        <v>1</v>
      </c>
      <c r="X754">
        <v>0</v>
      </c>
    </row>
    <row r="755" spans="2:24" x14ac:dyDescent="0.3">
      <c r="B755">
        <v>751</v>
      </c>
      <c r="C755" t="s">
        <v>8</v>
      </c>
      <c r="D755">
        <v>6</v>
      </c>
      <c r="E755" t="s">
        <v>95</v>
      </c>
      <c r="F755" t="s">
        <v>102</v>
      </c>
      <c r="G755">
        <v>428</v>
      </c>
      <c r="H755" t="s">
        <v>96</v>
      </c>
      <c r="I755" t="s">
        <v>87</v>
      </c>
      <c r="J755">
        <v>2</v>
      </c>
      <c r="K755" t="s">
        <v>98</v>
      </c>
      <c r="L755" t="s">
        <v>89</v>
      </c>
      <c r="M755">
        <v>1</v>
      </c>
      <c r="N755" t="s">
        <v>104</v>
      </c>
      <c r="O755">
        <v>49</v>
      </c>
      <c r="P755" t="s">
        <v>122</v>
      </c>
      <c r="Q755" t="s">
        <v>91</v>
      </c>
      <c r="R755">
        <v>1</v>
      </c>
      <c r="S755" t="s">
        <v>92</v>
      </c>
      <c r="T755">
        <v>1</v>
      </c>
      <c r="U755" t="s">
        <v>93</v>
      </c>
      <c r="V755" t="s">
        <v>94</v>
      </c>
      <c r="W755">
        <v>1</v>
      </c>
      <c r="X755">
        <v>0</v>
      </c>
    </row>
    <row r="756" spans="2:24" x14ac:dyDescent="0.3">
      <c r="B756">
        <v>752</v>
      </c>
      <c r="C756" t="s">
        <v>8</v>
      </c>
      <c r="D756">
        <v>18</v>
      </c>
      <c r="E756" t="s">
        <v>95</v>
      </c>
      <c r="F756" t="s">
        <v>107</v>
      </c>
      <c r="G756">
        <v>976</v>
      </c>
      <c r="H756" t="s">
        <v>96</v>
      </c>
      <c r="I756" t="s">
        <v>118</v>
      </c>
      <c r="J756">
        <v>1</v>
      </c>
      <c r="K756" t="s">
        <v>98</v>
      </c>
      <c r="L756" t="s">
        <v>89</v>
      </c>
      <c r="M756">
        <v>2</v>
      </c>
      <c r="N756" t="s">
        <v>111</v>
      </c>
      <c r="O756">
        <v>23</v>
      </c>
      <c r="P756" t="s">
        <v>89</v>
      </c>
      <c r="Q756" t="s">
        <v>91</v>
      </c>
      <c r="R756">
        <v>1</v>
      </c>
      <c r="S756" t="s">
        <v>101</v>
      </c>
      <c r="T756">
        <v>1</v>
      </c>
      <c r="U756" t="s">
        <v>89</v>
      </c>
      <c r="V756" t="s">
        <v>94</v>
      </c>
      <c r="W756">
        <v>2</v>
      </c>
      <c r="X756">
        <v>1</v>
      </c>
    </row>
    <row r="757" spans="2:24" x14ac:dyDescent="0.3">
      <c r="B757">
        <v>753</v>
      </c>
      <c r="C757" t="s">
        <v>10</v>
      </c>
      <c r="D757">
        <v>12</v>
      </c>
      <c r="E757" t="s">
        <v>95</v>
      </c>
      <c r="F757" t="s">
        <v>119</v>
      </c>
      <c r="G757">
        <v>841</v>
      </c>
      <c r="H757" t="s">
        <v>120</v>
      </c>
      <c r="I757" t="s">
        <v>100</v>
      </c>
      <c r="J757">
        <v>2</v>
      </c>
      <c r="K757" t="s">
        <v>98</v>
      </c>
      <c r="L757" t="s">
        <v>89</v>
      </c>
      <c r="M757">
        <v>4</v>
      </c>
      <c r="N757" t="s">
        <v>90</v>
      </c>
      <c r="O757">
        <v>23</v>
      </c>
      <c r="P757" t="s">
        <v>89</v>
      </c>
      <c r="Q757" t="s">
        <v>112</v>
      </c>
      <c r="R757">
        <v>1</v>
      </c>
      <c r="S757" t="s">
        <v>101</v>
      </c>
      <c r="T757">
        <v>1</v>
      </c>
      <c r="U757" t="s">
        <v>89</v>
      </c>
      <c r="V757" t="s">
        <v>94</v>
      </c>
      <c r="W757">
        <v>1</v>
      </c>
      <c r="X757">
        <v>0</v>
      </c>
    </row>
    <row r="758" spans="2:24" x14ac:dyDescent="0.3">
      <c r="B758">
        <v>754</v>
      </c>
      <c r="C758" t="s">
        <v>12</v>
      </c>
      <c r="D758">
        <v>30</v>
      </c>
      <c r="E758" t="s">
        <v>84</v>
      </c>
      <c r="F758" t="s">
        <v>85</v>
      </c>
      <c r="G758">
        <v>5771</v>
      </c>
      <c r="H758" t="s">
        <v>96</v>
      </c>
      <c r="I758" t="s">
        <v>100</v>
      </c>
      <c r="J758">
        <v>4</v>
      </c>
      <c r="K758" t="s">
        <v>98</v>
      </c>
      <c r="L758" t="s">
        <v>89</v>
      </c>
      <c r="M758">
        <v>2</v>
      </c>
      <c r="N758" t="s">
        <v>111</v>
      </c>
      <c r="O758">
        <v>25</v>
      </c>
      <c r="P758" t="s">
        <v>89</v>
      </c>
      <c r="Q758" t="s">
        <v>91</v>
      </c>
      <c r="R758">
        <v>2</v>
      </c>
      <c r="S758" t="s">
        <v>92</v>
      </c>
      <c r="T758">
        <v>1</v>
      </c>
      <c r="U758" t="s">
        <v>89</v>
      </c>
      <c r="V758" t="s">
        <v>94</v>
      </c>
      <c r="W758">
        <v>1</v>
      </c>
      <c r="X758">
        <v>0</v>
      </c>
    </row>
    <row r="759" spans="2:24" x14ac:dyDescent="0.3">
      <c r="B759">
        <v>755</v>
      </c>
      <c r="C759" t="s">
        <v>12</v>
      </c>
      <c r="D759">
        <v>12</v>
      </c>
      <c r="E759" t="s">
        <v>106</v>
      </c>
      <c r="F759" t="s">
        <v>128</v>
      </c>
      <c r="G759">
        <v>1555</v>
      </c>
      <c r="H759" t="s">
        <v>114</v>
      </c>
      <c r="I759" t="s">
        <v>87</v>
      </c>
      <c r="J759">
        <v>4</v>
      </c>
      <c r="K759" t="s">
        <v>88</v>
      </c>
      <c r="L759" t="s">
        <v>89</v>
      </c>
      <c r="M759">
        <v>4</v>
      </c>
      <c r="N759" t="s">
        <v>108</v>
      </c>
      <c r="O759">
        <v>55</v>
      </c>
      <c r="P759" t="s">
        <v>89</v>
      </c>
      <c r="Q759" t="s">
        <v>105</v>
      </c>
      <c r="R759">
        <v>2</v>
      </c>
      <c r="S759" t="s">
        <v>92</v>
      </c>
      <c r="T759">
        <v>2</v>
      </c>
      <c r="U759" t="s">
        <v>89</v>
      </c>
      <c r="V759" t="s">
        <v>94</v>
      </c>
      <c r="W759">
        <v>2</v>
      </c>
      <c r="X759">
        <v>1</v>
      </c>
    </row>
    <row r="760" spans="2:24" x14ac:dyDescent="0.3">
      <c r="B760">
        <v>756</v>
      </c>
      <c r="C760" t="s">
        <v>8</v>
      </c>
      <c r="D760">
        <v>24</v>
      </c>
      <c r="E760" t="s">
        <v>95</v>
      </c>
      <c r="F760" t="s">
        <v>107</v>
      </c>
      <c r="G760">
        <v>1285</v>
      </c>
      <c r="H760" t="s">
        <v>86</v>
      </c>
      <c r="I760" t="s">
        <v>100</v>
      </c>
      <c r="J760">
        <v>4</v>
      </c>
      <c r="K760" t="s">
        <v>98</v>
      </c>
      <c r="L760" t="s">
        <v>89</v>
      </c>
      <c r="M760">
        <v>4</v>
      </c>
      <c r="N760" t="s">
        <v>108</v>
      </c>
      <c r="O760">
        <v>32</v>
      </c>
      <c r="P760" t="s">
        <v>89</v>
      </c>
      <c r="Q760" t="s">
        <v>112</v>
      </c>
      <c r="R760">
        <v>1</v>
      </c>
      <c r="S760" t="s">
        <v>92</v>
      </c>
      <c r="T760">
        <v>1</v>
      </c>
      <c r="U760" t="s">
        <v>89</v>
      </c>
      <c r="V760" t="s">
        <v>94</v>
      </c>
      <c r="W760">
        <v>2</v>
      </c>
      <c r="X760">
        <v>1</v>
      </c>
    </row>
    <row r="761" spans="2:24" x14ac:dyDescent="0.3">
      <c r="B761">
        <v>757</v>
      </c>
      <c r="C761" t="s">
        <v>11</v>
      </c>
      <c r="D761">
        <v>6</v>
      </c>
      <c r="E761" t="s">
        <v>84</v>
      </c>
      <c r="F761" t="s">
        <v>107</v>
      </c>
      <c r="G761">
        <v>1299</v>
      </c>
      <c r="H761" t="s">
        <v>96</v>
      </c>
      <c r="I761" t="s">
        <v>97</v>
      </c>
      <c r="J761">
        <v>1</v>
      </c>
      <c r="K761" t="s">
        <v>88</v>
      </c>
      <c r="L761" t="s">
        <v>89</v>
      </c>
      <c r="M761">
        <v>1</v>
      </c>
      <c r="N761" t="s">
        <v>90</v>
      </c>
      <c r="O761">
        <v>74</v>
      </c>
      <c r="P761" t="s">
        <v>89</v>
      </c>
      <c r="Q761" t="s">
        <v>91</v>
      </c>
      <c r="R761">
        <v>3</v>
      </c>
      <c r="S761" t="s">
        <v>129</v>
      </c>
      <c r="T761">
        <v>2</v>
      </c>
      <c r="U761" t="s">
        <v>89</v>
      </c>
      <c r="V761" t="s">
        <v>123</v>
      </c>
      <c r="W761">
        <v>1</v>
      </c>
      <c r="X761">
        <v>0</v>
      </c>
    </row>
    <row r="762" spans="2:24" x14ac:dyDescent="0.3">
      <c r="B762">
        <v>758</v>
      </c>
      <c r="C762" t="s">
        <v>11</v>
      </c>
      <c r="D762">
        <v>15</v>
      </c>
      <c r="E762" t="s">
        <v>84</v>
      </c>
      <c r="F762" t="s">
        <v>85</v>
      </c>
      <c r="G762">
        <v>1271</v>
      </c>
      <c r="H762" t="s">
        <v>86</v>
      </c>
      <c r="I762" t="s">
        <v>97</v>
      </c>
      <c r="J762">
        <v>3</v>
      </c>
      <c r="K762" t="s">
        <v>88</v>
      </c>
      <c r="L762" t="s">
        <v>89</v>
      </c>
      <c r="M762">
        <v>4</v>
      </c>
      <c r="N762" t="s">
        <v>108</v>
      </c>
      <c r="O762">
        <v>39</v>
      </c>
      <c r="P762" t="s">
        <v>89</v>
      </c>
      <c r="Q762" t="s">
        <v>105</v>
      </c>
      <c r="R762">
        <v>2</v>
      </c>
      <c r="S762" t="s">
        <v>92</v>
      </c>
      <c r="T762">
        <v>1</v>
      </c>
      <c r="U762" t="s">
        <v>93</v>
      </c>
      <c r="V762" t="s">
        <v>94</v>
      </c>
      <c r="W762">
        <v>2</v>
      </c>
      <c r="X762">
        <v>1</v>
      </c>
    </row>
    <row r="763" spans="2:24" x14ac:dyDescent="0.3">
      <c r="B763">
        <v>759</v>
      </c>
      <c r="C763" t="s">
        <v>12</v>
      </c>
      <c r="D763">
        <v>24</v>
      </c>
      <c r="E763" t="s">
        <v>95</v>
      </c>
      <c r="F763" t="s">
        <v>107</v>
      </c>
      <c r="G763">
        <v>1393</v>
      </c>
      <c r="H763" t="s">
        <v>96</v>
      </c>
      <c r="I763" t="s">
        <v>97</v>
      </c>
      <c r="J763">
        <v>2</v>
      </c>
      <c r="K763" t="s">
        <v>88</v>
      </c>
      <c r="L763" t="s">
        <v>103</v>
      </c>
      <c r="M763">
        <v>2</v>
      </c>
      <c r="N763" t="s">
        <v>90</v>
      </c>
      <c r="O763">
        <v>31</v>
      </c>
      <c r="P763" t="s">
        <v>89</v>
      </c>
      <c r="Q763" t="s">
        <v>91</v>
      </c>
      <c r="R763">
        <v>1</v>
      </c>
      <c r="S763" t="s">
        <v>92</v>
      </c>
      <c r="T763">
        <v>1</v>
      </c>
      <c r="U763" t="s">
        <v>93</v>
      </c>
      <c r="V763" t="s">
        <v>94</v>
      </c>
      <c r="W763">
        <v>1</v>
      </c>
      <c r="X763">
        <v>0</v>
      </c>
    </row>
    <row r="764" spans="2:24" x14ac:dyDescent="0.3">
      <c r="B764">
        <v>760</v>
      </c>
      <c r="C764" t="s">
        <v>8</v>
      </c>
      <c r="D764">
        <v>12</v>
      </c>
      <c r="E764" t="s">
        <v>84</v>
      </c>
      <c r="F764" t="s">
        <v>107</v>
      </c>
      <c r="G764">
        <v>691</v>
      </c>
      <c r="H764" t="s">
        <v>96</v>
      </c>
      <c r="I764" t="s">
        <v>87</v>
      </c>
      <c r="J764">
        <v>4</v>
      </c>
      <c r="K764" t="s">
        <v>88</v>
      </c>
      <c r="L764" t="s">
        <v>89</v>
      </c>
      <c r="M764">
        <v>3</v>
      </c>
      <c r="N764" t="s">
        <v>104</v>
      </c>
      <c r="O764">
        <v>35</v>
      </c>
      <c r="P764" t="s">
        <v>89</v>
      </c>
      <c r="Q764" t="s">
        <v>91</v>
      </c>
      <c r="R764">
        <v>2</v>
      </c>
      <c r="S764" t="s">
        <v>92</v>
      </c>
      <c r="T764">
        <v>1</v>
      </c>
      <c r="U764" t="s">
        <v>89</v>
      </c>
      <c r="V764" t="s">
        <v>94</v>
      </c>
      <c r="W764">
        <v>2</v>
      </c>
      <c r="X764">
        <v>1</v>
      </c>
    </row>
    <row r="765" spans="2:24" x14ac:dyDescent="0.3">
      <c r="B765">
        <v>761</v>
      </c>
      <c r="C765" t="s">
        <v>12</v>
      </c>
      <c r="D765">
        <v>15</v>
      </c>
      <c r="E765" t="s">
        <v>84</v>
      </c>
      <c r="F765" t="s">
        <v>107</v>
      </c>
      <c r="G765">
        <v>5045</v>
      </c>
      <c r="H765" t="s">
        <v>86</v>
      </c>
      <c r="I765" t="s">
        <v>87</v>
      </c>
      <c r="J765">
        <v>1</v>
      </c>
      <c r="K765" t="s">
        <v>98</v>
      </c>
      <c r="L765" t="s">
        <v>89</v>
      </c>
      <c r="M765">
        <v>4</v>
      </c>
      <c r="N765" t="s">
        <v>111</v>
      </c>
      <c r="O765">
        <v>59</v>
      </c>
      <c r="P765" t="s">
        <v>89</v>
      </c>
      <c r="Q765" t="s">
        <v>91</v>
      </c>
      <c r="R765">
        <v>1</v>
      </c>
      <c r="S765" t="s">
        <v>92</v>
      </c>
      <c r="T765">
        <v>1</v>
      </c>
      <c r="U765" t="s">
        <v>93</v>
      </c>
      <c r="V765" t="s">
        <v>94</v>
      </c>
      <c r="W765">
        <v>1</v>
      </c>
      <c r="X765">
        <v>0</v>
      </c>
    </row>
    <row r="766" spans="2:24" x14ac:dyDescent="0.3">
      <c r="B766">
        <v>762</v>
      </c>
      <c r="C766" t="s">
        <v>8</v>
      </c>
      <c r="D766">
        <v>18</v>
      </c>
      <c r="E766" t="s">
        <v>84</v>
      </c>
      <c r="F766" t="s">
        <v>102</v>
      </c>
      <c r="G766">
        <v>2124</v>
      </c>
      <c r="H766" t="s">
        <v>96</v>
      </c>
      <c r="I766" t="s">
        <v>97</v>
      </c>
      <c r="J766">
        <v>4</v>
      </c>
      <c r="K766" t="s">
        <v>98</v>
      </c>
      <c r="L766" t="s">
        <v>89</v>
      </c>
      <c r="M766">
        <v>4</v>
      </c>
      <c r="N766" t="s">
        <v>90</v>
      </c>
      <c r="O766">
        <v>24</v>
      </c>
      <c r="P766" t="s">
        <v>89</v>
      </c>
      <c r="Q766" t="s">
        <v>112</v>
      </c>
      <c r="R766">
        <v>2</v>
      </c>
      <c r="S766" t="s">
        <v>92</v>
      </c>
      <c r="T766">
        <v>1</v>
      </c>
      <c r="U766" t="s">
        <v>89</v>
      </c>
      <c r="V766" t="s">
        <v>94</v>
      </c>
      <c r="W766">
        <v>2</v>
      </c>
      <c r="X766">
        <v>1</v>
      </c>
    </row>
    <row r="767" spans="2:24" x14ac:dyDescent="0.3">
      <c r="B767">
        <v>763</v>
      </c>
      <c r="C767" t="s">
        <v>8</v>
      </c>
      <c r="D767">
        <v>12</v>
      </c>
      <c r="E767" t="s">
        <v>95</v>
      </c>
      <c r="F767" t="s">
        <v>85</v>
      </c>
      <c r="G767">
        <v>2214</v>
      </c>
      <c r="H767" t="s">
        <v>96</v>
      </c>
      <c r="I767" t="s">
        <v>97</v>
      </c>
      <c r="J767">
        <v>4</v>
      </c>
      <c r="K767" t="s">
        <v>88</v>
      </c>
      <c r="L767" t="s">
        <v>89</v>
      </c>
      <c r="M767">
        <v>3</v>
      </c>
      <c r="N767" t="s">
        <v>104</v>
      </c>
      <c r="O767">
        <v>24</v>
      </c>
      <c r="P767" t="s">
        <v>89</v>
      </c>
      <c r="Q767" t="s">
        <v>91</v>
      </c>
      <c r="R767">
        <v>1</v>
      </c>
      <c r="S767" t="s">
        <v>101</v>
      </c>
      <c r="T767">
        <v>1</v>
      </c>
      <c r="U767" t="s">
        <v>89</v>
      </c>
      <c r="V767" t="s">
        <v>94</v>
      </c>
      <c r="W767">
        <v>1</v>
      </c>
      <c r="X767">
        <v>0</v>
      </c>
    </row>
    <row r="768" spans="2:24" x14ac:dyDescent="0.3">
      <c r="B768">
        <v>764</v>
      </c>
      <c r="C768" t="s">
        <v>12</v>
      </c>
      <c r="D768">
        <v>21</v>
      </c>
      <c r="E768" t="s">
        <v>84</v>
      </c>
      <c r="F768" t="s">
        <v>107</v>
      </c>
      <c r="G768">
        <v>12680</v>
      </c>
      <c r="H768" t="s">
        <v>86</v>
      </c>
      <c r="I768" t="s">
        <v>87</v>
      </c>
      <c r="J768">
        <v>4</v>
      </c>
      <c r="K768" t="s">
        <v>88</v>
      </c>
      <c r="L768" t="s">
        <v>89</v>
      </c>
      <c r="M768">
        <v>4</v>
      </c>
      <c r="N768" t="s">
        <v>108</v>
      </c>
      <c r="O768">
        <v>30</v>
      </c>
      <c r="P768" t="s">
        <v>89</v>
      </c>
      <c r="Q768" t="s">
        <v>105</v>
      </c>
      <c r="R768">
        <v>1</v>
      </c>
      <c r="S768" t="s">
        <v>113</v>
      </c>
      <c r="T768">
        <v>1</v>
      </c>
      <c r="U768" t="s">
        <v>93</v>
      </c>
      <c r="V768" t="s">
        <v>94</v>
      </c>
      <c r="W768">
        <v>2</v>
      </c>
      <c r="X768">
        <v>1</v>
      </c>
    </row>
    <row r="769" spans="2:24" x14ac:dyDescent="0.3">
      <c r="B769">
        <v>765</v>
      </c>
      <c r="C769" t="s">
        <v>12</v>
      </c>
      <c r="D769">
        <v>24</v>
      </c>
      <c r="E769" t="s">
        <v>84</v>
      </c>
      <c r="F769" t="s">
        <v>107</v>
      </c>
      <c r="G769">
        <v>2463</v>
      </c>
      <c r="H769" t="s">
        <v>120</v>
      </c>
      <c r="I769" t="s">
        <v>100</v>
      </c>
      <c r="J769">
        <v>4</v>
      </c>
      <c r="K769" t="s">
        <v>117</v>
      </c>
      <c r="L769" t="s">
        <v>89</v>
      </c>
      <c r="M769">
        <v>3</v>
      </c>
      <c r="N769" t="s">
        <v>104</v>
      </c>
      <c r="O769">
        <v>27</v>
      </c>
      <c r="P769" t="s">
        <v>89</v>
      </c>
      <c r="Q769" t="s">
        <v>91</v>
      </c>
      <c r="R769">
        <v>2</v>
      </c>
      <c r="S769" t="s">
        <v>92</v>
      </c>
      <c r="T769">
        <v>1</v>
      </c>
      <c r="U769" t="s">
        <v>93</v>
      </c>
      <c r="V769" t="s">
        <v>94</v>
      </c>
      <c r="W769">
        <v>1</v>
      </c>
      <c r="X769">
        <v>0</v>
      </c>
    </row>
    <row r="770" spans="2:24" x14ac:dyDescent="0.3">
      <c r="B770">
        <v>766</v>
      </c>
      <c r="C770" t="s">
        <v>10</v>
      </c>
      <c r="D770">
        <v>12</v>
      </c>
      <c r="E770" t="s">
        <v>95</v>
      </c>
      <c r="F770" t="s">
        <v>85</v>
      </c>
      <c r="G770">
        <v>1155</v>
      </c>
      <c r="H770" t="s">
        <v>96</v>
      </c>
      <c r="I770" t="s">
        <v>87</v>
      </c>
      <c r="J770">
        <v>3</v>
      </c>
      <c r="K770" t="s">
        <v>117</v>
      </c>
      <c r="L770" t="s">
        <v>103</v>
      </c>
      <c r="M770">
        <v>3</v>
      </c>
      <c r="N770" t="s">
        <v>90</v>
      </c>
      <c r="O770">
        <v>40</v>
      </c>
      <c r="P770" t="s">
        <v>122</v>
      </c>
      <c r="Q770" t="s">
        <v>91</v>
      </c>
      <c r="R770">
        <v>2</v>
      </c>
      <c r="S770" t="s">
        <v>101</v>
      </c>
      <c r="T770">
        <v>1</v>
      </c>
      <c r="U770" t="s">
        <v>89</v>
      </c>
      <c r="V770" t="s">
        <v>94</v>
      </c>
      <c r="W770">
        <v>1</v>
      </c>
      <c r="X770">
        <v>0</v>
      </c>
    </row>
    <row r="771" spans="2:24" x14ac:dyDescent="0.3">
      <c r="B771">
        <v>767</v>
      </c>
      <c r="C771" t="s">
        <v>8</v>
      </c>
      <c r="D771">
        <v>30</v>
      </c>
      <c r="E771" t="s">
        <v>95</v>
      </c>
      <c r="F771" t="s">
        <v>102</v>
      </c>
      <c r="G771">
        <v>3108</v>
      </c>
      <c r="H771" t="s">
        <v>96</v>
      </c>
      <c r="I771" t="s">
        <v>118</v>
      </c>
      <c r="J771">
        <v>2</v>
      </c>
      <c r="K771" t="s">
        <v>115</v>
      </c>
      <c r="L771" t="s">
        <v>89</v>
      </c>
      <c r="M771">
        <v>4</v>
      </c>
      <c r="N771" t="s">
        <v>104</v>
      </c>
      <c r="O771">
        <v>31</v>
      </c>
      <c r="P771" t="s">
        <v>89</v>
      </c>
      <c r="Q771" t="s">
        <v>91</v>
      </c>
      <c r="R771">
        <v>1</v>
      </c>
      <c r="S771" t="s">
        <v>101</v>
      </c>
      <c r="T771">
        <v>1</v>
      </c>
      <c r="U771" t="s">
        <v>89</v>
      </c>
      <c r="V771" t="s">
        <v>94</v>
      </c>
      <c r="W771">
        <v>2</v>
      </c>
      <c r="X771">
        <v>1</v>
      </c>
    </row>
    <row r="772" spans="2:24" x14ac:dyDescent="0.3">
      <c r="B772">
        <v>768</v>
      </c>
      <c r="C772" t="s">
        <v>12</v>
      </c>
      <c r="D772">
        <v>10</v>
      </c>
      <c r="E772" t="s">
        <v>95</v>
      </c>
      <c r="F772" t="s">
        <v>110</v>
      </c>
      <c r="G772">
        <v>2901</v>
      </c>
      <c r="H772" t="s">
        <v>86</v>
      </c>
      <c r="I772" t="s">
        <v>118</v>
      </c>
      <c r="J772">
        <v>1</v>
      </c>
      <c r="K772" t="s">
        <v>98</v>
      </c>
      <c r="L772" t="s">
        <v>89</v>
      </c>
      <c r="M772">
        <v>4</v>
      </c>
      <c r="N772" t="s">
        <v>90</v>
      </c>
      <c r="O772">
        <v>31</v>
      </c>
      <c r="P772" t="s">
        <v>89</v>
      </c>
      <c r="Q772" t="s">
        <v>112</v>
      </c>
      <c r="R772">
        <v>1</v>
      </c>
      <c r="S772" t="s">
        <v>92</v>
      </c>
      <c r="T772">
        <v>1</v>
      </c>
      <c r="U772" t="s">
        <v>89</v>
      </c>
      <c r="V772" t="s">
        <v>94</v>
      </c>
      <c r="W772">
        <v>1</v>
      </c>
      <c r="X772">
        <v>0</v>
      </c>
    </row>
    <row r="773" spans="2:24" x14ac:dyDescent="0.3">
      <c r="B773">
        <v>769</v>
      </c>
      <c r="C773" t="s">
        <v>10</v>
      </c>
      <c r="D773">
        <v>12</v>
      </c>
      <c r="E773" t="s">
        <v>84</v>
      </c>
      <c r="F773" t="s">
        <v>102</v>
      </c>
      <c r="G773">
        <v>3617</v>
      </c>
      <c r="H773" t="s">
        <v>96</v>
      </c>
      <c r="I773" t="s">
        <v>87</v>
      </c>
      <c r="J773">
        <v>1</v>
      </c>
      <c r="K773" t="s">
        <v>88</v>
      </c>
      <c r="L773" t="s">
        <v>89</v>
      </c>
      <c r="M773">
        <v>4</v>
      </c>
      <c r="N773" t="s">
        <v>111</v>
      </c>
      <c r="O773">
        <v>28</v>
      </c>
      <c r="P773" t="s">
        <v>89</v>
      </c>
      <c r="Q773" t="s">
        <v>112</v>
      </c>
      <c r="R773">
        <v>3</v>
      </c>
      <c r="S773" t="s">
        <v>92</v>
      </c>
      <c r="T773">
        <v>1</v>
      </c>
      <c r="U773" t="s">
        <v>93</v>
      </c>
      <c r="V773" t="s">
        <v>94</v>
      </c>
      <c r="W773">
        <v>1</v>
      </c>
      <c r="X773">
        <v>0</v>
      </c>
    </row>
    <row r="774" spans="2:24" x14ac:dyDescent="0.3">
      <c r="B774">
        <v>770</v>
      </c>
      <c r="C774" t="s">
        <v>12</v>
      </c>
      <c r="D774">
        <v>12</v>
      </c>
      <c r="E774" t="s">
        <v>84</v>
      </c>
      <c r="F774" t="s">
        <v>85</v>
      </c>
      <c r="G774">
        <v>1655</v>
      </c>
      <c r="H774" t="s">
        <v>96</v>
      </c>
      <c r="I774" t="s">
        <v>87</v>
      </c>
      <c r="J774">
        <v>2</v>
      </c>
      <c r="K774" t="s">
        <v>88</v>
      </c>
      <c r="L774" t="s">
        <v>89</v>
      </c>
      <c r="M774">
        <v>4</v>
      </c>
      <c r="N774" t="s">
        <v>90</v>
      </c>
      <c r="O774">
        <v>63</v>
      </c>
      <c r="P774" t="s">
        <v>89</v>
      </c>
      <c r="Q774" t="s">
        <v>91</v>
      </c>
      <c r="R774">
        <v>2</v>
      </c>
      <c r="S774" t="s">
        <v>101</v>
      </c>
      <c r="T774">
        <v>1</v>
      </c>
      <c r="U774" t="s">
        <v>93</v>
      </c>
      <c r="V774" t="s">
        <v>94</v>
      </c>
      <c r="W774">
        <v>1</v>
      </c>
      <c r="X774">
        <v>0</v>
      </c>
    </row>
    <row r="775" spans="2:24" x14ac:dyDescent="0.3">
      <c r="B775">
        <v>771</v>
      </c>
      <c r="C775" t="s">
        <v>8</v>
      </c>
      <c r="D775">
        <v>24</v>
      </c>
      <c r="E775" t="s">
        <v>95</v>
      </c>
      <c r="F775" t="s">
        <v>110</v>
      </c>
      <c r="G775">
        <v>2812</v>
      </c>
      <c r="H775" t="s">
        <v>86</v>
      </c>
      <c r="I775" t="s">
        <v>87</v>
      </c>
      <c r="J775">
        <v>2</v>
      </c>
      <c r="K775" t="s">
        <v>98</v>
      </c>
      <c r="L775" t="s">
        <v>89</v>
      </c>
      <c r="M775">
        <v>4</v>
      </c>
      <c r="N775" t="s">
        <v>90</v>
      </c>
      <c r="O775">
        <v>26</v>
      </c>
      <c r="P775" t="s">
        <v>89</v>
      </c>
      <c r="Q775" t="s">
        <v>112</v>
      </c>
      <c r="R775">
        <v>1</v>
      </c>
      <c r="S775" t="s">
        <v>92</v>
      </c>
      <c r="T775">
        <v>1</v>
      </c>
      <c r="U775" t="s">
        <v>89</v>
      </c>
      <c r="V775" t="s">
        <v>94</v>
      </c>
      <c r="W775">
        <v>1</v>
      </c>
      <c r="X775">
        <v>0</v>
      </c>
    </row>
    <row r="776" spans="2:24" x14ac:dyDescent="0.3">
      <c r="B776">
        <v>772</v>
      </c>
      <c r="C776" t="s">
        <v>8</v>
      </c>
      <c r="D776">
        <v>36</v>
      </c>
      <c r="E776" t="s">
        <v>84</v>
      </c>
      <c r="F776" t="s">
        <v>99</v>
      </c>
      <c r="G776">
        <v>8065</v>
      </c>
      <c r="H776" t="s">
        <v>96</v>
      </c>
      <c r="I776" t="s">
        <v>97</v>
      </c>
      <c r="J776">
        <v>3</v>
      </c>
      <c r="K776" t="s">
        <v>98</v>
      </c>
      <c r="L776" t="s">
        <v>89</v>
      </c>
      <c r="M776">
        <v>2</v>
      </c>
      <c r="N776" t="s">
        <v>108</v>
      </c>
      <c r="O776">
        <v>25</v>
      </c>
      <c r="P776" t="s">
        <v>89</v>
      </c>
      <c r="Q776" t="s">
        <v>91</v>
      </c>
      <c r="R776">
        <v>2</v>
      </c>
      <c r="S776" t="s">
        <v>113</v>
      </c>
      <c r="T776">
        <v>1</v>
      </c>
      <c r="U776" t="s">
        <v>93</v>
      </c>
      <c r="V776" t="s">
        <v>94</v>
      </c>
      <c r="W776">
        <v>2</v>
      </c>
      <c r="X776">
        <v>1</v>
      </c>
    </row>
    <row r="777" spans="2:24" x14ac:dyDescent="0.3">
      <c r="B777">
        <v>773</v>
      </c>
      <c r="C777" t="s">
        <v>12</v>
      </c>
      <c r="D777">
        <v>21</v>
      </c>
      <c r="E777" t="s">
        <v>84</v>
      </c>
      <c r="F777" t="s">
        <v>110</v>
      </c>
      <c r="G777">
        <v>3275</v>
      </c>
      <c r="H777" t="s">
        <v>96</v>
      </c>
      <c r="I777" t="s">
        <v>87</v>
      </c>
      <c r="J777">
        <v>1</v>
      </c>
      <c r="K777" t="s">
        <v>88</v>
      </c>
      <c r="L777" t="s">
        <v>89</v>
      </c>
      <c r="M777">
        <v>4</v>
      </c>
      <c r="N777" t="s">
        <v>111</v>
      </c>
      <c r="O777">
        <v>36</v>
      </c>
      <c r="P777" t="s">
        <v>89</v>
      </c>
      <c r="Q777" t="s">
        <v>91</v>
      </c>
      <c r="R777">
        <v>1</v>
      </c>
      <c r="S777" t="s">
        <v>113</v>
      </c>
      <c r="T777">
        <v>1</v>
      </c>
      <c r="U777" t="s">
        <v>93</v>
      </c>
      <c r="V777" t="s">
        <v>94</v>
      </c>
      <c r="W777">
        <v>1</v>
      </c>
      <c r="X777">
        <v>0</v>
      </c>
    </row>
    <row r="778" spans="2:24" x14ac:dyDescent="0.3">
      <c r="B778">
        <v>774</v>
      </c>
      <c r="C778" t="s">
        <v>12</v>
      </c>
      <c r="D778">
        <v>24</v>
      </c>
      <c r="E778" t="s">
        <v>84</v>
      </c>
      <c r="F778" t="s">
        <v>85</v>
      </c>
      <c r="G778">
        <v>2223</v>
      </c>
      <c r="H778" t="s">
        <v>120</v>
      </c>
      <c r="I778" t="s">
        <v>87</v>
      </c>
      <c r="J778">
        <v>4</v>
      </c>
      <c r="K778" t="s">
        <v>88</v>
      </c>
      <c r="L778" t="s">
        <v>89</v>
      </c>
      <c r="M778">
        <v>4</v>
      </c>
      <c r="N778" t="s">
        <v>104</v>
      </c>
      <c r="O778">
        <v>52</v>
      </c>
      <c r="P778" t="s">
        <v>122</v>
      </c>
      <c r="Q778" t="s">
        <v>91</v>
      </c>
      <c r="R778">
        <v>2</v>
      </c>
      <c r="S778" t="s">
        <v>92</v>
      </c>
      <c r="T778">
        <v>1</v>
      </c>
      <c r="U778" t="s">
        <v>89</v>
      </c>
      <c r="V778" t="s">
        <v>94</v>
      </c>
      <c r="W778">
        <v>1</v>
      </c>
      <c r="X778">
        <v>0</v>
      </c>
    </row>
    <row r="779" spans="2:24" x14ac:dyDescent="0.3">
      <c r="B779">
        <v>775</v>
      </c>
      <c r="C779" t="s">
        <v>11</v>
      </c>
      <c r="D779">
        <v>12</v>
      </c>
      <c r="E779" t="s">
        <v>84</v>
      </c>
      <c r="F779" t="s">
        <v>107</v>
      </c>
      <c r="G779">
        <v>1480</v>
      </c>
      <c r="H779" t="s">
        <v>109</v>
      </c>
      <c r="I779" t="s">
        <v>116</v>
      </c>
      <c r="J779">
        <v>2</v>
      </c>
      <c r="K779" t="s">
        <v>88</v>
      </c>
      <c r="L779" t="s">
        <v>89</v>
      </c>
      <c r="M779">
        <v>4</v>
      </c>
      <c r="N779" t="s">
        <v>108</v>
      </c>
      <c r="O779">
        <v>66</v>
      </c>
      <c r="P779" t="s">
        <v>122</v>
      </c>
      <c r="Q779" t="s">
        <v>105</v>
      </c>
      <c r="R779">
        <v>3</v>
      </c>
      <c r="S779" t="s">
        <v>129</v>
      </c>
      <c r="T779">
        <v>1</v>
      </c>
      <c r="U779" t="s">
        <v>89</v>
      </c>
      <c r="V779" t="s">
        <v>94</v>
      </c>
      <c r="W779">
        <v>1</v>
      </c>
      <c r="X779">
        <v>0</v>
      </c>
    </row>
    <row r="780" spans="2:24" x14ac:dyDescent="0.3">
      <c r="B780">
        <v>776</v>
      </c>
      <c r="C780" t="s">
        <v>8</v>
      </c>
      <c r="D780">
        <v>24</v>
      </c>
      <c r="E780" t="s">
        <v>95</v>
      </c>
      <c r="F780" t="s">
        <v>107</v>
      </c>
      <c r="G780">
        <v>1371</v>
      </c>
      <c r="H780" t="s">
        <v>86</v>
      </c>
      <c r="I780" t="s">
        <v>97</v>
      </c>
      <c r="J780">
        <v>4</v>
      </c>
      <c r="K780" t="s">
        <v>98</v>
      </c>
      <c r="L780" t="s">
        <v>89</v>
      </c>
      <c r="M780">
        <v>4</v>
      </c>
      <c r="N780" t="s">
        <v>90</v>
      </c>
      <c r="O780">
        <v>25</v>
      </c>
      <c r="P780" t="s">
        <v>89</v>
      </c>
      <c r="Q780" t="s">
        <v>112</v>
      </c>
      <c r="R780">
        <v>1</v>
      </c>
      <c r="S780" t="s">
        <v>92</v>
      </c>
      <c r="T780">
        <v>1</v>
      </c>
      <c r="U780" t="s">
        <v>89</v>
      </c>
      <c r="V780" t="s">
        <v>94</v>
      </c>
      <c r="W780">
        <v>2</v>
      </c>
      <c r="X780">
        <v>1</v>
      </c>
    </row>
    <row r="781" spans="2:24" x14ac:dyDescent="0.3">
      <c r="B781">
        <v>777</v>
      </c>
      <c r="C781" t="s">
        <v>12</v>
      </c>
      <c r="D781">
        <v>36</v>
      </c>
      <c r="E781" t="s">
        <v>84</v>
      </c>
      <c r="F781" t="s">
        <v>107</v>
      </c>
      <c r="G781">
        <v>3535</v>
      </c>
      <c r="H781" t="s">
        <v>96</v>
      </c>
      <c r="I781" t="s">
        <v>100</v>
      </c>
      <c r="J781">
        <v>4</v>
      </c>
      <c r="K781" t="s">
        <v>88</v>
      </c>
      <c r="L781" t="s">
        <v>89</v>
      </c>
      <c r="M781">
        <v>4</v>
      </c>
      <c r="N781" t="s">
        <v>111</v>
      </c>
      <c r="O781">
        <v>37</v>
      </c>
      <c r="P781" t="s">
        <v>89</v>
      </c>
      <c r="Q781" t="s">
        <v>91</v>
      </c>
      <c r="R781">
        <v>2</v>
      </c>
      <c r="S781" t="s">
        <v>92</v>
      </c>
      <c r="T781">
        <v>1</v>
      </c>
      <c r="U781" t="s">
        <v>93</v>
      </c>
      <c r="V781" t="s">
        <v>94</v>
      </c>
      <c r="W781">
        <v>1</v>
      </c>
      <c r="X781">
        <v>0</v>
      </c>
    </row>
    <row r="782" spans="2:24" x14ac:dyDescent="0.3">
      <c r="B782">
        <v>778</v>
      </c>
      <c r="C782" t="s">
        <v>8</v>
      </c>
      <c r="D782">
        <v>18</v>
      </c>
      <c r="E782" t="s">
        <v>95</v>
      </c>
      <c r="F782" t="s">
        <v>85</v>
      </c>
      <c r="G782">
        <v>3509</v>
      </c>
      <c r="H782" t="s">
        <v>96</v>
      </c>
      <c r="I782" t="s">
        <v>100</v>
      </c>
      <c r="J782">
        <v>4</v>
      </c>
      <c r="K782" t="s">
        <v>98</v>
      </c>
      <c r="L782" t="s">
        <v>103</v>
      </c>
      <c r="M782">
        <v>1</v>
      </c>
      <c r="N782" t="s">
        <v>90</v>
      </c>
      <c r="O782">
        <v>25</v>
      </c>
      <c r="P782" t="s">
        <v>89</v>
      </c>
      <c r="Q782" t="s">
        <v>91</v>
      </c>
      <c r="R782">
        <v>1</v>
      </c>
      <c r="S782" t="s">
        <v>92</v>
      </c>
      <c r="T782">
        <v>1</v>
      </c>
      <c r="U782" t="s">
        <v>89</v>
      </c>
      <c r="V782" t="s">
        <v>94</v>
      </c>
      <c r="W782">
        <v>1</v>
      </c>
      <c r="X782">
        <v>0</v>
      </c>
    </row>
    <row r="783" spans="2:24" x14ac:dyDescent="0.3">
      <c r="B783">
        <v>779</v>
      </c>
      <c r="C783" t="s">
        <v>12</v>
      </c>
      <c r="D783">
        <v>36</v>
      </c>
      <c r="E783" t="s">
        <v>84</v>
      </c>
      <c r="F783" t="s">
        <v>110</v>
      </c>
      <c r="G783">
        <v>5711</v>
      </c>
      <c r="H783" t="s">
        <v>114</v>
      </c>
      <c r="I783" t="s">
        <v>87</v>
      </c>
      <c r="J783">
        <v>4</v>
      </c>
      <c r="K783" t="s">
        <v>88</v>
      </c>
      <c r="L783" t="s">
        <v>89</v>
      </c>
      <c r="M783">
        <v>2</v>
      </c>
      <c r="N783" t="s">
        <v>111</v>
      </c>
      <c r="O783">
        <v>38</v>
      </c>
      <c r="P783" t="s">
        <v>89</v>
      </c>
      <c r="Q783" t="s">
        <v>91</v>
      </c>
      <c r="R783">
        <v>2</v>
      </c>
      <c r="S783" t="s">
        <v>113</v>
      </c>
      <c r="T783">
        <v>1</v>
      </c>
      <c r="U783" t="s">
        <v>93</v>
      </c>
      <c r="V783" t="s">
        <v>94</v>
      </c>
      <c r="W783">
        <v>1</v>
      </c>
      <c r="X783">
        <v>0</v>
      </c>
    </row>
    <row r="784" spans="2:24" x14ac:dyDescent="0.3">
      <c r="B784">
        <v>780</v>
      </c>
      <c r="C784" t="s">
        <v>10</v>
      </c>
      <c r="D784">
        <v>18</v>
      </c>
      <c r="E784" t="s">
        <v>95</v>
      </c>
      <c r="F784" t="s">
        <v>128</v>
      </c>
      <c r="G784">
        <v>3872</v>
      </c>
      <c r="H784" t="s">
        <v>96</v>
      </c>
      <c r="I784" t="s">
        <v>116</v>
      </c>
      <c r="J784">
        <v>2</v>
      </c>
      <c r="K784" t="s">
        <v>98</v>
      </c>
      <c r="L784" t="s">
        <v>89</v>
      </c>
      <c r="M784">
        <v>4</v>
      </c>
      <c r="N784" t="s">
        <v>111</v>
      </c>
      <c r="O784">
        <v>67</v>
      </c>
      <c r="P784" t="s">
        <v>89</v>
      </c>
      <c r="Q784" t="s">
        <v>91</v>
      </c>
      <c r="R784">
        <v>1</v>
      </c>
      <c r="S784" t="s">
        <v>92</v>
      </c>
      <c r="T784">
        <v>1</v>
      </c>
      <c r="U784" t="s">
        <v>93</v>
      </c>
      <c r="V784" t="s">
        <v>94</v>
      </c>
      <c r="W784">
        <v>1</v>
      </c>
      <c r="X784">
        <v>0</v>
      </c>
    </row>
    <row r="785" spans="2:24" x14ac:dyDescent="0.3">
      <c r="B785">
        <v>781</v>
      </c>
      <c r="C785" t="s">
        <v>10</v>
      </c>
      <c r="D785">
        <v>39</v>
      </c>
      <c r="E785" t="s">
        <v>84</v>
      </c>
      <c r="F785" t="s">
        <v>85</v>
      </c>
      <c r="G785">
        <v>4933</v>
      </c>
      <c r="H785" t="s">
        <v>96</v>
      </c>
      <c r="I785" t="s">
        <v>100</v>
      </c>
      <c r="J785">
        <v>2</v>
      </c>
      <c r="K785" t="s">
        <v>88</v>
      </c>
      <c r="L785" t="s">
        <v>103</v>
      </c>
      <c r="M785">
        <v>2</v>
      </c>
      <c r="N785" t="s">
        <v>90</v>
      </c>
      <c r="O785">
        <v>25</v>
      </c>
      <c r="P785" t="s">
        <v>89</v>
      </c>
      <c r="Q785" t="s">
        <v>91</v>
      </c>
      <c r="R785">
        <v>2</v>
      </c>
      <c r="S785" t="s">
        <v>92</v>
      </c>
      <c r="T785">
        <v>1</v>
      </c>
      <c r="U785" t="s">
        <v>89</v>
      </c>
      <c r="V785" t="s">
        <v>94</v>
      </c>
      <c r="W785">
        <v>2</v>
      </c>
      <c r="X785">
        <v>1</v>
      </c>
    </row>
    <row r="786" spans="2:24" x14ac:dyDescent="0.3">
      <c r="B786">
        <v>782</v>
      </c>
      <c r="C786" t="s">
        <v>12</v>
      </c>
      <c r="D786">
        <v>24</v>
      </c>
      <c r="E786" t="s">
        <v>84</v>
      </c>
      <c r="F786" t="s">
        <v>107</v>
      </c>
      <c r="G786">
        <v>1940</v>
      </c>
      <c r="H786" t="s">
        <v>114</v>
      </c>
      <c r="I786" t="s">
        <v>87</v>
      </c>
      <c r="J786">
        <v>4</v>
      </c>
      <c r="K786" t="s">
        <v>88</v>
      </c>
      <c r="L786" t="s">
        <v>89</v>
      </c>
      <c r="M786">
        <v>4</v>
      </c>
      <c r="N786" t="s">
        <v>90</v>
      </c>
      <c r="O786">
        <v>60</v>
      </c>
      <c r="P786" t="s">
        <v>89</v>
      </c>
      <c r="Q786" t="s">
        <v>91</v>
      </c>
      <c r="R786">
        <v>1</v>
      </c>
      <c r="S786" t="s">
        <v>92</v>
      </c>
      <c r="T786">
        <v>1</v>
      </c>
      <c r="U786" t="s">
        <v>93</v>
      </c>
      <c r="V786" t="s">
        <v>94</v>
      </c>
      <c r="W786">
        <v>1</v>
      </c>
      <c r="X786">
        <v>0</v>
      </c>
    </row>
    <row r="787" spans="2:24" x14ac:dyDescent="0.3">
      <c r="B787">
        <v>783</v>
      </c>
      <c r="C787" t="s">
        <v>10</v>
      </c>
      <c r="D787">
        <v>12</v>
      </c>
      <c r="E787" t="s">
        <v>121</v>
      </c>
      <c r="F787" t="s">
        <v>131</v>
      </c>
      <c r="G787">
        <v>1410</v>
      </c>
      <c r="H787" t="s">
        <v>96</v>
      </c>
      <c r="I787" t="s">
        <v>97</v>
      </c>
      <c r="J787">
        <v>2</v>
      </c>
      <c r="K787" t="s">
        <v>88</v>
      </c>
      <c r="L787" t="s">
        <v>89</v>
      </c>
      <c r="M787">
        <v>2</v>
      </c>
      <c r="N787" t="s">
        <v>90</v>
      </c>
      <c r="O787">
        <v>31</v>
      </c>
      <c r="P787" t="s">
        <v>89</v>
      </c>
      <c r="Q787" t="s">
        <v>91</v>
      </c>
      <c r="R787">
        <v>1</v>
      </c>
      <c r="S787" t="s">
        <v>101</v>
      </c>
      <c r="T787">
        <v>1</v>
      </c>
      <c r="U787" t="s">
        <v>93</v>
      </c>
      <c r="V787" t="s">
        <v>94</v>
      </c>
      <c r="W787">
        <v>1</v>
      </c>
      <c r="X787">
        <v>0</v>
      </c>
    </row>
    <row r="788" spans="2:24" x14ac:dyDescent="0.3">
      <c r="B788">
        <v>784</v>
      </c>
      <c r="C788" t="s">
        <v>10</v>
      </c>
      <c r="D788">
        <v>12</v>
      </c>
      <c r="E788" t="s">
        <v>95</v>
      </c>
      <c r="F788" t="s">
        <v>107</v>
      </c>
      <c r="G788">
        <v>836</v>
      </c>
      <c r="H788" t="s">
        <v>120</v>
      </c>
      <c r="I788" t="s">
        <v>118</v>
      </c>
      <c r="J788">
        <v>4</v>
      </c>
      <c r="K788" t="s">
        <v>98</v>
      </c>
      <c r="L788" t="s">
        <v>89</v>
      </c>
      <c r="M788">
        <v>2</v>
      </c>
      <c r="N788" t="s">
        <v>104</v>
      </c>
      <c r="O788">
        <v>23</v>
      </c>
      <c r="P788" t="s">
        <v>122</v>
      </c>
      <c r="Q788" t="s">
        <v>91</v>
      </c>
      <c r="R788">
        <v>1</v>
      </c>
      <c r="S788" t="s">
        <v>101</v>
      </c>
      <c r="T788">
        <v>1</v>
      </c>
      <c r="U788" t="s">
        <v>89</v>
      </c>
      <c r="V788" t="s">
        <v>94</v>
      </c>
      <c r="W788">
        <v>2</v>
      </c>
      <c r="X788">
        <v>1</v>
      </c>
    </row>
    <row r="789" spans="2:24" x14ac:dyDescent="0.3">
      <c r="B789">
        <v>785</v>
      </c>
      <c r="C789" t="s">
        <v>10</v>
      </c>
      <c r="D789">
        <v>20</v>
      </c>
      <c r="E789" t="s">
        <v>95</v>
      </c>
      <c r="F789" t="s">
        <v>110</v>
      </c>
      <c r="G789">
        <v>6468</v>
      </c>
      <c r="H789" t="s">
        <v>86</v>
      </c>
      <c r="I789" t="s">
        <v>116</v>
      </c>
      <c r="J789">
        <v>1</v>
      </c>
      <c r="K789" t="s">
        <v>115</v>
      </c>
      <c r="L789" t="s">
        <v>89</v>
      </c>
      <c r="M789">
        <v>4</v>
      </c>
      <c r="N789" t="s">
        <v>90</v>
      </c>
      <c r="O789">
        <v>60</v>
      </c>
      <c r="P789" t="s">
        <v>89</v>
      </c>
      <c r="Q789" t="s">
        <v>91</v>
      </c>
      <c r="R789">
        <v>1</v>
      </c>
      <c r="S789" t="s">
        <v>113</v>
      </c>
      <c r="T789">
        <v>1</v>
      </c>
      <c r="U789" t="s">
        <v>93</v>
      </c>
      <c r="V789" t="s">
        <v>94</v>
      </c>
      <c r="W789">
        <v>1</v>
      </c>
      <c r="X789">
        <v>0</v>
      </c>
    </row>
    <row r="790" spans="2:24" x14ac:dyDescent="0.3">
      <c r="B790">
        <v>786</v>
      </c>
      <c r="C790" t="s">
        <v>10</v>
      </c>
      <c r="D790">
        <v>18</v>
      </c>
      <c r="E790" t="s">
        <v>95</v>
      </c>
      <c r="F790" t="s">
        <v>119</v>
      </c>
      <c r="G790">
        <v>1941</v>
      </c>
      <c r="H790" t="s">
        <v>114</v>
      </c>
      <c r="I790" t="s">
        <v>97</v>
      </c>
      <c r="J790">
        <v>4</v>
      </c>
      <c r="K790" t="s">
        <v>88</v>
      </c>
      <c r="L790" t="s">
        <v>89</v>
      </c>
      <c r="M790">
        <v>2</v>
      </c>
      <c r="N790" t="s">
        <v>104</v>
      </c>
      <c r="O790">
        <v>35</v>
      </c>
      <c r="P790" t="s">
        <v>89</v>
      </c>
      <c r="Q790" t="s">
        <v>91</v>
      </c>
      <c r="R790">
        <v>1</v>
      </c>
      <c r="S790" t="s">
        <v>101</v>
      </c>
      <c r="T790">
        <v>1</v>
      </c>
      <c r="U790" t="s">
        <v>93</v>
      </c>
      <c r="V790" t="s">
        <v>94</v>
      </c>
      <c r="W790">
        <v>1</v>
      </c>
      <c r="X790">
        <v>0</v>
      </c>
    </row>
    <row r="791" spans="2:24" x14ac:dyDescent="0.3">
      <c r="B791">
        <v>787</v>
      </c>
      <c r="C791" t="s">
        <v>12</v>
      </c>
      <c r="D791">
        <v>22</v>
      </c>
      <c r="E791" t="s">
        <v>95</v>
      </c>
      <c r="F791" t="s">
        <v>85</v>
      </c>
      <c r="G791">
        <v>2675</v>
      </c>
      <c r="H791" t="s">
        <v>109</v>
      </c>
      <c r="I791" t="s">
        <v>87</v>
      </c>
      <c r="J791">
        <v>3</v>
      </c>
      <c r="K791" t="s">
        <v>88</v>
      </c>
      <c r="L791" t="s">
        <v>89</v>
      </c>
      <c r="M791">
        <v>4</v>
      </c>
      <c r="N791" t="s">
        <v>111</v>
      </c>
      <c r="O791">
        <v>40</v>
      </c>
      <c r="P791" t="s">
        <v>89</v>
      </c>
      <c r="Q791" t="s">
        <v>91</v>
      </c>
      <c r="R791">
        <v>1</v>
      </c>
      <c r="S791" t="s">
        <v>92</v>
      </c>
      <c r="T791">
        <v>1</v>
      </c>
      <c r="U791" t="s">
        <v>89</v>
      </c>
      <c r="V791" t="s">
        <v>94</v>
      </c>
      <c r="W791">
        <v>1</v>
      </c>
      <c r="X791">
        <v>0</v>
      </c>
    </row>
    <row r="792" spans="2:24" x14ac:dyDescent="0.3">
      <c r="B792">
        <v>788</v>
      </c>
      <c r="C792" t="s">
        <v>12</v>
      </c>
      <c r="D792">
        <v>48</v>
      </c>
      <c r="E792" t="s">
        <v>84</v>
      </c>
      <c r="F792" t="s">
        <v>110</v>
      </c>
      <c r="G792">
        <v>2751</v>
      </c>
      <c r="H792" t="s">
        <v>86</v>
      </c>
      <c r="I792" t="s">
        <v>87</v>
      </c>
      <c r="J792">
        <v>4</v>
      </c>
      <c r="K792" t="s">
        <v>88</v>
      </c>
      <c r="L792" t="s">
        <v>89</v>
      </c>
      <c r="M792">
        <v>3</v>
      </c>
      <c r="N792" t="s">
        <v>111</v>
      </c>
      <c r="O792">
        <v>38</v>
      </c>
      <c r="P792" t="s">
        <v>89</v>
      </c>
      <c r="Q792" t="s">
        <v>91</v>
      </c>
      <c r="R792">
        <v>2</v>
      </c>
      <c r="S792" t="s">
        <v>92</v>
      </c>
      <c r="T792">
        <v>2</v>
      </c>
      <c r="U792" t="s">
        <v>93</v>
      </c>
      <c r="V792" t="s">
        <v>94</v>
      </c>
      <c r="W792">
        <v>1</v>
      </c>
      <c r="X792">
        <v>0</v>
      </c>
    </row>
    <row r="793" spans="2:24" x14ac:dyDescent="0.3">
      <c r="B793">
        <v>789</v>
      </c>
      <c r="C793" t="s">
        <v>10</v>
      </c>
      <c r="D793">
        <v>48</v>
      </c>
      <c r="E793" t="s">
        <v>106</v>
      </c>
      <c r="F793" t="s">
        <v>99</v>
      </c>
      <c r="G793">
        <v>6224</v>
      </c>
      <c r="H793" t="s">
        <v>96</v>
      </c>
      <c r="I793" t="s">
        <v>87</v>
      </c>
      <c r="J793">
        <v>4</v>
      </c>
      <c r="K793" t="s">
        <v>88</v>
      </c>
      <c r="L793" t="s">
        <v>89</v>
      </c>
      <c r="M793">
        <v>4</v>
      </c>
      <c r="N793" t="s">
        <v>108</v>
      </c>
      <c r="O793">
        <v>50</v>
      </c>
      <c r="P793" t="s">
        <v>89</v>
      </c>
      <c r="Q793" t="s">
        <v>105</v>
      </c>
      <c r="R793">
        <v>1</v>
      </c>
      <c r="S793" t="s">
        <v>92</v>
      </c>
      <c r="T793">
        <v>1</v>
      </c>
      <c r="U793" t="s">
        <v>89</v>
      </c>
      <c r="V793" t="s">
        <v>94</v>
      </c>
      <c r="W793">
        <v>2</v>
      </c>
      <c r="X793">
        <v>1</v>
      </c>
    </row>
    <row r="794" spans="2:24" x14ac:dyDescent="0.3">
      <c r="B794">
        <v>790</v>
      </c>
      <c r="C794" t="s">
        <v>8</v>
      </c>
      <c r="D794">
        <v>40</v>
      </c>
      <c r="E794" t="s">
        <v>84</v>
      </c>
      <c r="F794" t="s">
        <v>99</v>
      </c>
      <c r="G794">
        <v>5998</v>
      </c>
      <c r="H794" t="s">
        <v>96</v>
      </c>
      <c r="I794" t="s">
        <v>97</v>
      </c>
      <c r="J794">
        <v>4</v>
      </c>
      <c r="K794" t="s">
        <v>88</v>
      </c>
      <c r="L794" t="s">
        <v>89</v>
      </c>
      <c r="M794">
        <v>3</v>
      </c>
      <c r="N794" t="s">
        <v>108</v>
      </c>
      <c r="O794">
        <v>27</v>
      </c>
      <c r="P794" t="s">
        <v>122</v>
      </c>
      <c r="Q794" t="s">
        <v>91</v>
      </c>
      <c r="R794">
        <v>1</v>
      </c>
      <c r="S794" t="s">
        <v>92</v>
      </c>
      <c r="T794">
        <v>1</v>
      </c>
      <c r="U794" t="s">
        <v>93</v>
      </c>
      <c r="V794" t="s">
        <v>94</v>
      </c>
      <c r="W794">
        <v>2</v>
      </c>
      <c r="X794">
        <v>1</v>
      </c>
    </row>
    <row r="795" spans="2:24" x14ac:dyDescent="0.3">
      <c r="B795">
        <v>791</v>
      </c>
      <c r="C795" t="s">
        <v>10</v>
      </c>
      <c r="D795">
        <v>21</v>
      </c>
      <c r="E795" t="s">
        <v>95</v>
      </c>
      <c r="F795" t="s">
        <v>119</v>
      </c>
      <c r="G795">
        <v>1188</v>
      </c>
      <c r="H795" t="s">
        <v>96</v>
      </c>
      <c r="I795" t="s">
        <v>87</v>
      </c>
      <c r="J795">
        <v>2</v>
      </c>
      <c r="K795" t="s">
        <v>98</v>
      </c>
      <c r="L795" t="s">
        <v>89</v>
      </c>
      <c r="M795">
        <v>4</v>
      </c>
      <c r="N795" t="s">
        <v>104</v>
      </c>
      <c r="O795">
        <v>39</v>
      </c>
      <c r="P795" t="s">
        <v>89</v>
      </c>
      <c r="Q795" t="s">
        <v>91</v>
      </c>
      <c r="R795">
        <v>1</v>
      </c>
      <c r="S795" t="s">
        <v>92</v>
      </c>
      <c r="T795">
        <v>2</v>
      </c>
      <c r="U795" t="s">
        <v>89</v>
      </c>
      <c r="V795" t="s">
        <v>94</v>
      </c>
      <c r="W795">
        <v>2</v>
      </c>
      <c r="X795">
        <v>1</v>
      </c>
    </row>
    <row r="796" spans="2:24" x14ac:dyDescent="0.3">
      <c r="B796">
        <v>792</v>
      </c>
      <c r="C796" t="s">
        <v>12</v>
      </c>
      <c r="D796">
        <v>24</v>
      </c>
      <c r="E796" t="s">
        <v>95</v>
      </c>
      <c r="F796" t="s">
        <v>110</v>
      </c>
      <c r="G796">
        <v>6313</v>
      </c>
      <c r="H796" t="s">
        <v>86</v>
      </c>
      <c r="I796" t="s">
        <v>87</v>
      </c>
      <c r="J796">
        <v>3</v>
      </c>
      <c r="K796" t="s">
        <v>88</v>
      </c>
      <c r="L796" t="s">
        <v>89</v>
      </c>
      <c r="M796">
        <v>4</v>
      </c>
      <c r="N796" t="s">
        <v>111</v>
      </c>
      <c r="O796">
        <v>41</v>
      </c>
      <c r="P796" t="s">
        <v>89</v>
      </c>
      <c r="Q796" t="s">
        <v>91</v>
      </c>
      <c r="R796">
        <v>1</v>
      </c>
      <c r="S796" t="s">
        <v>113</v>
      </c>
      <c r="T796">
        <v>2</v>
      </c>
      <c r="U796" t="s">
        <v>93</v>
      </c>
      <c r="V796" t="s">
        <v>94</v>
      </c>
      <c r="W796">
        <v>1</v>
      </c>
      <c r="X796">
        <v>0</v>
      </c>
    </row>
    <row r="797" spans="2:24" x14ac:dyDescent="0.3">
      <c r="B797">
        <v>793</v>
      </c>
      <c r="C797" t="s">
        <v>12</v>
      </c>
      <c r="D797">
        <v>6</v>
      </c>
      <c r="E797" t="s">
        <v>84</v>
      </c>
      <c r="F797" t="s">
        <v>102</v>
      </c>
      <c r="G797">
        <v>1221</v>
      </c>
      <c r="H797" t="s">
        <v>86</v>
      </c>
      <c r="I797" t="s">
        <v>97</v>
      </c>
      <c r="J797">
        <v>1</v>
      </c>
      <c r="K797" t="s">
        <v>117</v>
      </c>
      <c r="L797" t="s">
        <v>89</v>
      </c>
      <c r="M797">
        <v>2</v>
      </c>
      <c r="N797" t="s">
        <v>104</v>
      </c>
      <c r="O797">
        <v>27</v>
      </c>
      <c r="P797" t="s">
        <v>89</v>
      </c>
      <c r="Q797" t="s">
        <v>91</v>
      </c>
      <c r="R797">
        <v>2</v>
      </c>
      <c r="S797" t="s">
        <v>92</v>
      </c>
      <c r="T797">
        <v>1</v>
      </c>
      <c r="U797" t="s">
        <v>89</v>
      </c>
      <c r="V797" t="s">
        <v>94</v>
      </c>
      <c r="W797">
        <v>1</v>
      </c>
      <c r="X797">
        <v>0</v>
      </c>
    </row>
    <row r="798" spans="2:24" x14ac:dyDescent="0.3">
      <c r="B798">
        <v>794</v>
      </c>
      <c r="C798" t="s">
        <v>11</v>
      </c>
      <c r="D798">
        <v>24</v>
      </c>
      <c r="E798" t="s">
        <v>95</v>
      </c>
      <c r="F798" t="s">
        <v>102</v>
      </c>
      <c r="G798">
        <v>2892</v>
      </c>
      <c r="H798" t="s">
        <v>96</v>
      </c>
      <c r="I798" t="s">
        <v>87</v>
      </c>
      <c r="J798">
        <v>3</v>
      </c>
      <c r="K798" t="s">
        <v>115</v>
      </c>
      <c r="L798" t="s">
        <v>89</v>
      </c>
      <c r="M798">
        <v>4</v>
      </c>
      <c r="N798" t="s">
        <v>108</v>
      </c>
      <c r="O798">
        <v>51</v>
      </c>
      <c r="P798" t="s">
        <v>89</v>
      </c>
      <c r="Q798" t="s">
        <v>105</v>
      </c>
      <c r="R798">
        <v>1</v>
      </c>
      <c r="S798" t="s">
        <v>92</v>
      </c>
      <c r="T798">
        <v>1</v>
      </c>
      <c r="U798" t="s">
        <v>89</v>
      </c>
      <c r="V798" t="s">
        <v>94</v>
      </c>
      <c r="W798">
        <v>1</v>
      </c>
      <c r="X798">
        <v>0</v>
      </c>
    </row>
    <row r="799" spans="2:24" x14ac:dyDescent="0.3">
      <c r="B799">
        <v>795</v>
      </c>
      <c r="C799" t="s">
        <v>12</v>
      </c>
      <c r="D799">
        <v>24</v>
      </c>
      <c r="E799" t="s">
        <v>95</v>
      </c>
      <c r="F799" t="s">
        <v>102</v>
      </c>
      <c r="G799">
        <v>3062</v>
      </c>
      <c r="H799" t="s">
        <v>109</v>
      </c>
      <c r="I799" t="s">
        <v>87</v>
      </c>
      <c r="J799">
        <v>4</v>
      </c>
      <c r="K799" t="s">
        <v>88</v>
      </c>
      <c r="L799" t="s">
        <v>89</v>
      </c>
      <c r="M799">
        <v>3</v>
      </c>
      <c r="N799" t="s">
        <v>108</v>
      </c>
      <c r="O799">
        <v>32</v>
      </c>
      <c r="P799" t="s">
        <v>89</v>
      </c>
      <c r="Q799" t="s">
        <v>112</v>
      </c>
      <c r="R799">
        <v>1</v>
      </c>
      <c r="S799" t="s">
        <v>92</v>
      </c>
      <c r="T799">
        <v>1</v>
      </c>
      <c r="U799" t="s">
        <v>93</v>
      </c>
      <c r="V799" t="s">
        <v>94</v>
      </c>
      <c r="W799">
        <v>1</v>
      </c>
      <c r="X799">
        <v>0</v>
      </c>
    </row>
    <row r="800" spans="2:24" x14ac:dyDescent="0.3">
      <c r="B800">
        <v>796</v>
      </c>
      <c r="C800" t="s">
        <v>12</v>
      </c>
      <c r="D800">
        <v>9</v>
      </c>
      <c r="E800" t="s">
        <v>95</v>
      </c>
      <c r="F800" t="s">
        <v>102</v>
      </c>
      <c r="G800">
        <v>2301</v>
      </c>
      <c r="H800" t="s">
        <v>120</v>
      </c>
      <c r="I800" t="s">
        <v>118</v>
      </c>
      <c r="J800">
        <v>2</v>
      </c>
      <c r="K800" t="s">
        <v>98</v>
      </c>
      <c r="L800" t="s">
        <v>89</v>
      </c>
      <c r="M800">
        <v>4</v>
      </c>
      <c r="N800" t="s">
        <v>104</v>
      </c>
      <c r="O800">
        <v>22</v>
      </c>
      <c r="P800" t="s">
        <v>89</v>
      </c>
      <c r="Q800" t="s">
        <v>112</v>
      </c>
      <c r="R800">
        <v>1</v>
      </c>
      <c r="S800" t="s">
        <v>92</v>
      </c>
      <c r="T800">
        <v>1</v>
      </c>
      <c r="U800" t="s">
        <v>89</v>
      </c>
      <c r="V800" t="s">
        <v>94</v>
      </c>
      <c r="W800">
        <v>1</v>
      </c>
      <c r="X800">
        <v>0</v>
      </c>
    </row>
    <row r="801" spans="2:24" x14ac:dyDescent="0.3">
      <c r="B801">
        <v>797</v>
      </c>
      <c r="C801" t="s">
        <v>8</v>
      </c>
      <c r="D801">
        <v>18</v>
      </c>
      <c r="E801" t="s">
        <v>95</v>
      </c>
      <c r="F801" t="s">
        <v>110</v>
      </c>
      <c r="G801">
        <v>7511</v>
      </c>
      <c r="H801" t="s">
        <v>86</v>
      </c>
      <c r="I801" t="s">
        <v>87</v>
      </c>
      <c r="J801">
        <v>1</v>
      </c>
      <c r="K801" t="s">
        <v>88</v>
      </c>
      <c r="L801" t="s">
        <v>89</v>
      </c>
      <c r="M801">
        <v>4</v>
      </c>
      <c r="N801" t="s">
        <v>104</v>
      </c>
      <c r="O801">
        <v>51</v>
      </c>
      <c r="P801" t="s">
        <v>89</v>
      </c>
      <c r="Q801" t="s">
        <v>105</v>
      </c>
      <c r="R801">
        <v>1</v>
      </c>
      <c r="S801" t="s">
        <v>92</v>
      </c>
      <c r="T801">
        <v>2</v>
      </c>
      <c r="U801" t="s">
        <v>93</v>
      </c>
      <c r="V801" t="s">
        <v>94</v>
      </c>
      <c r="W801">
        <v>2</v>
      </c>
      <c r="X801">
        <v>1</v>
      </c>
    </row>
    <row r="802" spans="2:24" x14ac:dyDescent="0.3">
      <c r="B802">
        <v>798</v>
      </c>
      <c r="C802" t="s">
        <v>12</v>
      </c>
      <c r="D802">
        <v>12</v>
      </c>
      <c r="E802" t="s">
        <v>84</v>
      </c>
      <c r="F802" t="s">
        <v>102</v>
      </c>
      <c r="G802">
        <v>1258</v>
      </c>
      <c r="H802" t="s">
        <v>96</v>
      </c>
      <c r="I802" t="s">
        <v>118</v>
      </c>
      <c r="J802">
        <v>2</v>
      </c>
      <c r="K802" t="s">
        <v>98</v>
      </c>
      <c r="L802" t="s">
        <v>89</v>
      </c>
      <c r="M802">
        <v>4</v>
      </c>
      <c r="N802" t="s">
        <v>104</v>
      </c>
      <c r="O802">
        <v>22</v>
      </c>
      <c r="P802" t="s">
        <v>89</v>
      </c>
      <c r="Q802" t="s">
        <v>112</v>
      </c>
      <c r="R802">
        <v>2</v>
      </c>
      <c r="S802" t="s">
        <v>101</v>
      </c>
      <c r="T802">
        <v>1</v>
      </c>
      <c r="U802" t="s">
        <v>89</v>
      </c>
      <c r="V802" t="s">
        <v>94</v>
      </c>
      <c r="W802">
        <v>1</v>
      </c>
      <c r="X802">
        <v>0</v>
      </c>
    </row>
    <row r="803" spans="2:24" x14ac:dyDescent="0.3">
      <c r="B803">
        <v>799</v>
      </c>
      <c r="C803" t="s">
        <v>12</v>
      </c>
      <c r="D803">
        <v>24</v>
      </c>
      <c r="E803" t="s">
        <v>106</v>
      </c>
      <c r="F803" t="s">
        <v>107</v>
      </c>
      <c r="G803">
        <v>717</v>
      </c>
      <c r="H803" t="s">
        <v>86</v>
      </c>
      <c r="I803" t="s">
        <v>87</v>
      </c>
      <c r="J803">
        <v>4</v>
      </c>
      <c r="K803" t="s">
        <v>117</v>
      </c>
      <c r="L803" t="s">
        <v>89</v>
      </c>
      <c r="M803">
        <v>4</v>
      </c>
      <c r="N803" t="s">
        <v>111</v>
      </c>
      <c r="O803">
        <v>54</v>
      </c>
      <c r="P803" t="s">
        <v>89</v>
      </c>
      <c r="Q803" t="s">
        <v>91</v>
      </c>
      <c r="R803">
        <v>2</v>
      </c>
      <c r="S803" t="s">
        <v>92</v>
      </c>
      <c r="T803">
        <v>1</v>
      </c>
      <c r="U803" t="s">
        <v>93</v>
      </c>
      <c r="V803" t="s">
        <v>94</v>
      </c>
      <c r="W803">
        <v>1</v>
      </c>
      <c r="X803">
        <v>0</v>
      </c>
    </row>
    <row r="804" spans="2:24" x14ac:dyDescent="0.3">
      <c r="B804">
        <v>800</v>
      </c>
      <c r="C804" t="s">
        <v>10</v>
      </c>
      <c r="D804">
        <v>9</v>
      </c>
      <c r="E804" t="s">
        <v>95</v>
      </c>
      <c r="F804" t="s">
        <v>107</v>
      </c>
      <c r="G804">
        <v>1549</v>
      </c>
      <c r="H804" t="s">
        <v>86</v>
      </c>
      <c r="I804" t="s">
        <v>118</v>
      </c>
      <c r="J804">
        <v>4</v>
      </c>
      <c r="K804" t="s">
        <v>88</v>
      </c>
      <c r="L804" t="s">
        <v>89</v>
      </c>
      <c r="M804">
        <v>2</v>
      </c>
      <c r="N804" t="s">
        <v>90</v>
      </c>
      <c r="O804">
        <v>35</v>
      </c>
      <c r="P804" t="s">
        <v>89</v>
      </c>
      <c r="Q804" t="s">
        <v>91</v>
      </c>
      <c r="R804">
        <v>1</v>
      </c>
      <c r="S804" t="s">
        <v>129</v>
      </c>
      <c r="T804">
        <v>1</v>
      </c>
      <c r="U804" t="s">
        <v>89</v>
      </c>
      <c r="V804" t="s">
        <v>94</v>
      </c>
      <c r="W804">
        <v>1</v>
      </c>
      <c r="X804">
        <v>0</v>
      </c>
    </row>
    <row r="805" spans="2:24" x14ac:dyDescent="0.3">
      <c r="B805">
        <v>801</v>
      </c>
      <c r="C805" t="s">
        <v>12</v>
      </c>
      <c r="D805">
        <v>24</v>
      </c>
      <c r="E805" t="s">
        <v>84</v>
      </c>
      <c r="F805" t="s">
        <v>99</v>
      </c>
      <c r="G805">
        <v>1597</v>
      </c>
      <c r="H805" t="s">
        <v>96</v>
      </c>
      <c r="I805" t="s">
        <v>87</v>
      </c>
      <c r="J805">
        <v>4</v>
      </c>
      <c r="K805" t="s">
        <v>88</v>
      </c>
      <c r="L805" t="s">
        <v>89</v>
      </c>
      <c r="M805">
        <v>4</v>
      </c>
      <c r="N805" t="s">
        <v>108</v>
      </c>
      <c r="O805">
        <v>54</v>
      </c>
      <c r="P805" t="s">
        <v>89</v>
      </c>
      <c r="Q805" t="s">
        <v>105</v>
      </c>
      <c r="R805">
        <v>2</v>
      </c>
      <c r="S805" t="s">
        <v>92</v>
      </c>
      <c r="T805">
        <v>2</v>
      </c>
      <c r="U805" t="s">
        <v>89</v>
      </c>
      <c r="V805" t="s">
        <v>94</v>
      </c>
      <c r="W805">
        <v>1</v>
      </c>
      <c r="X805">
        <v>0</v>
      </c>
    </row>
    <row r="806" spans="2:24" x14ac:dyDescent="0.3">
      <c r="B806">
        <v>802</v>
      </c>
      <c r="C806" t="s">
        <v>10</v>
      </c>
      <c r="D806">
        <v>18</v>
      </c>
      <c r="E806" t="s">
        <v>84</v>
      </c>
      <c r="F806" t="s">
        <v>85</v>
      </c>
      <c r="G806">
        <v>1795</v>
      </c>
      <c r="H806" t="s">
        <v>96</v>
      </c>
      <c r="I806" t="s">
        <v>87</v>
      </c>
      <c r="J806">
        <v>3</v>
      </c>
      <c r="K806" t="s">
        <v>98</v>
      </c>
      <c r="L806" t="s">
        <v>103</v>
      </c>
      <c r="M806">
        <v>4</v>
      </c>
      <c r="N806" t="s">
        <v>90</v>
      </c>
      <c r="O806">
        <v>48</v>
      </c>
      <c r="P806" t="s">
        <v>122</v>
      </c>
      <c r="Q806" t="s">
        <v>112</v>
      </c>
      <c r="R806">
        <v>2</v>
      </c>
      <c r="S806" t="s">
        <v>101</v>
      </c>
      <c r="T806">
        <v>1</v>
      </c>
      <c r="U806" t="s">
        <v>93</v>
      </c>
      <c r="V806" t="s">
        <v>94</v>
      </c>
      <c r="W806">
        <v>1</v>
      </c>
      <c r="X806">
        <v>0</v>
      </c>
    </row>
    <row r="807" spans="2:24" x14ac:dyDescent="0.3">
      <c r="B807">
        <v>803</v>
      </c>
      <c r="C807" t="s">
        <v>8</v>
      </c>
      <c r="D807">
        <v>20</v>
      </c>
      <c r="E807" t="s">
        <v>84</v>
      </c>
      <c r="F807" t="s">
        <v>102</v>
      </c>
      <c r="G807">
        <v>4272</v>
      </c>
      <c r="H807" t="s">
        <v>96</v>
      </c>
      <c r="I807" t="s">
        <v>87</v>
      </c>
      <c r="J807">
        <v>1</v>
      </c>
      <c r="K807" t="s">
        <v>98</v>
      </c>
      <c r="L807" t="s">
        <v>89</v>
      </c>
      <c r="M807">
        <v>4</v>
      </c>
      <c r="N807" t="s">
        <v>104</v>
      </c>
      <c r="O807">
        <v>24</v>
      </c>
      <c r="P807" t="s">
        <v>89</v>
      </c>
      <c r="Q807" t="s">
        <v>91</v>
      </c>
      <c r="R807">
        <v>2</v>
      </c>
      <c r="S807" t="s">
        <v>92</v>
      </c>
      <c r="T807">
        <v>1</v>
      </c>
      <c r="U807" t="s">
        <v>89</v>
      </c>
      <c r="V807" t="s">
        <v>94</v>
      </c>
      <c r="W807">
        <v>1</v>
      </c>
      <c r="X807">
        <v>0</v>
      </c>
    </row>
    <row r="808" spans="2:24" x14ac:dyDescent="0.3">
      <c r="B808">
        <v>804</v>
      </c>
      <c r="C808" t="s">
        <v>12</v>
      </c>
      <c r="D808">
        <v>12</v>
      </c>
      <c r="E808" t="s">
        <v>84</v>
      </c>
      <c r="F808" t="s">
        <v>85</v>
      </c>
      <c r="G808">
        <v>976</v>
      </c>
      <c r="H808" t="s">
        <v>86</v>
      </c>
      <c r="I808" t="s">
        <v>87</v>
      </c>
      <c r="J808">
        <v>4</v>
      </c>
      <c r="K808" t="s">
        <v>88</v>
      </c>
      <c r="L808" t="s">
        <v>89</v>
      </c>
      <c r="M808">
        <v>4</v>
      </c>
      <c r="N808" t="s">
        <v>111</v>
      </c>
      <c r="O808">
        <v>35</v>
      </c>
      <c r="P808" t="s">
        <v>89</v>
      </c>
      <c r="Q808" t="s">
        <v>91</v>
      </c>
      <c r="R808">
        <v>2</v>
      </c>
      <c r="S808" t="s">
        <v>92</v>
      </c>
      <c r="T808">
        <v>1</v>
      </c>
      <c r="U808" t="s">
        <v>89</v>
      </c>
      <c r="V808" t="s">
        <v>94</v>
      </c>
      <c r="W808">
        <v>1</v>
      </c>
      <c r="X808">
        <v>0</v>
      </c>
    </row>
    <row r="809" spans="2:24" x14ac:dyDescent="0.3">
      <c r="B809">
        <v>805</v>
      </c>
      <c r="C809" t="s">
        <v>10</v>
      </c>
      <c r="D809">
        <v>12</v>
      </c>
      <c r="E809" t="s">
        <v>95</v>
      </c>
      <c r="F809" t="s">
        <v>107</v>
      </c>
      <c r="G809">
        <v>7472</v>
      </c>
      <c r="H809" t="s">
        <v>86</v>
      </c>
      <c r="I809" t="s">
        <v>116</v>
      </c>
      <c r="J809">
        <v>1</v>
      </c>
      <c r="K809" t="s">
        <v>98</v>
      </c>
      <c r="L809" t="s">
        <v>89</v>
      </c>
      <c r="M809">
        <v>2</v>
      </c>
      <c r="N809" t="s">
        <v>90</v>
      </c>
      <c r="O809">
        <v>24</v>
      </c>
      <c r="P809" t="s">
        <v>89</v>
      </c>
      <c r="Q809" t="s">
        <v>112</v>
      </c>
      <c r="R809">
        <v>1</v>
      </c>
      <c r="S809" t="s">
        <v>129</v>
      </c>
      <c r="T809">
        <v>1</v>
      </c>
      <c r="U809" t="s">
        <v>89</v>
      </c>
      <c r="V809" t="s">
        <v>94</v>
      </c>
      <c r="W809">
        <v>1</v>
      </c>
      <c r="X809">
        <v>0</v>
      </c>
    </row>
    <row r="810" spans="2:24" x14ac:dyDescent="0.3">
      <c r="B810">
        <v>806</v>
      </c>
      <c r="C810" t="s">
        <v>8</v>
      </c>
      <c r="D810">
        <v>36</v>
      </c>
      <c r="E810" t="s">
        <v>95</v>
      </c>
      <c r="F810" t="s">
        <v>107</v>
      </c>
      <c r="G810">
        <v>9271</v>
      </c>
      <c r="H810" t="s">
        <v>96</v>
      </c>
      <c r="I810" t="s">
        <v>100</v>
      </c>
      <c r="J810">
        <v>2</v>
      </c>
      <c r="K810" t="s">
        <v>88</v>
      </c>
      <c r="L810" t="s">
        <v>89</v>
      </c>
      <c r="M810">
        <v>1</v>
      </c>
      <c r="N810" t="s">
        <v>111</v>
      </c>
      <c r="O810">
        <v>24</v>
      </c>
      <c r="P810" t="s">
        <v>89</v>
      </c>
      <c r="Q810" t="s">
        <v>91</v>
      </c>
      <c r="R810">
        <v>1</v>
      </c>
      <c r="S810" t="s">
        <v>92</v>
      </c>
      <c r="T810">
        <v>1</v>
      </c>
      <c r="U810" t="s">
        <v>93</v>
      </c>
      <c r="V810" t="s">
        <v>94</v>
      </c>
      <c r="W810">
        <v>2</v>
      </c>
      <c r="X810">
        <v>1</v>
      </c>
    </row>
    <row r="811" spans="2:24" x14ac:dyDescent="0.3">
      <c r="B811">
        <v>807</v>
      </c>
      <c r="C811" t="s">
        <v>10</v>
      </c>
      <c r="D811">
        <v>6</v>
      </c>
      <c r="E811" t="s">
        <v>95</v>
      </c>
      <c r="F811" t="s">
        <v>85</v>
      </c>
      <c r="G811">
        <v>590</v>
      </c>
      <c r="H811" t="s">
        <v>96</v>
      </c>
      <c r="I811" t="s">
        <v>118</v>
      </c>
      <c r="J811">
        <v>3</v>
      </c>
      <c r="K811" t="s">
        <v>117</v>
      </c>
      <c r="L811" t="s">
        <v>89</v>
      </c>
      <c r="M811">
        <v>3</v>
      </c>
      <c r="N811" t="s">
        <v>90</v>
      </c>
      <c r="O811">
        <v>26</v>
      </c>
      <c r="P811" t="s">
        <v>89</v>
      </c>
      <c r="Q811" t="s">
        <v>91</v>
      </c>
      <c r="R811">
        <v>1</v>
      </c>
      <c r="S811" t="s">
        <v>101</v>
      </c>
      <c r="T811">
        <v>1</v>
      </c>
      <c r="U811" t="s">
        <v>89</v>
      </c>
      <c r="V811" t="s">
        <v>123</v>
      </c>
      <c r="W811">
        <v>1</v>
      </c>
      <c r="X811">
        <v>0</v>
      </c>
    </row>
    <row r="812" spans="2:24" x14ac:dyDescent="0.3">
      <c r="B812">
        <v>808</v>
      </c>
      <c r="C812" t="s">
        <v>12</v>
      </c>
      <c r="D812">
        <v>12</v>
      </c>
      <c r="E812" t="s">
        <v>84</v>
      </c>
      <c r="F812" t="s">
        <v>85</v>
      </c>
      <c r="G812">
        <v>930</v>
      </c>
      <c r="H812" t="s">
        <v>86</v>
      </c>
      <c r="I812" t="s">
        <v>87</v>
      </c>
      <c r="J812">
        <v>4</v>
      </c>
      <c r="K812" t="s">
        <v>88</v>
      </c>
      <c r="L812" t="s">
        <v>89</v>
      </c>
      <c r="M812">
        <v>4</v>
      </c>
      <c r="N812" t="s">
        <v>90</v>
      </c>
      <c r="O812">
        <v>65</v>
      </c>
      <c r="P812" t="s">
        <v>89</v>
      </c>
      <c r="Q812" t="s">
        <v>91</v>
      </c>
      <c r="R812">
        <v>4</v>
      </c>
      <c r="S812" t="s">
        <v>92</v>
      </c>
      <c r="T812">
        <v>1</v>
      </c>
      <c r="U812" t="s">
        <v>89</v>
      </c>
      <c r="V812" t="s">
        <v>94</v>
      </c>
      <c r="W812">
        <v>1</v>
      </c>
      <c r="X812">
        <v>0</v>
      </c>
    </row>
    <row r="813" spans="2:24" x14ac:dyDescent="0.3">
      <c r="B813">
        <v>809</v>
      </c>
      <c r="C813" t="s">
        <v>10</v>
      </c>
      <c r="D813">
        <v>42</v>
      </c>
      <c r="E813" t="s">
        <v>124</v>
      </c>
      <c r="F813" t="s">
        <v>110</v>
      </c>
      <c r="G813">
        <v>9283</v>
      </c>
      <c r="H813" t="s">
        <v>96</v>
      </c>
      <c r="I813" t="s">
        <v>116</v>
      </c>
      <c r="J813">
        <v>1</v>
      </c>
      <c r="K813" t="s">
        <v>88</v>
      </c>
      <c r="L813" t="s">
        <v>89</v>
      </c>
      <c r="M813">
        <v>2</v>
      </c>
      <c r="N813" t="s">
        <v>108</v>
      </c>
      <c r="O813">
        <v>55</v>
      </c>
      <c r="P813" t="s">
        <v>122</v>
      </c>
      <c r="Q813" t="s">
        <v>105</v>
      </c>
      <c r="R813">
        <v>1</v>
      </c>
      <c r="S813" t="s">
        <v>113</v>
      </c>
      <c r="T813">
        <v>1</v>
      </c>
      <c r="U813" t="s">
        <v>93</v>
      </c>
      <c r="V813" t="s">
        <v>94</v>
      </c>
      <c r="W813">
        <v>1</v>
      </c>
      <c r="X813">
        <v>0</v>
      </c>
    </row>
    <row r="814" spans="2:24" x14ac:dyDescent="0.3">
      <c r="B814">
        <v>810</v>
      </c>
      <c r="C814" t="s">
        <v>10</v>
      </c>
      <c r="D814">
        <v>15</v>
      </c>
      <c r="E814" t="s">
        <v>121</v>
      </c>
      <c r="F814" t="s">
        <v>107</v>
      </c>
      <c r="G814">
        <v>1778</v>
      </c>
      <c r="H814" t="s">
        <v>96</v>
      </c>
      <c r="I814" t="s">
        <v>118</v>
      </c>
      <c r="J814">
        <v>2</v>
      </c>
      <c r="K814" t="s">
        <v>98</v>
      </c>
      <c r="L814" t="s">
        <v>89</v>
      </c>
      <c r="M814">
        <v>1</v>
      </c>
      <c r="N814" t="s">
        <v>90</v>
      </c>
      <c r="O814">
        <v>26</v>
      </c>
      <c r="P814" t="s">
        <v>89</v>
      </c>
      <c r="Q814" t="s">
        <v>112</v>
      </c>
      <c r="R814">
        <v>2</v>
      </c>
      <c r="S814" t="s">
        <v>129</v>
      </c>
      <c r="T814">
        <v>1</v>
      </c>
      <c r="U814" t="s">
        <v>89</v>
      </c>
      <c r="V814" t="s">
        <v>94</v>
      </c>
      <c r="W814">
        <v>2</v>
      </c>
      <c r="X814">
        <v>1</v>
      </c>
    </row>
    <row r="815" spans="2:24" x14ac:dyDescent="0.3">
      <c r="B815">
        <v>811</v>
      </c>
      <c r="C815" t="s">
        <v>10</v>
      </c>
      <c r="D815">
        <v>8</v>
      </c>
      <c r="E815" t="s">
        <v>95</v>
      </c>
      <c r="F815" t="s">
        <v>119</v>
      </c>
      <c r="G815">
        <v>907</v>
      </c>
      <c r="H815" t="s">
        <v>96</v>
      </c>
      <c r="I815" t="s">
        <v>118</v>
      </c>
      <c r="J815">
        <v>3</v>
      </c>
      <c r="K815" t="s">
        <v>117</v>
      </c>
      <c r="L815" t="s">
        <v>89</v>
      </c>
      <c r="M815">
        <v>2</v>
      </c>
      <c r="N815" t="s">
        <v>90</v>
      </c>
      <c r="O815">
        <v>26</v>
      </c>
      <c r="P815" t="s">
        <v>89</v>
      </c>
      <c r="Q815" t="s">
        <v>91</v>
      </c>
      <c r="R815">
        <v>1</v>
      </c>
      <c r="S815" t="s">
        <v>92</v>
      </c>
      <c r="T815">
        <v>1</v>
      </c>
      <c r="U815" t="s">
        <v>93</v>
      </c>
      <c r="V815" t="s">
        <v>94</v>
      </c>
      <c r="W815">
        <v>1</v>
      </c>
      <c r="X815">
        <v>0</v>
      </c>
    </row>
    <row r="816" spans="2:24" x14ac:dyDescent="0.3">
      <c r="B816">
        <v>812</v>
      </c>
      <c r="C816" t="s">
        <v>10</v>
      </c>
      <c r="D816">
        <v>6</v>
      </c>
      <c r="E816" t="s">
        <v>95</v>
      </c>
      <c r="F816" t="s">
        <v>85</v>
      </c>
      <c r="G816">
        <v>484</v>
      </c>
      <c r="H816" t="s">
        <v>96</v>
      </c>
      <c r="I816" t="s">
        <v>100</v>
      </c>
      <c r="J816">
        <v>3</v>
      </c>
      <c r="K816" t="s">
        <v>117</v>
      </c>
      <c r="L816" t="s">
        <v>103</v>
      </c>
      <c r="M816">
        <v>3</v>
      </c>
      <c r="N816" t="s">
        <v>90</v>
      </c>
      <c r="O816">
        <v>28</v>
      </c>
      <c r="P816" t="s">
        <v>122</v>
      </c>
      <c r="Q816" t="s">
        <v>91</v>
      </c>
      <c r="R816">
        <v>1</v>
      </c>
      <c r="S816" t="s">
        <v>101</v>
      </c>
      <c r="T816">
        <v>1</v>
      </c>
      <c r="U816" t="s">
        <v>89</v>
      </c>
      <c r="V816" t="s">
        <v>94</v>
      </c>
      <c r="W816">
        <v>1</v>
      </c>
      <c r="X816">
        <v>0</v>
      </c>
    </row>
    <row r="817" spans="2:24" x14ac:dyDescent="0.3">
      <c r="B817">
        <v>813</v>
      </c>
      <c r="C817" t="s">
        <v>8</v>
      </c>
      <c r="D817">
        <v>36</v>
      </c>
      <c r="E817" t="s">
        <v>84</v>
      </c>
      <c r="F817" t="s">
        <v>110</v>
      </c>
      <c r="G817">
        <v>9629</v>
      </c>
      <c r="H817" t="s">
        <v>96</v>
      </c>
      <c r="I817" t="s">
        <v>100</v>
      </c>
      <c r="J817">
        <v>4</v>
      </c>
      <c r="K817" t="s">
        <v>88</v>
      </c>
      <c r="L817" t="s">
        <v>89</v>
      </c>
      <c r="M817">
        <v>4</v>
      </c>
      <c r="N817" t="s">
        <v>111</v>
      </c>
      <c r="O817">
        <v>24</v>
      </c>
      <c r="P817" t="s">
        <v>89</v>
      </c>
      <c r="Q817" t="s">
        <v>91</v>
      </c>
      <c r="R817">
        <v>2</v>
      </c>
      <c r="S817" t="s">
        <v>92</v>
      </c>
      <c r="T817">
        <v>1</v>
      </c>
      <c r="U817" t="s">
        <v>93</v>
      </c>
      <c r="V817" t="s">
        <v>94</v>
      </c>
      <c r="W817">
        <v>2</v>
      </c>
      <c r="X817">
        <v>1</v>
      </c>
    </row>
    <row r="818" spans="2:24" x14ac:dyDescent="0.3">
      <c r="B818">
        <v>814</v>
      </c>
      <c r="C818" t="s">
        <v>8</v>
      </c>
      <c r="D818">
        <v>48</v>
      </c>
      <c r="E818" t="s">
        <v>95</v>
      </c>
      <c r="F818" t="s">
        <v>127</v>
      </c>
      <c r="G818">
        <v>3051</v>
      </c>
      <c r="H818" t="s">
        <v>96</v>
      </c>
      <c r="I818" t="s">
        <v>97</v>
      </c>
      <c r="J818">
        <v>3</v>
      </c>
      <c r="K818" t="s">
        <v>88</v>
      </c>
      <c r="L818" t="s">
        <v>89</v>
      </c>
      <c r="M818">
        <v>4</v>
      </c>
      <c r="N818" t="s">
        <v>111</v>
      </c>
      <c r="O818">
        <v>54</v>
      </c>
      <c r="P818" t="s">
        <v>89</v>
      </c>
      <c r="Q818" t="s">
        <v>91</v>
      </c>
      <c r="R818">
        <v>1</v>
      </c>
      <c r="S818" t="s">
        <v>92</v>
      </c>
      <c r="T818">
        <v>1</v>
      </c>
      <c r="U818" t="s">
        <v>89</v>
      </c>
      <c r="V818" t="s">
        <v>94</v>
      </c>
      <c r="W818">
        <v>2</v>
      </c>
      <c r="X818">
        <v>1</v>
      </c>
    </row>
    <row r="819" spans="2:24" x14ac:dyDescent="0.3">
      <c r="B819">
        <v>815</v>
      </c>
      <c r="C819" t="s">
        <v>8</v>
      </c>
      <c r="D819">
        <v>48</v>
      </c>
      <c r="E819" t="s">
        <v>95</v>
      </c>
      <c r="F819" t="s">
        <v>107</v>
      </c>
      <c r="G819">
        <v>3931</v>
      </c>
      <c r="H819" t="s">
        <v>96</v>
      </c>
      <c r="I819" t="s">
        <v>100</v>
      </c>
      <c r="J819">
        <v>4</v>
      </c>
      <c r="K819" t="s">
        <v>88</v>
      </c>
      <c r="L819" t="s">
        <v>89</v>
      </c>
      <c r="M819">
        <v>4</v>
      </c>
      <c r="N819" t="s">
        <v>108</v>
      </c>
      <c r="O819">
        <v>46</v>
      </c>
      <c r="P819" t="s">
        <v>89</v>
      </c>
      <c r="Q819" t="s">
        <v>105</v>
      </c>
      <c r="R819">
        <v>1</v>
      </c>
      <c r="S819" t="s">
        <v>92</v>
      </c>
      <c r="T819">
        <v>2</v>
      </c>
      <c r="U819" t="s">
        <v>89</v>
      </c>
      <c r="V819" t="s">
        <v>94</v>
      </c>
      <c r="W819">
        <v>2</v>
      </c>
      <c r="X819">
        <v>1</v>
      </c>
    </row>
    <row r="820" spans="2:24" x14ac:dyDescent="0.3">
      <c r="B820">
        <v>816</v>
      </c>
      <c r="C820" t="s">
        <v>10</v>
      </c>
      <c r="D820">
        <v>36</v>
      </c>
      <c r="E820" t="s">
        <v>106</v>
      </c>
      <c r="F820" t="s">
        <v>107</v>
      </c>
      <c r="G820">
        <v>7432</v>
      </c>
      <c r="H820" t="s">
        <v>96</v>
      </c>
      <c r="I820" t="s">
        <v>97</v>
      </c>
      <c r="J820">
        <v>2</v>
      </c>
      <c r="K820" t="s">
        <v>98</v>
      </c>
      <c r="L820" t="s">
        <v>89</v>
      </c>
      <c r="M820">
        <v>2</v>
      </c>
      <c r="N820" t="s">
        <v>104</v>
      </c>
      <c r="O820">
        <v>54</v>
      </c>
      <c r="P820" t="s">
        <v>89</v>
      </c>
      <c r="Q820" t="s">
        <v>112</v>
      </c>
      <c r="R820">
        <v>1</v>
      </c>
      <c r="S820" t="s">
        <v>92</v>
      </c>
      <c r="T820">
        <v>1</v>
      </c>
      <c r="U820" t="s">
        <v>89</v>
      </c>
      <c r="V820" t="s">
        <v>94</v>
      </c>
      <c r="W820">
        <v>1</v>
      </c>
      <c r="X820">
        <v>0</v>
      </c>
    </row>
    <row r="821" spans="2:24" x14ac:dyDescent="0.3">
      <c r="B821">
        <v>817</v>
      </c>
      <c r="C821" t="s">
        <v>12</v>
      </c>
      <c r="D821">
        <v>6</v>
      </c>
      <c r="E821" t="s">
        <v>95</v>
      </c>
      <c r="F821" t="s">
        <v>127</v>
      </c>
      <c r="G821">
        <v>1338</v>
      </c>
      <c r="H821" t="s">
        <v>109</v>
      </c>
      <c r="I821" t="s">
        <v>97</v>
      </c>
      <c r="J821">
        <v>1</v>
      </c>
      <c r="K821" t="s">
        <v>115</v>
      </c>
      <c r="L821" t="s">
        <v>89</v>
      </c>
      <c r="M821">
        <v>4</v>
      </c>
      <c r="N821" t="s">
        <v>90</v>
      </c>
      <c r="O821">
        <v>62</v>
      </c>
      <c r="P821" t="s">
        <v>89</v>
      </c>
      <c r="Q821" t="s">
        <v>91</v>
      </c>
      <c r="R821">
        <v>1</v>
      </c>
      <c r="S821" t="s">
        <v>92</v>
      </c>
      <c r="T821">
        <v>1</v>
      </c>
      <c r="U821" t="s">
        <v>89</v>
      </c>
      <c r="V821" t="s">
        <v>94</v>
      </c>
      <c r="W821">
        <v>1</v>
      </c>
      <c r="X821">
        <v>0</v>
      </c>
    </row>
    <row r="822" spans="2:24" x14ac:dyDescent="0.3">
      <c r="B822">
        <v>818</v>
      </c>
      <c r="C822" t="s">
        <v>12</v>
      </c>
      <c r="D822">
        <v>6</v>
      </c>
      <c r="E822" t="s">
        <v>84</v>
      </c>
      <c r="F822" t="s">
        <v>85</v>
      </c>
      <c r="G822">
        <v>1554</v>
      </c>
      <c r="H822" t="s">
        <v>96</v>
      </c>
      <c r="I822" t="s">
        <v>100</v>
      </c>
      <c r="J822">
        <v>1</v>
      </c>
      <c r="K822" t="s">
        <v>98</v>
      </c>
      <c r="L822" t="s">
        <v>89</v>
      </c>
      <c r="M822">
        <v>2</v>
      </c>
      <c r="N822" t="s">
        <v>111</v>
      </c>
      <c r="O822">
        <v>24</v>
      </c>
      <c r="P822" t="s">
        <v>89</v>
      </c>
      <c r="Q822" t="s">
        <v>112</v>
      </c>
      <c r="R822">
        <v>2</v>
      </c>
      <c r="S822" t="s">
        <v>92</v>
      </c>
      <c r="T822">
        <v>1</v>
      </c>
      <c r="U822" t="s">
        <v>93</v>
      </c>
      <c r="V822" t="s">
        <v>94</v>
      </c>
      <c r="W822">
        <v>1</v>
      </c>
      <c r="X822">
        <v>0</v>
      </c>
    </row>
    <row r="823" spans="2:24" x14ac:dyDescent="0.3">
      <c r="B823">
        <v>819</v>
      </c>
      <c r="C823" t="s">
        <v>8</v>
      </c>
      <c r="D823">
        <v>36</v>
      </c>
      <c r="E823" t="s">
        <v>95</v>
      </c>
      <c r="F823" t="s">
        <v>130</v>
      </c>
      <c r="G823">
        <v>15857</v>
      </c>
      <c r="H823" t="s">
        <v>96</v>
      </c>
      <c r="I823" t="s">
        <v>116</v>
      </c>
      <c r="J823">
        <v>2</v>
      </c>
      <c r="K823" t="s">
        <v>115</v>
      </c>
      <c r="L823" t="s">
        <v>126</v>
      </c>
      <c r="M823">
        <v>3</v>
      </c>
      <c r="N823" t="s">
        <v>111</v>
      </c>
      <c r="O823">
        <v>43</v>
      </c>
      <c r="P823" t="s">
        <v>89</v>
      </c>
      <c r="Q823" t="s">
        <v>91</v>
      </c>
      <c r="R823">
        <v>1</v>
      </c>
      <c r="S823" t="s">
        <v>113</v>
      </c>
      <c r="T823">
        <v>1</v>
      </c>
      <c r="U823" t="s">
        <v>89</v>
      </c>
      <c r="V823" t="s">
        <v>94</v>
      </c>
      <c r="W823">
        <v>1</v>
      </c>
      <c r="X823">
        <v>0</v>
      </c>
    </row>
    <row r="824" spans="2:24" x14ac:dyDescent="0.3">
      <c r="B824">
        <v>820</v>
      </c>
      <c r="C824" t="s">
        <v>8</v>
      </c>
      <c r="D824">
        <v>18</v>
      </c>
      <c r="E824" t="s">
        <v>95</v>
      </c>
      <c r="F824" t="s">
        <v>85</v>
      </c>
      <c r="G824">
        <v>1345</v>
      </c>
      <c r="H824" t="s">
        <v>96</v>
      </c>
      <c r="I824" t="s">
        <v>97</v>
      </c>
      <c r="J824">
        <v>4</v>
      </c>
      <c r="K824" t="s">
        <v>117</v>
      </c>
      <c r="L824" t="s">
        <v>89</v>
      </c>
      <c r="M824">
        <v>3</v>
      </c>
      <c r="N824" t="s">
        <v>90</v>
      </c>
      <c r="O824">
        <v>26</v>
      </c>
      <c r="P824" t="s">
        <v>122</v>
      </c>
      <c r="Q824" t="s">
        <v>91</v>
      </c>
      <c r="R824">
        <v>1</v>
      </c>
      <c r="S824" t="s">
        <v>92</v>
      </c>
      <c r="T824">
        <v>1</v>
      </c>
      <c r="U824" t="s">
        <v>89</v>
      </c>
      <c r="V824" t="s">
        <v>94</v>
      </c>
      <c r="W824">
        <v>2</v>
      </c>
      <c r="X824">
        <v>1</v>
      </c>
    </row>
    <row r="825" spans="2:24" x14ac:dyDescent="0.3">
      <c r="B825">
        <v>821</v>
      </c>
      <c r="C825" t="s">
        <v>12</v>
      </c>
      <c r="D825">
        <v>12</v>
      </c>
      <c r="E825" t="s">
        <v>95</v>
      </c>
      <c r="F825" t="s">
        <v>107</v>
      </c>
      <c r="G825">
        <v>1101</v>
      </c>
      <c r="H825" t="s">
        <v>96</v>
      </c>
      <c r="I825" t="s">
        <v>97</v>
      </c>
      <c r="J825">
        <v>3</v>
      </c>
      <c r="K825" t="s">
        <v>117</v>
      </c>
      <c r="L825" t="s">
        <v>89</v>
      </c>
      <c r="M825">
        <v>2</v>
      </c>
      <c r="N825" t="s">
        <v>90</v>
      </c>
      <c r="O825">
        <v>27</v>
      </c>
      <c r="P825" t="s">
        <v>89</v>
      </c>
      <c r="Q825" t="s">
        <v>91</v>
      </c>
      <c r="R825">
        <v>2</v>
      </c>
      <c r="S825" t="s">
        <v>92</v>
      </c>
      <c r="T825">
        <v>1</v>
      </c>
      <c r="U825" t="s">
        <v>93</v>
      </c>
      <c r="V825" t="s">
        <v>94</v>
      </c>
      <c r="W825">
        <v>1</v>
      </c>
      <c r="X825">
        <v>0</v>
      </c>
    </row>
    <row r="826" spans="2:24" x14ac:dyDescent="0.3">
      <c r="B826">
        <v>822</v>
      </c>
      <c r="C826" t="s">
        <v>11</v>
      </c>
      <c r="D826">
        <v>12</v>
      </c>
      <c r="E826" t="s">
        <v>95</v>
      </c>
      <c r="F826" t="s">
        <v>85</v>
      </c>
      <c r="G826">
        <v>3016</v>
      </c>
      <c r="H826" t="s">
        <v>96</v>
      </c>
      <c r="I826" t="s">
        <v>97</v>
      </c>
      <c r="J826">
        <v>3</v>
      </c>
      <c r="K826" t="s">
        <v>117</v>
      </c>
      <c r="L826" t="s">
        <v>89</v>
      </c>
      <c r="M826">
        <v>1</v>
      </c>
      <c r="N826" t="s">
        <v>111</v>
      </c>
      <c r="O826">
        <v>24</v>
      </c>
      <c r="P826" t="s">
        <v>89</v>
      </c>
      <c r="Q826" t="s">
        <v>91</v>
      </c>
      <c r="R826">
        <v>1</v>
      </c>
      <c r="S826" t="s">
        <v>92</v>
      </c>
      <c r="T826">
        <v>1</v>
      </c>
      <c r="U826" t="s">
        <v>89</v>
      </c>
      <c r="V826" t="s">
        <v>94</v>
      </c>
      <c r="W826">
        <v>1</v>
      </c>
      <c r="X826">
        <v>0</v>
      </c>
    </row>
    <row r="827" spans="2:24" x14ac:dyDescent="0.3">
      <c r="B827">
        <v>823</v>
      </c>
      <c r="C827" t="s">
        <v>8</v>
      </c>
      <c r="D827">
        <v>36</v>
      </c>
      <c r="E827" t="s">
        <v>95</v>
      </c>
      <c r="F827" t="s">
        <v>102</v>
      </c>
      <c r="G827">
        <v>2712</v>
      </c>
      <c r="H827" t="s">
        <v>96</v>
      </c>
      <c r="I827" t="s">
        <v>87</v>
      </c>
      <c r="J827">
        <v>2</v>
      </c>
      <c r="K827" t="s">
        <v>88</v>
      </c>
      <c r="L827" t="s">
        <v>89</v>
      </c>
      <c r="M827">
        <v>2</v>
      </c>
      <c r="N827" t="s">
        <v>104</v>
      </c>
      <c r="O827">
        <v>41</v>
      </c>
      <c r="P827" t="s">
        <v>122</v>
      </c>
      <c r="Q827" t="s">
        <v>91</v>
      </c>
      <c r="R827">
        <v>1</v>
      </c>
      <c r="S827" t="s">
        <v>92</v>
      </c>
      <c r="T827">
        <v>2</v>
      </c>
      <c r="U827" t="s">
        <v>89</v>
      </c>
      <c r="V827" t="s">
        <v>94</v>
      </c>
      <c r="W827">
        <v>2</v>
      </c>
      <c r="X827">
        <v>1</v>
      </c>
    </row>
    <row r="828" spans="2:24" x14ac:dyDescent="0.3">
      <c r="B828">
        <v>824</v>
      </c>
      <c r="C828" t="s">
        <v>8</v>
      </c>
      <c r="D828">
        <v>8</v>
      </c>
      <c r="E828" t="s">
        <v>84</v>
      </c>
      <c r="F828" t="s">
        <v>107</v>
      </c>
      <c r="G828">
        <v>731</v>
      </c>
      <c r="H828" t="s">
        <v>96</v>
      </c>
      <c r="I828" t="s">
        <v>87</v>
      </c>
      <c r="J828">
        <v>4</v>
      </c>
      <c r="K828" t="s">
        <v>88</v>
      </c>
      <c r="L828" t="s">
        <v>89</v>
      </c>
      <c r="M828">
        <v>4</v>
      </c>
      <c r="N828" t="s">
        <v>90</v>
      </c>
      <c r="O828">
        <v>47</v>
      </c>
      <c r="P828" t="s">
        <v>89</v>
      </c>
      <c r="Q828" t="s">
        <v>91</v>
      </c>
      <c r="R828">
        <v>2</v>
      </c>
      <c r="S828" t="s">
        <v>101</v>
      </c>
      <c r="T828">
        <v>1</v>
      </c>
      <c r="U828" t="s">
        <v>89</v>
      </c>
      <c r="V828" t="s">
        <v>94</v>
      </c>
      <c r="W828">
        <v>1</v>
      </c>
      <c r="X828">
        <v>0</v>
      </c>
    </row>
    <row r="829" spans="2:24" x14ac:dyDescent="0.3">
      <c r="B829">
        <v>825</v>
      </c>
      <c r="C829" t="s">
        <v>12</v>
      </c>
      <c r="D829">
        <v>18</v>
      </c>
      <c r="E829" t="s">
        <v>84</v>
      </c>
      <c r="F829" t="s">
        <v>102</v>
      </c>
      <c r="G829">
        <v>3780</v>
      </c>
      <c r="H829" t="s">
        <v>96</v>
      </c>
      <c r="I829" t="s">
        <v>118</v>
      </c>
      <c r="J829">
        <v>3</v>
      </c>
      <c r="K829" t="s">
        <v>115</v>
      </c>
      <c r="L829" t="s">
        <v>89</v>
      </c>
      <c r="M829">
        <v>2</v>
      </c>
      <c r="N829" t="s">
        <v>111</v>
      </c>
      <c r="O829">
        <v>35</v>
      </c>
      <c r="P829" t="s">
        <v>89</v>
      </c>
      <c r="Q829" t="s">
        <v>91</v>
      </c>
      <c r="R829">
        <v>2</v>
      </c>
      <c r="S829" t="s">
        <v>113</v>
      </c>
      <c r="T829">
        <v>1</v>
      </c>
      <c r="U829" t="s">
        <v>93</v>
      </c>
      <c r="V829" t="s">
        <v>94</v>
      </c>
      <c r="W829">
        <v>1</v>
      </c>
      <c r="X829">
        <v>0</v>
      </c>
    </row>
    <row r="830" spans="2:24" x14ac:dyDescent="0.3">
      <c r="B830">
        <v>826</v>
      </c>
      <c r="C830" t="s">
        <v>8</v>
      </c>
      <c r="D830">
        <v>21</v>
      </c>
      <c r="E830" t="s">
        <v>84</v>
      </c>
      <c r="F830" t="s">
        <v>107</v>
      </c>
      <c r="G830">
        <v>1602</v>
      </c>
      <c r="H830" t="s">
        <v>96</v>
      </c>
      <c r="I830" t="s">
        <v>87</v>
      </c>
      <c r="J830">
        <v>4</v>
      </c>
      <c r="K830" t="s">
        <v>117</v>
      </c>
      <c r="L830" t="s">
        <v>89</v>
      </c>
      <c r="M830">
        <v>3</v>
      </c>
      <c r="N830" t="s">
        <v>111</v>
      </c>
      <c r="O830">
        <v>30</v>
      </c>
      <c r="P830" t="s">
        <v>89</v>
      </c>
      <c r="Q830" t="s">
        <v>91</v>
      </c>
      <c r="R830">
        <v>2</v>
      </c>
      <c r="S830" t="s">
        <v>92</v>
      </c>
      <c r="T830">
        <v>1</v>
      </c>
      <c r="U830" t="s">
        <v>93</v>
      </c>
      <c r="V830" t="s">
        <v>94</v>
      </c>
      <c r="W830">
        <v>1</v>
      </c>
      <c r="X830">
        <v>0</v>
      </c>
    </row>
    <row r="831" spans="2:24" x14ac:dyDescent="0.3">
      <c r="B831">
        <v>827</v>
      </c>
      <c r="C831" t="s">
        <v>8</v>
      </c>
      <c r="D831">
        <v>18</v>
      </c>
      <c r="E831" t="s">
        <v>84</v>
      </c>
      <c r="F831" t="s">
        <v>107</v>
      </c>
      <c r="G831">
        <v>3966</v>
      </c>
      <c r="H831" t="s">
        <v>96</v>
      </c>
      <c r="I831" t="s">
        <v>87</v>
      </c>
      <c r="J831">
        <v>1</v>
      </c>
      <c r="K831" t="s">
        <v>98</v>
      </c>
      <c r="L831" t="s">
        <v>89</v>
      </c>
      <c r="M831">
        <v>4</v>
      </c>
      <c r="N831" t="s">
        <v>90</v>
      </c>
      <c r="O831">
        <v>33</v>
      </c>
      <c r="P831" t="s">
        <v>122</v>
      </c>
      <c r="Q831" t="s">
        <v>112</v>
      </c>
      <c r="R831">
        <v>3</v>
      </c>
      <c r="S831" t="s">
        <v>92</v>
      </c>
      <c r="T831">
        <v>1</v>
      </c>
      <c r="U831" t="s">
        <v>93</v>
      </c>
      <c r="V831" t="s">
        <v>94</v>
      </c>
      <c r="W831">
        <v>2</v>
      </c>
      <c r="X831">
        <v>1</v>
      </c>
    </row>
    <row r="832" spans="2:24" x14ac:dyDescent="0.3">
      <c r="B832">
        <v>828</v>
      </c>
      <c r="C832" t="s">
        <v>12</v>
      </c>
      <c r="D832">
        <v>18</v>
      </c>
      <c r="E832" t="s">
        <v>121</v>
      </c>
      <c r="F832" t="s">
        <v>119</v>
      </c>
      <c r="G832">
        <v>4165</v>
      </c>
      <c r="H832" t="s">
        <v>96</v>
      </c>
      <c r="I832" t="s">
        <v>97</v>
      </c>
      <c r="J832">
        <v>2</v>
      </c>
      <c r="K832" t="s">
        <v>88</v>
      </c>
      <c r="L832" t="s">
        <v>89</v>
      </c>
      <c r="M832">
        <v>2</v>
      </c>
      <c r="N832" t="s">
        <v>111</v>
      </c>
      <c r="O832">
        <v>36</v>
      </c>
      <c r="P832" t="s">
        <v>125</v>
      </c>
      <c r="Q832" t="s">
        <v>91</v>
      </c>
      <c r="R832">
        <v>2</v>
      </c>
      <c r="S832" t="s">
        <v>92</v>
      </c>
      <c r="T832">
        <v>2</v>
      </c>
      <c r="U832" t="s">
        <v>89</v>
      </c>
      <c r="V832" t="s">
        <v>94</v>
      </c>
      <c r="W832">
        <v>2</v>
      </c>
      <c r="X832">
        <v>1</v>
      </c>
    </row>
    <row r="833" spans="2:24" x14ac:dyDescent="0.3">
      <c r="B833">
        <v>829</v>
      </c>
      <c r="C833" t="s">
        <v>8</v>
      </c>
      <c r="D833">
        <v>36</v>
      </c>
      <c r="E833" t="s">
        <v>95</v>
      </c>
      <c r="F833" t="s">
        <v>110</v>
      </c>
      <c r="G833">
        <v>8335</v>
      </c>
      <c r="H833" t="s">
        <v>86</v>
      </c>
      <c r="I833" t="s">
        <v>87</v>
      </c>
      <c r="J833">
        <v>3</v>
      </c>
      <c r="K833" t="s">
        <v>88</v>
      </c>
      <c r="L833" t="s">
        <v>89</v>
      </c>
      <c r="M833">
        <v>4</v>
      </c>
      <c r="N833" t="s">
        <v>108</v>
      </c>
      <c r="O833">
        <v>47</v>
      </c>
      <c r="P833" t="s">
        <v>89</v>
      </c>
      <c r="Q833" t="s">
        <v>105</v>
      </c>
      <c r="R833">
        <v>1</v>
      </c>
      <c r="S833" t="s">
        <v>92</v>
      </c>
      <c r="T833">
        <v>1</v>
      </c>
      <c r="U833" t="s">
        <v>89</v>
      </c>
      <c r="V833" t="s">
        <v>94</v>
      </c>
      <c r="W833">
        <v>2</v>
      </c>
      <c r="X833">
        <v>1</v>
      </c>
    </row>
    <row r="834" spans="2:24" x14ac:dyDescent="0.3">
      <c r="B834">
        <v>830</v>
      </c>
      <c r="C834" t="s">
        <v>10</v>
      </c>
      <c r="D834">
        <v>48</v>
      </c>
      <c r="E834" t="s">
        <v>106</v>
      </c>
      <c r="F834" t="s">
        <v>119</v>
      </c>
      <c r="G834">
        <v>6681</v>
      </c>
      <c r="H834" t="s">
        <v>86</v>
      </c>
      <c r="I834" t="s">
        <v>97</v>
      </c>
      <c r="J834">
        <v>4</v>
      </c>
      <c r="K834" t="s">
        <v>88</v>
      </c>
      <c r="L834" t="s">
        <v>89</v>
      </c>
      <c r="M834">
        <v>4</v>
      </c>
      <c r="N834" t="s">
        <v>108</v>
      </c>
      <c r="O834">
        <v>38</v>
      </c>
      <c r="P834" t="s">
        <v>89</v>
      </c>
      <c r="Q834" t="s">
        <v>105</v>
      </c>
      <c r="R834">
        <v>1</v>
      </c>
      <c r="S834" t="s">
        <v>92</v>
      </c>
      <c r="T834">
        <v>2</v>
      </c>
      <c r="U834" t="s">
        <v>93</v>
      </c>
      <c r="V834" t="s">
        <v>94</v>
      </c>
      <c r="W834">
        <v>1</v>
      </c>
      <c r="X834">
        <v>0</v>
      </c>
    </row>
    <row r="835" spans="2:24" x14ac:dyDescent="0.3">
      <c r="B835">
        <v>831</v>
      </c>
      <c r="C835" t="s">
        <v>12</v>
      </c>
      <c r="D835">
        <v>24</v>
      </c>
      <c r="E835" t="s">
        <v>106</v>
      </c>
      <c r="F835" t="s">
        <v>119</v>
      </c>
      <c r="G835">
        <v>2375</v>
      </c>
      <c r="H835" t="s">
        <v>109</v>
      </c>
      <c r="I835" t="s">
        <v>97</v>
      </c>
      <c r="J835">
        <v>4</v>
      </c>
      <c r="K835" t="s">
        <v>88</v>
      </c>
      <c r="L835" t="s">
        <v>89</v>
      </c>
      <c r="M835">
        <v>2</v>
      </c>
      <c r="N835" t="s">
        <v>111</v>
      </c>
      <c r="O835">
        <v>44</v>
      </c>
      <c r="P835" t="s">
        <v>89</v>
      </c>
      <c r="Q835" t="s">
        <v>91</v>
      </c>
      <c r="R835">
        <v>2</v>
      </c>
      <c r="S835" t="s">
        <v>92</v>
      </c>
      <c r="T835">
        <v>2</v>
      </c>
      <c r="U835" t="s">
        <v>93</v>
      </c>
      <c r="V835" t="s">
        <v>94</v>
      </c>
      <c r="W835">
        <v>1</v>
      </c>
      <c r="X835">
        <v>0</v>
      </c>
    </row>
    <row r="836" spans="2:24" x14ac:dyDescent="0.3">
      <c r="B836">
        <v>832</v>
      </c>
      <c r="C836" t="s">
        <v>8</v>
      </c>
      <c r="D836">
        <v>18</v>
      </c>
      <c r="E836" t="s">
        <v>95</v>
      </c>
      <c r="F836" t="s">
        <v>107</v>
      </c>
      <c r="G836">
        <v>1216</v>
      </c>
      <c r="H836" t="s">
        <v>96</v>
      </c>
      <c r="I836" t="s">
        <v>118</v>
      </c>
      <c r="J836">
        <v>4</v>
      </c>
      <c r="K836" t="s">
        <v>98</v>
      </c>
      <c r="L836" t="s">
        <v>89</v>
      </c>
      <c r="M836">
        <v>3</v>
      </c>
      <c r="N836" t="s">
        <v>111</v>
      </c>
      <c r="O836">
        <v>23</v>
      </c>
      <c r="P836" t="s">
        <v>89</v>
      </c>
      <c r="Q836" t="s">
        <v>112</v>
      </c>
      <c r="R836">
        <v>1</v>
      </c>
      <c r="S836" t="s">
        <v>92</v>
      </c>
      <c r="T836">
        <v>1</v>
      </c>
      <c r="U836" t="s">
        <v>93</v>
      </c>
      <c r="V836" t="s">
        <v>94</v>
      </c>
      <c r="W836">
        <v>2</v>
      </c>
      <c r="X836">
        <v>1</v>
      </c>
    </row>
    <row r="837" spans="2:24" x14ac:dyDescent="0.3">
      <c r="B837">
        <v>833</v>
      </c>
      <c r="C837" t="s">
        <v>8</v>
      </c>
      <c r="D837">
        <v>45</v>
      </c>
      <c r="E837" t="s">
        <v>121</v>
      </c>
      <c r="F837" t="s">
        <v>119</v>
      </c>
      <c r="G837">
        <v>11816</v>
      </c>
      <c r="H837" t="s">
        <v>96</v>
      </c>
      <c r="I837" t="s">
        <v>87</v>
      </c>
      <c r="J837">
        <v>2</v>
      </c>
      <c r="K837" t="s">
        <v>88</v>
      </c>
      <c r="L837" t="s">
        <v>89</v>
      </c>
      <c r="M837">
        <v>4</v>
      </c>
      <c r="N837" t="s">
        <v>111</v>
      </c>
      <c r="O837">
        <v>29</v>
      </c>
      <c r="P837" t="s">
        <v>89</v>
      </c>
      <c r="Q837" t="s">
        <v>112</v>
      </c>
      <c r="R837">
        <v>2</v>
      </c>
      <c r="S837" t="s">
        <v>92</v>
      </c>
      <c r="T837">
        <v>1</v>
      </c>
      <c r="U837" t="s">
        <v>89</v>
      </c>
      <c r="V837" t="s">
        <v>94</v>
      </c>
      <c r="W837">
        <v>2</v>
      </c>
      <c r="X837">
        <v>1</v>
      </c>
    </row>
    <row r="838" spans="2:24" x14ac:dyDescent="0.3">
      <c r="B838">
        <v>834</v>
      </c>
      <c r="C838" t="s">
        <v>10</v>
      </c>
      <c r="D838">
        <v>24</v>
      </c>
      <c r="E838" t="s">
        <v>95</v>
      </c>
      <c r="F838" t="s">
        <v>85</v>
      </c>
      <c r="G838">
        <v>5084</v>
      </c>
      <c r="H838" t="s">
        <v>86</v>
      </c>
      <c r="I838" t="s">
        <v>87</v>
      </c>
      <c r="J838">
        <v>2</v>
      </c>
      <c r="K838" t="s">
        <v>98</v>
      </c>
      <c r="L838" t="s">
        <v>89</v>
      </c>
      <c r="M838">
        <v>4</v>
      </c>
      <c r="N838" t="s">
        <v>111</v>
      </c>
      <c r="O838">
        <v>42</v>
      </c>
      <c r="P838" t="s">
        <v>89</v>
      </c>
      <c r="Q838" t="s">
        <v>91</v>
      </c>
      <c r="R838">
        <v>1</v>
      </c>
      <c r="S838" t="s">
        <v>92</v>
      </c>
      <c r="T838">
        <v>1</v>
      </c>
      <c r="U838" t="s">
        <v>93</v>
      </c>
      <c r="V838" t="s">
        <v>94</v>
      </c>
      <c r="W838">
        <v>1</v>
      </c>
      <c r="X838">
        <v>0</v>
      </c>
    </row>
    <row r="839" spans="2:24" x14ac:dyDescent="0.3">
      <c r="B839">
        <v>835</v>
      </c>
      <c r="C839" t="s">
        <v>11</v>
      </c>
      <c r="D839">
        <v>15</v>
      </c>
      <c r="E839" t="s">
        <v>95</v>
      </c>
      <c r="F839" t="s">
        <v>85</v>
      </c>
      <c r="G839">
        <v>2327</v>
      </c>
      <c r="H839" t="s">
        <v>96</v>
      </c>
      <c r="I839" t="s">
        <v>118</v>
      </c>
      <c r="J839">
        <v>2</v>
      </c>
      <c r="K839" t="s">
        <v>98</v>
      </c>
      <c r="L839" t="s">
        <v>89</v>
      </c>
      <c r="M839">
        <v>3</v>
      </c>
      <c r="N839" t="s">
        <v>90</v>
      </c>
      <c r="O839">
        <v>25</v>
      </c>
      <c r="P839" t="s">
        <v>89</v>
      </c>
      <c r="Q839" t="s">
        <v>91</v>
      </c>
      <c r="R839">
        <v>1</v>
      </c>
      <c r="S839" t="s">
        <v>101</v>
      </c>
      <c r="T839">
        <v>1</v>
      </c>
      <c r="U839" t="s">
        <v>89</v>
      </c>
      <c r="V839" t="s">
        <v>94</v>
      </c>
      <c r="W839">
        <v>2</v>
      </c>
      <c r="X839">
        <v>1</v>
      </c>
    </row>
    <row r="840" spans="2:24" x14ac:dyDescent="0.3">
      <c r="B840">
        <v>836</v>
      </c>
      <c r="C840" t="s">
        <v>8</v>
      </c>
      <c r="D840">
        <v>12</v>
      </c>
      <c r="E840" t="s">
        <v>121</v>
      </c>
      <c r="F840" t="s">
        <v>107</v>
      </c>
      <c r="G840">
        <v>1082</v>
      </c>
      <c r="H840" t="s">
        <v>96</v>
      </c>
      <c r="I840" t="s">
        <v>97</v>
      </c>
      <c r="J840">
        <v>4</v>
      </c>
      <c r="K840" t="s">
        <v>88</v>
      </c>
      <c r="L840" t="s">
        <v>89</v>
      </c>
      <c r="M840">
        <v>4</v>
      </c>
      <c r="N840" t="s">
        <v>111</v>
      </c>
      <c r="O840">
        <v>48</v>
      </c>
      <c r="P840" t="s">
        <v>122</v>
      </c>
      <c r="Q840" t="s">
        <v>91</v>
      </c>
      <c r="R840">
        <v>2</v>
      </c>
      <c r="S840" t="s">
        <v>92</v>
      </c>
      <c r="T840">
        <v>1</v>
      </c>
      <c r="U840" t="s">
        <v>89</v>
      </c>
      <c r="V840" t="s">
        <v>94</v>
      </c>
      <c r="W840">
        <v>2</v>
      </c>
      <c r="X840">
        <v>1</v>
      </c>
    </row>
    <row r="841" spans="2:24" x14ac:dyDescent="0.3">
      <c r="B841">
        <v>837</v>
      </c>
      <c r="C841" t="s">
        <v>12</v>
      </c>
      <c r="D841">
        <v>12</v>
      </c>
      <c r="E841" t="s">
        <v>95</v>
      </c>
      <c r="F841" t="s">
        <v>85</v>
      </c>
      <c r="G841">
        <v>886</v>
      </c>
      <c r="H841" t="s">
        <v>86</v>
      </c>
      <c r="I841" t="s">
        <v>97</v>
      </c>
      <c r="J841">
        <v>4</v>
      </c>
      <c r="K841" t="s">
        <v>98</v>
      </c>
      <c r="L841" t="s">
        <v>89</v>
      </c>
      <c r="M841">
        <v>2</v>
      </c>
      <c r="N841" t="s">
        <v>111</v>
      </c>
      <c r="O841">
        <v>21</v>
      </c>
      <c r="P841" t="s">
        <v>89</v>
      </c>
      <c r="Q841" t="s">
        <v>91</v>
      </c>
      <c r="R841">
        <v>1</v>
      </c>
      <c r="S841" t="s">
        <v>92</v>
      </c>
      <c r="T841">
        <v>1</v>
      </c>
      <c r="U841" t="s">
        <v>89</v>
      </c>
      <c r="V841" t="s">
        <v>94</v>
      </c>
      <c r="W841">
        <v>1</v>
      </c>
      <c r="X841">
        <v>0</v>
      </c>
    </row>
    <row r="842" spans="2:24" x14ac:dyDescent="0.3">
      <c r="B842">
        <v>838</v>
      </c>
      <c r="C842" t="s">
        <v>12</v>
      </c>
      <c r="D842">
        <v>4</v>
      </c>
      <c r="E842" t="s">
        <v>95</v>
      </c>
      <c r="F842" t="s">
        <v>102</v>
      </c>
      <c r="G842">
        <v>601</v>
      </c>
      <c r="H842" t="s">
        <v>96</v>
      </c>
      <c r="I842" t="s">
        <v>118</v>
      </c>
      <c r="J842">
        <v>1</v>
      </c>
      <c r="K842" t="s">
        <v>98</v>
      </c>
      <c r="L842" t="s">
        <v>89</v>
      </c>
      <c r="M842">
        <v>3</v>
      </c>
      <c r="N842" t="s">
        <v>90</v>
      </c>
      <c r="O842">
        <v>23</v>
      </c>
      <c r="P842" t="s">
        <v>89</v>
      </c>
      <c r="Q842" t="s">
        <v>112</v>
      </c>
      <c r="R842">
        <v>1</v>
      </c>
      <c r="S842" t="s">
        <v>101</v>
      </c>
      <c r="T842">
        <v>2</v>
      </c>
      <c r="U842" t="s">
        <v>89</v>
      </c>
      <c r="V842" t="s">
        <v>94</v>
      </c>
      <c r="W842">
        <v>1</v>
      </c>
      <c r="X842">
        <v>0</v>
      </c>
    </row>
    <row r="843" spans="2:24" x14ac:dyDescent="0.3">
      <c r="B843">
        <v>839</v>
      </c>
      <c r="C843" t="s">
        <v>8</v>
      </c>
      <c r="D843">
        <v>24</v>
      </c>
      <c r="E843" t="s">
        <v>84</v>
      </c>
      <c r="F843" t="s">
        <v>110</v>
      </c>
      <c r="G843">
        <v>2957</v>
      </c>
      <c r="H843" t="s">
        <v>96</v>
      </c>
      <c r="I843" t="s">
        <v>87</v>
      </c>
      <c r="J843">
        <v>4</v>
      </c>
      <c r="K843" t="s">
        <v>88</v>
      </c>
      <c r="L843" t="s">
        <v>89</v>
      </c>
      <c r="M843">
        <v>4</v>
      </c>
      <c r="N843" t="s">
        <v>104</v>
      </c>
      <c r="O843">
        <v>63</v>
      </c>
      <c r="P843" t="s">
        <v>89</v>
      </c>
      <c r="Q843" t="s">
        <v>91</v>
      </c>
      <c r="R843">
        <v>2</v>
      </c>
      <c r="S843" t="s">
        <v>92</v>
      </c>
      <c r="T843">
        <v>1</v>
      </c>
      <c r="U843" t="s">
        <v>93</v>
      </c>
      <c r="V843" t="s">
        <v>94</v>
      </c>
      <c r="W843">
        <v>1</v>
      </c>
      <c r="X843">
        <v>0</v>
      </c>
    </row>
    <row r="844" spans="2:24" x14ac:dyDescent="0.3">
      <c r="B844">
        <v>840</v>
      </c>
      <c r="C844" t="s">
        <v>12</v>
      </c>
      <c r="D844">
        <v>24</v>
      </c>
      <c r="E844" t="s">
        <v>84</v>
      </c>
      <c r="F844" t="s">
        <v>85</v>
      </c>
      <c r="G844">
        <v>2611</v>
      </c>
      <c r="H844" t="s">
        <v>96</v>
      </c>
      <c r="I844" t="s">
        <v>87</v>
      </c>
      <c r="J844">
        <v>4</v>
      </c>
      <c r="K844" t="s">
        <v>117</v>
      </c>
      <c r="L844" t="s">
        <v>126</v>
      </c>
      <c r="M844">
        <v>3</v>
      </c>
      <c r="N844" t="s">
        <v>90</v>
      </c>
      <c r="O844">
        <v>46</v>
      </c>
      <c r="P844" t="s">
        <v>89</v>
      </c>
      <c r="Q844" t="s">
        <v>91</v>
      </c>
      <c r="R844">
        <v>2</v>
      </c>
      <c r="S844" t="s">
        <v>92</v>
      </c>
      <c r="T844">
        <v>1</v>
      </c>
      <c r="U844" t="s">
        <v>89</v>
      </c>
      <c r="V844" t="s">
        <v>94</v>
      </c>
      <c r="W844">
        <v>1</v>
      </c>
      <c r="X844">
        <v>0</v>
      </c>
    </row>
    <row r="845" spans="2:24" x14ac:dyDescent="0.3">
      <c r="B845">
        <v>841</v>
      </c>
      <c r="C845" t="s">
        <v>8</v>
      </c>
      <c r="D845">
        <v>36</v>
      </c>
      <c r="E845" t="s">
        <v>95</v>
      </c>
      <c r="F845" t="s">
        <v>102</v>
      </c>
      <c r="G845">
        <v>5179</v>
      </c>
      <c r="H845" t="s">
        <v>96</v>
      </c>
      <c r="I845" t="s">
        <v>100</v>
      </c>
      <c r="J845">
        <v>4</v>
      </c>
      <c r="K845" t="s">
        <v>88</v>
      </c>
      <c r="L845" t="s">
        <v>89</v>
      </c>
      <c r="M845">
        <v>2</v>
      </c>
      <c r="N845" t="s">
        <v>104</v>
      </c>
      <c r="O845">
        <v>29</v>
      </c>
      <c r="P845" t="s">
        <v>89</v>
      </c>
      <c r="Q845" t="s">
        <v>91</v>
      </c>
      <c r="R845">
        <v>1</v>
      </c>
      <c r="S845" t="s">
        <v>92</v>
      </c>
      <c r="T845">
        <v>1</v>
      </c>
      <c r="U845" t="s">
        <v>89</v>
      </c>
      <c r="V845" t="s">
        <v>94</v>
      </c>
      <c r="W845">
        <v>2</v>
      </c>
      <c r="X845">
        <v>1</v>
      </c>
    </row>
    <row r="846" spans="2:24" x14ac:dyDescent="0.3">
      <c r="B846">
        <v>842</v>
      </c>
      <c r="C846" t="s">
        <v>12</v>
      </c>
      <c r="D846">
        <v>21</v>
      </c>
      <c r="E846" t="s">
        <v>106</v>
      </c>
      <c r="F846" t="s">
        <v>110</v>
      </c>
      <c r="G846">
        <v>2993</v>
      </c>
      <c r="H846" t="s">
        <v>96</v>
      </c>
      <c r="I846" t="s">
        <v>97</v>
      </c>
      <c r="J846">
        <v>3</v>
      </c>
      <c r="K846" t="s">
        <v>88</v>
      </c>
      <c r="L846" t="s">
        <v>89</v>
      </c>
      <c r="M846">
        <v>2</v>
      </c>
      <c r="N846" t="s">
        <v>90</v>
      </c>
      <c r="O846">
        <v>28</v>
      </c>
      <c r="P846" t="s">
        <v>125</v>
      </c>
      <c r="Q846" t="s">
        <v>91</v>
      </c>
      <c r="R846">
        <v>2</v>
      </c>
      <c r="S846" t="s">
        <v>101</v>
      </c>
      <c r="T846">
        <v>1</v>
      </c>
      <c r="U846" t="s">
        <v>89</v>
      </c>
      <c r="V846" t="s">
        <v>94</v>
      </c>
      <c r="W846">
        <v>1</v>
      </c>
      <c r="X846">
        <v>0</v>
      </c>
    </row>
    <row r="847" spans="2:24" x14ac:dyDescent="0.3">
      <c r="B847">
        <v>843</v>
      </c>
      <c r="C847" t="s">
        <v>12</v>
      </c>
      <c r="D847">
        <v>18</v>
      </c>
      <c r="E847" t="s">
        <v>95</v>
      </c>
      <c r="F847" t="s">
        <v>128</v>
      </c>
      <c r="G847">
        <v>1943</v>
      </c>
      <c r="H847" t="s">
        <v>96</v>
      </c>
      <c r="I847" t="s">
        <v>118</v>
      </c>
      <c r="J847">
        <v>4</v>
      </c>
      <c r="K847" t="s">
        <v>98</v>
      </c>
      <c r="L847" t="s">
        <v>89</v>
      </c>
      <c r="M847">
        <v>4</v>
      </c>
      <c r="N847" t="s">
        <v>90</v>
      </c>
      <c r="O847">
        <v>23</v>
      </c>
      <c r="P847" t="s">
        <v>89</v>
      </c>
      <c r="Q847" t="s">
        <v>91</v>
      </c>
      <c r="R847">
        <v>1</v>
      </c>
      <c r="S847" t="s">
        <v>92</v>
      </c>
      <c r="T847">
        <v>1</v>
      </c>
      <c r="U847" t="s">
        <v>89</v>
      </c>
      <c r="V847" t="s">
        <v>94</v>
      </c>
      <c r="W847">
        <v>2</v>
      </c>
      <c r="X847">
        <v>1</v>
      </c>
    </row>
    <row r="848" spans="2:24" x14ac:dyDescent="0.3">
      <c r="B848">
        <v>844</v>
      </c>
      <c r="C848" t="s">
        <v>12</v>
      </c>
      <c r="D848">
        <v>24</v>
      </c>
      <c r="E848" t="s">
        <v>124</v>
      </c>
      <c r="F848" t="s">
        <v>119</v>
      </c>
      <c r="G848">
        <v>1559</v>
      </c>
      <c r="H848" t="s">
        <v>96</v>
      </c>
      <c r="I848" t="s">
        <v>100</v>
      </c>
      <c r="J848">
        <v>4</v>
      </c>
      <c r="K848" t="s">
        <v>88</v>
      </c>
      <c r="L848" t="s">
        <v>89</v>
      </c>
      <c r="M848">
        <v>4</v>
      </c>
      <c r="N848" t="s">
        <v>111</v>
      </c>
      <c r="O848">
        <v>50</v>
      </c>
      <c r="P848" t="s">
        <v>122</v>
      </c>
      <c r="Q848" t="s">
        <v>91</v>
      </c>
      <c r="R848">
        <v>1</v>
      </c>
      <c r="S848" t="s">
        <v>92</v>
      </c>
      <c r="T848">
        <v>1</v>
      </c>
      <c r="U848" t="s">
        <v>93</v>
      </c>
      <c r="V848" t="s">
        <v>94</v>
      </c>
      <c r="W848">
        <v>1</v>
      </c>
      <c r="X848">
        <v>0</v>
      </c>
    </row>
    <row r="849" spans="2:24" x14ac:dyDescent="0.3">
      <c r="B849">
        <v>845</v>
      </c>
      <c r="C849" t="s">
        <v>12</v>
      </c>
      <c r="D849">
        <v>18</v>
      </c>
      <c r="E849" t="s">
        <v>95</v>
      </c>
      <c r="F849" t="s">
        <v>102</v>
      </c>
      <c r="G849">
        <v>3422</v>
      </c>
      <c r="H849" t="s">
        <v>96</v>
      </c>
      <c r="I849" t="s">
        <v>87</v>
      </c>
      <c r="J849">
        <v>4</v>
      </c>
      <c r="K849" t="s">
        <v>88</v>
      </c>
      <c r="L849" t="s">
        <v>89</v>
      </c>
      <c r="M849">
        <v>4</v>
      </c>
      <c r="N849" t="s">
        <v>104</v>
      </c>
      <c r="O849">
        <v>47</v>
      </c>
      <c r="P849" t="s">
        <v>122</v>
      </c>
      <c r="Q849" t="s">
        <v>91</v>
      </c>
      <c r="R849">
        <v>3</v>
      </c>
      <c r="S849" t="s">
        <v>92</v>
      </c>
      <c r="T849">
        <v>2</v>
      </c>
      <c r="U849" t="s">
        <v>93</v>
      </c>
      <c r="V849" t="s">
        <v>94</v>
      </c>
      <c r="W849">
        <v>1</v>
      </c>
      <c r="X849">
        <v>0</v>
      </c>
    </row>
    <row r="850" spans="2:24" x14ac:dyDescent="0.3">
      <c r="B850">
        <v>846</v>
      </c>
      <c r="C850" t="s">
        <v>10</v>
      </c>
      <c r="D850">
        <v>21</v>
      </c>
      <c r="E850" t="s">
        <v>95</v>
      </c>
      <c r="F850" t="s">
        <v>102</v>
      </c>
      <c r="G850">
        <v>3976</v>
      </c>
      <c r="H850" t="s">
        <v>86</v>
      </c>
      <c r="I850" t="s">
        <v>100</v>
      </c>
      <c r="J850">
        <v>2</v>
      </c>
      <c r="K850" t="s">
        <v>88</v>
      </c>
      <c r="L850" t="s">
        <v>89</v>
      </c>
      <c r="M850">
        <v>3</v>
      </c>
      <c r="N850" t="s">
        <v>111</v>
      </c>
      <c r="O850">
        <v>35</v>
      </c>
      <c r="P850" t="s">
        <v>89</v>
      </c>
      <c r="Q850" t="s">
        <v>91</v>
      </c>
      <c r="R850">
        <v>1</v>
      </c>
      <c r="S850" t="s">
        <v>92</v>
      </c>
      <c r="T850">
        <v>1</v>
      </c>
      <c r="U850" t="s">
        <v>93</v>
      </c>
      <c r="V850" t="s">
        <v>94</v>
      </c>
      <c r="W850">
        <v>1</v>
      </c>
      <c r="X850">
        <v>0</v>
      </c>
    </row>
    <row r="851" spans="2:24" x14ac:dyDescent="0.3">
      <c r="B851">
        <v>847</v>
      </c>
      <c r="C851" t="s">
        <v>12</v>
      </c>
      <c r="D851">
        <v>18</v>
      </c>
      <c r="E851" t="s">
        <v>95</v>
      </c>
      <c r="F851" t="s">
        <v>107</v>
      </c>
      <c r="G851">
        <v>6761</v>
      </c>
      <c r="H851" t="s">
        <v>86</v>
      </c>
      <c r="I851" t="s">
        <v>97</v>
      </c>
      <c r="J851">
        <v>2</v>
      </c>
      <c r="K851" t="s">
        <v>88</v>
      </c>
      <c r="L851" t="s">
        <v>89</v>
      </c>
      <c r="M851">
        <v>4</v>
      </c>
      <c r="N851" t="s">
        <v>111</v>
      </c>
      <c r="O851">
        <v>68</v>
      </c>
      <c r="P851" t="s">
        <v>89</v>
      </c>
      <c r="Q851" t="s">
        <v>112</v>
      </c>
      <c r="R851">
        <v>2</v>
      </c>
      <c r="S851" t="s">
        <v>92</v>
      </c>
      <c r="T851">
        <v>1</v>
      </c>
      <c r="U851" t="s">
        <v>89</v>
      </c>
      <c r="V851" t="s">
        <v>94</v>
      </c>
      <c r="W851">
        <v>2</v>
      </c>
      <c r="X851">
        <v>1</v>
      </c>
    </row>
    <row r="852" spans="2:24" x14ac:dyDescent="0.3">
      <c r="B852">
        <v>848</v>
      </c>
      <c r="C852" t="s">
        <v>12</v>
      </c>
      <c r="D852">
        <v>24</v>
      </c>
      <c r="E852" t="s">
        <v>95</v>
      </c>
      <c r="F852" t="s">
        <v>107</v>
      </c>
      <c r="G852">
        <v>1249</v>
      </c>
      <c r="H852" t="s">
        <v>96</v>
      </c>
      <c r="I852" t="s">
        <v>118</v>
      </c>
      <c r="J852">
        <v>4</v>
      </c>
      <c r="K852" t="s">
        <v>117</v>
      </c>
      <c r="L852" t="s">
        <v>89</v>
      </c>
      <c r="M852">
        <v>2</v>
      </c>
      <c r="N852" t="s">
        <v>90</v>
      </c>
      <c r="O852">
        <v>28</v>
      </c>
      <c r="P852" t="s">
        <v>89</v>
      </c>
      <c r="Q852" t="s">
        <v>91</v>
      </c>
      <c r="R852">
        <v>1</v>
      </c>
      <c r="S852" t="s">
        <v>92</v>
      </c>
      <c r="T852">
        <v>1</v>
      </c>
      <c r="U852" t="s">
        <v>89</v>
      </c>
      <c r="V852" t="s">
        <v>94</v>
      </c>
      <c r="W852">
        <v>1</v>
      </c>
      <c r="X852">
        <v>0</v>
      </c>
    </row>
    <row r="853" spans="2:24" x14ac:dyDescent="0.3">
      <c r="B853">
        <v>849</v>
      </c>
      <c r="C853" t="s">
        <v>8</v>
      </c>
      <c r="D853">
        <v>9</v>
      </c>
      <c r="E853" t="s">
        <v>95</v>
      </c>
      <c r="F853" t="s">
        <v>85</v>
      </c>
      <c r="G853">
        <v>1364</v>
      </c>
      <c r="H853" t="s">
        <v>96</v>
      </c>
      <c r="I853" t="s">
        <v>100</v>
      </c>
      <c r="J853">
        <v>3</v>
      </c>
      <c r="K853" t="s">
        <v>88</v>
      </c>
      <c r="L853" t="s">
        <v>89</v>
      </c>
      <c r="M853">
        <v>4</v>
      </c>
      <c r="N853" t="s">
        <v>90</v>
      </c>
      <c r="O853">
        <v>59</v>
      </c>
      <c r="P853" t="s">
        <v>89</v>
      </c>
      <c r="Q853" t="s">
        <v>91</v>
      </c>
      <c r="R853">
        <v>1</v>
      </c>
      <c r="S853" t="s">
        <v>92</v>
      </c>
      <c r="T853">
        <v>1</v>
      </c>
      <c r="U853" t="s">
        <v>89</v>
      </c>
      <c r="V853" t="s">
        <v>94</v>
      </c>
      <c r="W853">
        <v>1</v>
      </c>
      <c r="X853">
        <v>0</v>
      </c>
    </row>
    <row r="854" spans="2:24" x14ac:dyDescent="0.3">
      <c r="B854">
        <v>850</v>
      </c>
      <c r="C854" t="s">
        <v>8</v>
      </c>
      <c r="D854">
        <v>12</v>
      </c>
      <c r="E854" t="s">
        <v>95</v>
      </c>
      <c r="F854" t="s">
        <v>85</v>
      </c>
      <c r="G854">
        <v>709</v>
      </c>
      <c r="H854" t="s">
        <v>96</v>
      </c>
      <c r="I854" t="s">
        <v>87</v>
      </c>
      <c r="J854">
        <v>4</v>
      </c>
      <c r="K854" t="s">
        <v>88</v>
      </c>
      <c r="L854" t="s">
        <v>89</v>
      </c>
      <c r="M854">
        <v>4</v>
      </c>
      <c r="N854" t="s">
        <v>90</v>
      </c>
      <c r="O854">
        <v>57</v>
      </c>
      <c r="P854" t="s">
        <v>125</v>
      </c>
      <c r="Q854" t="s">
        <v>91</v>
      </c>
      <c r="R854">
        <v>1</v>
      </c>
      <c r="S854" t="s">
        <v>101</v>
      </c>
      <c r="T854">
        <v>1</v>
      </c>
      <c r="U854" t="s">
        <v>89</v>
      </c>
      <c r="V854" t="s">
        <v>94</v>
      </c>
      <c r="W854">
        <v>2</v>
      </c>
      <c r="X854">
        <v>1</v>
      </c>
    </row>
    <row r="855" spans="2:24" x14ac:dyDescent="0.3">
      <c r="B855">
        <v>851</v>
      </c>
      <c r="C855" t="s">
        <v>8</v>
      </c>
      <c r="D855">
        <v>20</v>
      </c>
      <c r="E855" t="s">
        <v>84</v>
      </c>
      <c r="F855" t="s">
        <v>107</v>
      </c>
      <c r="G855">
        <v>2235</v>
      </c>
      <c r="H855" t="s">
        <v>96</v>
      </c>
      <c r="I855" t="s">
        <v>97</v>
      </c>
      <c r="J855">
        <v>4</v>
      </c>
      <c r="K855" t="s">
        <v>117</v>
      </c>
      <c r="L855" t="s">
        <v>103</v>
      </c>
      <c r="M855">
        <v>2</v>
      </c>
      <c r="N855" t="s">
        <v>104</v>
      </c>
      <c r="O855">
        <v>33</v>
      </c>
      <c r="P855" t="s">
        <v>122</v>
      </c>
      <c r="Q855" t="s">
        <v>112</v>
      </c>
      <c r="R855">
        <v>2</v>
      </c>
      <c r="S855" t="s">
        <v>92</v>
      </c>
      <c r="T855">
        <v>1</v>
      </c>
      <c r="U855" t="s">
        <v>89</v>
      </c>
      <c r="V855" t="s">
        <v>123</v>
      </c>
      <c r="W855">
        <v>2</v>
      </c>
      <c r="X855">
        <v>1</v>
      </c>
    </row>
    <row r="856" spans="2:24" x14ac:dyDescent="0.3">
      <c r="B856">
        <v>852</v>
      </c>
      <c r="C856" t="s">
        <v>12</v>
      </c>
      <c r="D856">
        <v>24</v>
      </c>
      <c r="E856" t="s">
        <v>84</v>
      </c>
      <c r="F856" t="s">
        <v>110</v>
      </c>
      <c r="G856">
        <v>4042</v>
      </c>
      <c r="H856" t="s">
        <v>86</v>
      </c>
      <c r="I856" t="s">
        <v>100</v>
      </c>
      <c r="J856">
        <v>3</v>
      </c>
      <c r="K856" t="s">
        <v>88</v>
      </c>
      <c r="L856" t="s">
        <v>89</v>
      </c>
      <c r="M856">
        <v>4</v>
      </c>
      <c r="N856" t="s">
        <v>104</v>
      </c>
      <c r="O856">
        <v>43</v>
      </c>
      <c r="P856" t="s">
        <v>89</v>
      </c>
      <c r="Q856" t="s">
        <v>91</v>
      </c>
      <c r="R856">
        <v>2</v>
      </c>
      <c r="S856" t="s">
        <v>92</v>
      </c>
      <c r="T856">
        <v>1</v>
      </c>
      <c r="U856" t="s">
        <v>93</v>
      </c>
      <c r="V856" t="s">
        <v>94</v>
      </c>
      <c r="W856">
        <v>1</v>
      </c>
      <c r="X856">
        <v>0</v>
      </c>
    </row>
    <row r="857" spans="2:24" x14ac:dyDescent="0.3">
      <c r="B857">
        <v>853</v>
      </c>
      <c r="C857" t="s">
        <v>12</v>
      </c>
      <c r="D857">
        <v>15</v>
      </c>
      <c r="E857" t="s">
        <v>84</v>
      </c>
      <c r="F857" t="s">
        <v>85</v>
      </c>
      <c r="G857">
        <v>1471</v>
      </c>
      <c r="H857" t="s">
        <v>96</v>
      </c>
      <c r="I857" t="s">
        <v>97</v>
      </c>
      <c r="J857">
        <v>4</v>
      </c>
      <c r="K857" t="s">
        <v>88</v>
      </c>
      <c r="L857" t="s">
        <v>89</v>
      </c>
      <c r="M857">
        <v>4</v>
      </c>
      <c r="N857" t="s">
        <v>108</v>
      </c>
      <c r="O857">
        <v>35</v>
      </c>
      <c r="P857" t="s">
        <v>89</v>
      </c>
      <c r="Q857" t="s">
        <v>105</v>
      </c>
      <c r="R857">
        <v>2</v>
      </c>
      <c r="S857" t="s">
        <v>92</v>
      </c>
      <c r="T857">
        <v>1</v>
      </c>
      <c r="U857" t="s">
        <v>93</v>
      </c>
      <c r="V857" t="s">
        <v>94</v>
      </c>
      <c r="W857">
        <v>1</v>
      </c>
      <c r="X857">
        <v>0</v>
      </c>
    </row>
    <row r="858" spans="2:24" x14ac:dyDescent="0.3">
      <c r="B858">
        <v>854</v>
      </c>
      <c r="C858" t="s">
        <v>8</v>
      </c>
      <c r="D858">
        <v>18</v>
      </c>
      <c r="E858" t="s">
        <v>124</v>
      </c>
      <c r="F858" t="s">
        <v>107</v>
      </c>
      <c r="G858">
        <v>1442</v>
      </c>
      <c r="H858" t="s">
        <v>96</v>
      </c>
      <c r="I858" t="s">
        <v>100</v>
      </c>
      <c r="J858">
        <v>4</v>
      </c>
      <c r="K858" t="s">
        <v>88</v>
      </c>
      <c r="L858" t="s">
        <v>89</v>
      </c>
      <c r="M858">
        <v>4</v>
      </c>
      <c r="N858" t="s">
        <v>108</v>
      </c>
      <c r="O858">
        <v>32</v>
      </c>
      <c r="P858" t="s">
        <v>89</v>
      </c>
      <c r="Q858" t="s">
        <v>105</v>
      </c>
      <c r="R858">
        <v>2</v>
      </c>
      <c r="S858" t="s">
        <v>101</v>
      </c>
      <c r="T858">
        <v>2</v>
      </c>
      <c r="U858" t="s">
        <v>89</v>
      </c>
      <c r="V858" t="s">
        <v>94</v>
      </c>
      <c r="W858">
        <v>2</v>
      </c>
      <c r="X858">
        <v>1</v>
      </c>
    </row>
    <row r="859" spans="2:24" x14ac:dyDescent="0.3">
      <c r="B859">
        <v>855</v>
      </c>
      <c r="C859" t="s">
        <v>12</v>
      </c>
      <c r="D859">
        <v>36</v>
      </c>
      <c r="E859" t="s">
        <v>106</v>
      </c>
      <c r="F859" t="s">
        <v>107</v>
      </c>
      <c r="G859">
        <v>10875</v>
      </c>
      <c r="H859" t="s">
        <v>96</v>
      </c>
      <c r="I859" t="s">
        <v>87</v>
      </c>
      <c r="J859">
        <v>2</v>
      </c>
      <c r="K859" t="s">
        <v>88</v>
      </c>
      <c r="L859" t="s">
        <v>89</v>
      </c>
      <c r="M859">
        <v>2</v>
      </c>
      <c r="N859" t="s">
        <v>111</v>
      </c>
      <c r="O859">
        <v>45</v>
      </c>
      <c r="P859" t="s">
        <v>89</v>
      </c>
      <c r="Q859" t="s">
        <v>91</v>
      </c>
      <c r="R859">
        <v>2</v>
      </c>
      <c r="S859" t="s">
        <v>92</v>
      </c>
      <c r="T859">
        <v>2</v>
      </c>
      <c r="U859" t="s">
        <v>93</v>
      </c>
      <c r="V859" t="s">
        <v>94</v>
      </c>
      <c r="W859">
        <v>1</v>
      </c>
      <c r="X859">
        <v>0</v>
      </c>
    </row>
    <row r="860" spans="2:24" x14ac:dyDescent="0.3">
      <c r="B860">
        <v>856</v>
      </c>
      <c r="C860" t="s">
        <v>12</v>
      </c>
      <c r="D860">
        <v>24</v>
      </c>
      <c r="E860" t="s">
        <v>95</v>
      </c>
      <c r="F860" t="s">
        <v>107</v>
      </c>
      <c r="G860">
        <v>1474</v>
      </c>
      <c r="H860" t="s">
        <v>120</v>
      </c>
      <c r="I860" t="s">
        <v>118</v>
      </c>
      <c r="J860">
        <v>4</v>
      </c>
      <c r="K860" t="s">
        <v>117</v>
      </c>
      <c r="L860" t="s">
        <v>89</v>
      </c>
      <c r="M860">
        <v>3</v>
      </c>
      <c r="N860" t="s">
        <v>90</v>
      </c>
      <c r="O860">
        <v>33</v>
      </c>
      <c r="P860" t="s">
        <v>89</v>
      </c>
      <c r="Q860" t="s">
        <v>91</v>
      </c>
      <c r="R860">
        <v>1</v>
      </c>
      <c r="S860" t="s">
        <v>92</v>
      </c>
      <c r="T860">
        <v>1</v>
      </c>
      <c r="U860" t="s">
        <v>93</v>
      </c>
      <c r="V860" t="s">
        <v>94</v>
      </c>
      <c r="W860">
        <v>1</v>
      </c>
      <c r="X860">
        <v>0</v>
      </c>
    </row>
    <row r="861" spans="2:24" x14ac:dyDescent="0.3">
      <c r="B861">
        <v>857</v>
      </c>
      <c r="C861" t="s">
        <v>12</v>
      </c>
      <c r="D861">
        <v>10</v>
      </c>
      <c r="E861" t="s">
        <v>95</v>
      </c>
      <c r="F861" t="s">
        <v>131</v>
      </c>
      <c r="G861">
        <v>894</v>
      </c>
      <c r="H861" t="s">
        <v>86</v>
      </c>
      <c r="I861" t="s">
        <v>100</v>
      </c>
      <c r="J861">
        <v>4</v>
      </c>
      <c r="K861" t="s">
        <v>98</v>
      </c>
      <c r="L861" t="s">
        <v>89</v>
      </c>
      <c r="M861">
        <v>3</v>
      </c>
      <c r="N861" t="s">
        <v>104</v>
      </c>
      <c r="O861">
        <v>40</v>
      </c>
      <c r="P861" t="s">
        <v>89</v>
      </c>
      <c r="Q861" t="s">
        <v>91</v>
      </c>
      <c r="R861">
        <v>1</v>
      </c>
      <c r="S861" t="s">
        <v>92</v>
      </c>
      <c r="T861">
        <v>1</v>
      </c>
      <c r="U861" t="s">
        <v>93</v>
      </c>
      <c r="V861" t="s">
        <v>94</v>
      </c>
      <c r="W861">
        <v>1</v>
      </c>
      <c r="X861">
        <v>0</v>
      </c>
    </row>
    <row r="862" spans="2:24" x14ac:dyDescent="0.3">
      <c r="B862">
        <v>858</v>
      </c>
      <c r="C862" t="s">
        <v>12</v>
      </c>
      <c r="D862">
        <v>15</v>
      </c>
      <c r="E862" t="s">
        <v>84</v>
      </c>
      <c r="F862" t="s">
        <v>102</v>
      </c>
      <c r="G862">
        <v>3343</v>
      </c>
      <c r="H862" t="s">
        <v>96</v>
      </c>
      <c r="I862" t="s">
        <v>97</v>
      </c>
      <c r="J862">
        <v>4</v>
      </c>
      <c r="K862" t="s">
        <v>88</v>
      </c>
      <c r="L862" t="s">
        <v>89</v>
      </c>
      <c r="M862">
        <v>2</v>
      </c>
      <c r="N862" t="s">
        <v>108</v>
      </c>
      <c r="O862">
        <v>28</v>
      </c>
      <c r="P862" t="s">
        <v>89</v>
      </c>
      <c r="Q862" t="s">
        <v>105</v>
      </c>
      <c r="R862">
        <v>1</v>
      </c>
      <c r="S862" t="s">
        <v>92</v>
      </c>
      <c r="T862">
        <v>1</v>
      </c>
      <c r="U862" t="s">
        <v>93</v>
      </c>
      <c r="V862" t="s">
        <v>94</v>
      </c>
      <c r="W862">
        <v>1</v>
      </c>
      <c r="X862">
        <v>0</v>
      </c>
    </row>
    <row r="863" spans="2:24" x14ac:dyDescent="0.3">
      <c r="B863">
        <v>859</v>
      </c>
      <c r="C863" t="s">
        <v>8</v>
      </c>
      <c r="D863">
        <v>15</v>
      </c>
      <c r="E863" t="s">
        <v>95</v>
      </c>
      <c r="F863" t="s">
        <v>107</v>
      </c>
      <c r="G863">
        <v>3959</v>
      </c>
      <c r="H863" t="s">
        <v>96</v>
      </c>
      <c r="I863" t="s">
        <v>97</v>
      </c>
      <c r="J863">
        <v>3</v>
      </c>
      <c r="K863" t="s">
        <v>98</v>
      </c>
      <c r="L863" t="s">
        <v>89</v>
      </c>
      <c r="M863">
        <v>2</v>
      </c>
      <c r="N863" t="s">
        <v>104</v>
      </c>
      <c r="O863">
        <v>29</v>
      </c>
      <c r="P863" t="s">
        <v>89</v>
      </c>
      <c r="Q863" t="s">
        <v>91</v>
      </c>
      <c r="R863">
        <v>1</v>
      </c>
      <c r="S863" t="s">
        <v>92</v>
      </c>
      <c r="T863">
        <v>1</v>
      </c>
      <c r="U863" t="s">
        <v>93</v>
      </c>
      <c r="V863" t="s">
        <v>94</v>
      </c>
      <c r="W863">
        <v>2</v>
      </c>
      <c r="X863">
        <v>1</v>
      </c>
    </row>
    <row r="864" spans="2:24" x14ac:dyDescent="0.3">
      <c r="B864">
        <v>860</v>
      </c>
      <c r="C864" t="s">
        <v>12</v>
      </c>
      <c r="D864">
        <v>9</v>
      </c>
      <c r="E864" t="s">
        <v>95</v>
      </c>
      <c r="F864" t="s">
        <v>107</v>
      </c>
      <c r="G864">
        <v>3577</v>
      </c>
      <c r="H864" t="s">
        <v>120</v>
      </c>
      <c r="I864" t="s">
        <v>97</v>
      </c>
      <c r="J864">
        <v>1</v>
      </c>
      <c r="K864" t="s">
        <v>88</v>
      </c>
      <c r="L864" t="s">
        <v>103</v>
      </c>
      <c r="M864">
        <v>2</v>
      </c>
      <c r="N864" t="s">
        <v>90</v>
      </c>
      <c r="O864">
        <v>26</v>
      </c>
      <c r="P864" t="s">
        <v>89</v>
      </c>
      <c r="Q864" t="s">
        <v>112</v>
      </c>
      <c r="R864">
        <v>1</v>
      </c>
      <c r="S864" t="s">
        <v>92</v>
      </c>
      <c r="T864">
        <v>2</v>
      </c>
      <c r="U864" t="s">
        <v>89</v>
      </c>
      <c r="V864" t="s">
        <v>123</v>
      </c>
      <c r="W864">
        <v>1</v>
      </c>
      <c r="X864">
        <v>0</v>
      </c>
    </row>
    <row r="865" spans="2:24" x14ac:dyDescent="0.3">
      <c r="B865">
        <v>861</v>
      </c>
      <c r="C865" t="s">
        <v>12</v>
      </c>
      <c r="D865">
        <v>24</v>
      </c>
      <c r="E865" t="s">
        <v>84</v>
      </c>
      <c r="F865" t="s">
        <v>110</v>
      </c>
      <c r="G865">
        <v>5804</v>
      </c>
      <c r="H865" t="s">
        <v>114</v>
      </c>
      <c r="I865" t="s">
        <v>97</v>
      </c>
      <c r="J865">
        <v>4</v>
      </c>
      <c r="K865" t="s">
        <v>88</v>
      </c>
      <c r="L865" t="s">
        <v>89</v>
      </c>
      <c r="M865">
        <v>2</v>
      </c>
      <c r="N865" t="s">
        <v>90</v>
      </c>
      <c r="O865">
        <v>27</v>
      </c>
      <c r="P865" t="s">
        <v>89</v>
      </c>
      <c r="Q865" t="s">
        <v>91</v>
      </c>
      <c r="R865">
        <v>2</v>
      </c>
      <c r="S865" t="s">
        <v>92</v>
      </c>
      <c r="T865">
        <v>1</v>
      </c>
      <c r="U865" t="s">
        <v>89</v>
      </c>
      <c r="V865" t="s">
        <v>94</v>
      </c>
      <c r="W865">
        <v>1</v>
      </c>
      <c r="X865">
        <v>0</v>
      </c>
    </row>
    <row r="866" spans="2:24" x14ac:dyDescent="0.3">
      <c r="B866">
        <v>862</v>
      </c>
      <c r="C866" t="s">
        <v>12</v>
      </c>
      <c r="D866">
        <v>18</v>
      </c>
      <c r="E866" t="s">
        <v>106</v>
      </c>
      <c r="F866" t="s">
        <v>119</v>
      </c>
      <c r="G866">
        <v>2169</v>
      </c>
      <c r="H866" t="s">
        <v>96</v>
      </c>
      <c r="I866" t="s">
        <v>97</v>
      </c>
      <c r="J866">
        <v>4</v>
      </c>
      <c r="K866" t="s">
        <v>117</v>
      </c>
      <c r="L866" t="s">
        <v>89</v>
      </c>
      <c r="M866">
        <v>2</v>
      </c>
      <c r="N866" t="s">
        <v>111</v>
      </c>
      <c r="O866">
        <v>28</v>
      </c>
      <c r="P866" t="s">
        <v>89</v>
      </c>
      <c r="Q866" t="s">
        <v>91</v>
      </c>
      <c r="R866">
        <v>1</v>
      </c>
      <c r="S866" t="s">
        <v>92</v>
      </c>
      <c r="T866">
        <v>1</v>
      </c>
      <c r="U866" t="s">
        <v>93</v>
      </c>
      <c r="V866" t="s">
        <v>94</v>
      </c>
      <c r="W866">
        <v>2</v>
      </c>
      <c r="X866">
        <v>1</v>
      </c>
    </row>
    <row r="867" spans="2:24" x14ac:dyDescent="0.3">
      <c r="B867">
        <v>863</v>
      </c>
      <c r="C867" t="s">
        <v>8</v>
      </c>
      <c r="D867">
        <v>24</v>
      </c>
      <c r="E867" t="s">
        <v>95</v>
      </c>
      <c r="F867" t="s">
        <v>85</v>
      </c>
      <c r="G867">
        <v>2439</v>
      </c>
      <c r="H867" t="s">
        <v>96</v>
      </c>
      <c r="I867" t="s">
        <v>118</v>
      </c>
      <c r="J867">
        <v>4</v>
      </c>
      <c r="K867" t="s">
        <v>98</v>
      </c>
      <c r="L867" t="s">
        <v>89</v>
      </c>
      <c r="M867">
        <v>4</v>
      </c>
      <c r="N867" t="s">
        <v>90</v>
      </c>
      <c r="O867">
        <v>35</v>
      </c>
      <c r="P867" t="s">
        <v>89</v>
      </c>
      <c r="Q867" t="s">
        <v>91</v>
      </c>
      <c r="R867">
        <v>1</v>
      </c>
      <c r="S867" t="s">
        <v>92</v>
      </c>
      <c r="T867">
        <v>1</v>
      </c>
      <c r="U867" t="s">
        <v>93</v>
      </c>
      <c r="V867" t="s">
        <v>94</v>
      </c>
      <c r="W867">
        <v>2</v>
      </c>
      <c r="X867">
        <v>1</v>
      </c>
    </row>
    <row r="868" spans="2:24" x14ac:dyDescent="0.3">
      <c r="B868">
        <v>864</v>
      </c>
      <c r="C868" t="s">
        <v>12</v>
      </c>
      <c r="D868">
        <v>27</v>
      </c>
      <c r="E868" t="s">
        <v>84</v>
      </c>
      <c r="F868" t="s">
        <v>102</v>
      </c>
      <c r="G868">
        <v>4526</v>
      </c>
      <c r="H868" t="s">
        <v>114</v>
      </c>
      <c r="I868" t="s">
        <v>118</v>
      </c>
      <c r="J868">
        <v>4</v>
      </c>
      <c r="K868" t="s">
        <v>88</v>
      </c>
      <c r="L868" t="s">
        <v>89</v>
      </c>
      <c r="M868">
        <v>2</v>
      </c>
      <c r="N868" t="s">
        <v>90</v>
      </c>
      <c r="O868">
        <v>32</v>
      </c>
      <c r="P868" t="s">
        <v>125</v>
      </c>
      <c r="Q868" t="s">
        <v>91</v>
      </c>
      <c r="R868">
        <v>2</v>
      </c>
      <c r="S868" t="s">
        <v>101</v>
      </c>
      <c r="T868">
        <v>2</v>
      </c>
      <c r="U868" t="s">
        <v>93</v>
      </c>
      <c r="V868" t="s">
        <v>94</v>
      </c>
      <c r="W868">
        <v>1</v>
      </c>
      <c r="X868">
        <v>0</v>
      </c>
    </row>
    <row r="869" spans="2:24" x14ac:dyDescent="0.3">
      <c r="B869">
        <v>865</v>
      </c>
      <c r="C869" t="s">
        <v>12</v>
      </c>
      <c r="D869">
        <v>10</v>
      </c>
      <c r="E869" t="s">
        <v>95</v>
      </c>
      <c r="F869" t="s">
        <v>102</v>
      </c>
      <c r="G869">
        <v>2210</v>
      </c>
      <c r="H869" t="s">
        <v>96</v>
      </c>
      <c r="I869" t="s">
        <v>97</v>
      </c>
      <c r="J869">
        <v>2</v>
      </c>
      <c r="K869" t="s">
        <v>88</v>
      </c>
      <c r="L869" t="s">
        <v>89</v>
      </c>
      <c r="M869">
        <v>2</v>
      </c>
      <c r="N869" t="s">
        <v>90</v>
      </c>
      <c r="O869">
        <v>25</v>
      </c>
      <c r="P869" t="s">
        <v>122</v>
      </c>
      <c r="Q869" t="s">
        <v>112</v>
      </c>
      <c r="R869">
        <v>1</v>
      </c>
      <c r="S869" t="s">
        <v>101</v>
      </c>
      <c r="T869">
        <v>1</v>
      </c>
      <c r="U869" t="s">
        <v>89</v>
      </c>
      <c r="V869" t="s">
        <v>94</v>
      </c>
      <c r="W869">
        <v>2</v>
      </c>
      <c r="X869">
        <v>1</v>
      </c>
    </row>
    <row r="870" spans="2:24" x14ac:dyDescent="0.3">
      <c r="B870">
        <v>866</v>
      </c>
      <c r="C870" t="s">
        <v>12</v>
      </c>
      <c r="D870">
        <v>15</v>
      </c>
      <c r="E870" t="s">
        <v>95</v>
      </c>
      <c r="F870" t="s">
        <v>102</v>
      </c>
      <c r="G870">
        <v>2221</v>
      </c>
      <c r="H870" t="s">
        <v>109</v>
      </c>
      <c r="I870" t="s">
        <v>97</v>
      </c>
      <c r="J870">
        <v>2</v>
      </c>
      <c r="K870" t="s">
        <v>98</v>
      </c>
      <c r="L870" t="s">
        <v>89</v>
      </c>
      <c r="M870">
        <v>4</v>
      </c>
      <c r="N870" t="s">
        <v>111</v>
      </c>
      <c r="O870">
        <v>20</v>
      </c>
      <c r="P870" t="s">
        <v>89</v>
      </c>
      <c r="Q870" t="s">
        <v>112</v>
      </c>
      <c r="R870">
        <v>1</v>
      </c>
      <c r="S870" t="s">
        <v>92</v>
      </c>
      <c r="T870">
        <v>1</v>
      </c>
      <c r="U870" t="s">
        <v>89</v>
      </c>
      <c r="V870" t="s">
        <v>94</v>
      </c>
      <c r="W870">
        <v>1</v>
      </c>
      <c r="X870">
        <v>0</v>
      </c>
    </row>
    <row r="871" spans="2:24" x14ac:dyDescent="0.3">
      <c r="B871">
        <v>867</v>
      </c>
      <c r="C871" t="s">
        <v>8</v>
      </c>
      <c r="D871">
        <v>18</v>
      </c>
      <c r="E871" t="s">
        <v>95</v>
      </c>
      <c r="F871" t="s">
        <v>85</v>
      </c>
      <c r="G871">
        <v>2389</v>
      </c>
      <c r="H871" t="s">
        <v>96</v>
      </c>
      <c r="I871" t="s">
        <v>118</v>
      </c>
      <c r="J871">
        <v>4</v>
      </c>
      <c r="K871" t="s">
        <v>98</v>
      </c>
      <c r="L871" t="s">
        <v>89</v>
      </c>
      <c r="M871">
        <v>1</v>
      </c>
      <c r="N871" t="s">
        <v>111</v>
      </c>
      <c r="O871">
        <v>27</v>
      </c>
      <c r="P871" t="s">
        <v>125</v>
      </c>
      <c r="Q871" t="s">
        <v>91</v>
      </c>
      <c r="R871">
        <v>1</v>
      </c>
      <c r="S871" t="s">
        <v>92</v>
      </c>
      <c r="T871">
        <v>1</v>
      </c>
      <c r="U871" t="s">
        <v>89</v>
      </c>
      <c r="V871" t="s">
        <v>94</v>
      </c>
      <c r="W871">
        <v>1</v>
      </c>
      <c r="X871">
        <v>0</v>
      </c>
    </row>
    <row r="872" spans="2:24" x14ac:dyDescent="0.3">
      <c r="B872">
        <v>868</v>
      </c>
      <c r="C872" t="s">
        <v>12</v>
      </c>
      <c r="D872">
        <v>12</v>
      </c>
      <c r="E872" t="s">
        <v>84</v>
      </c>
      <c r="F872" t="s">
        <v>102</v>
      </c>
      <c r="G872">
        <v>3331</v>
      </c>
      <c r="H872" t="s">
        <v>96</v>
      </c>
      <c r="I872" t="s">
        <v>87</v>
      </c>
      <c r="J872">
        <v>2</v>
      </c>
      <c r="K872" t="s">
        <v>88</v>
      </c>
      <c r="L872" t="s">
        <v>89</v>
      </c>
      <c r="M872">
        <v>4</v>
      </c>
      <c r="N872" t="s">
        <v>104</v>
      </c>
      <c r="O872">
        <v>42</v>
      </c>
      <c r="P872" t="s">
        <v>125</v>
      </c>
      <c r="Q872" t="s">
        <v>91</v>
      </c>
      <c r="R872">
        <v>1</v>
      </c>
      <c r="S872" t="s">
        <v>92</v>
      </c>
      <c r="T872">
        <v>1</v>
      </c>
      <c r="U872" t="s">
        <v>89</v>
      </c>
      <c r="V872" t="s">
        <v>94</v>
      </c>
      <c r="W872">
        <v>1</v>
      </c>
      <c r="X872">
        <v>0</v>
      </c>
    </row>
    <row r="873" spans="2:24" x14ac:dyDescent="0.3">
      <c r="B873">
        <v>869</v>
      </c>
      <c r="C873" t="s">
        <v>12</v>
      </c>
      <c r="D873">
        <v>36</v>
      </c>
      <c r="E873" t="s">
        <v>95</v>
      </c>
      <c r="F873" t="s">
        <v>119</v>
      </c>
      <c r="G873">
        <v>7409</v>
      </c>
      <c r="H873" t="s">
        <v>86</v>
      </c>
      <c r="I873" t="s">
        <v>87</v>
      </c>
      <c r="J873">
        <v>3</v>
      </c>
      <c r="K873" t="s">
        <v>88</v>
      </c>
      <c r="L873" t="s">
        <v>89</v>
      </c>
      <c r="M873">
        <v>2</v>
      </c>
      <c r="N873" t="s">
        <v>104</v>
      </c>
      <c r="O873">
        <v>37</v>
      </c>
      <c r="P873" t="s">
        <v>89</v>
      </c>
      <c r="Q873" t="s">
        <v>91</v>
      </c>
      <c r="R873">
        <v>2</v>
      </c>
      <c r="S873" t="s">
        <v>92</v>
      </c>
      <c r="T873">
        <v>1</v>
      </c>
      <c r="U873" t="s">
        <v>89</v>
      </c>
      <c r="V873" t="s">
        <v>94</v>
      </c>
      <c r="W873">
        <v>1</v>
      </c>
      <c r="X873">
        <v>0</v>
      </c>
    </row>
    <row r="874" spans="2:24" x14ac:dyDescent="0.3">
      <c r="B874">
        <v>870</v>
      </c>
      <c r="C874" t="s">
        <v>8</v>
      </c>
      <c r="D874">
        <v>12</v>
      </c>
      <c r="E874" t="s">
        <v>95</v>
      </c>
      <c r="F874" t="s">
        <v>102</v>
      </c>
      <c r="G874">
        <v>652</v>
      </c>
      <c r="H874" t="s">
        <v>96</v>
      </c>
      <c r="I874" t="s">
        <v>87</v>
      </c>
      <c r="J874">
        <v>4</v>
      </c>
      <c r="K874" t="s">
        <v>98</v>
      </c>
      <c r="L874" t="s">
        <v>89</v>
      </c>
      <c r="M874">
        <v>4</v>
      </c>
      <c r="N874" t="s">
        <v>104</v>
      </c>
      <c r="O874">
        <v>24</v>
      </c>
      <c r="P874" t="s">
        <v>89</v>
      </c>
      <c r="Q874" t="s">
        <v>112</v>
      </c>
      <c r="R874">
        <v>1</v>
      </c>
      <c r="S874" t="s">
        <v>92</v>
      </c>
      <c r="T874">
        <v>1</v>
      </c>
      <c r="U874" t="s">
        <v>89</v>
      </c>
      <c r="V874" t="s">
        <v>94</v>
      </c>
      <c r="W874">
        <v>1</v>
      </c>
      <c r="X874">
        <v>0</v>
      </c>
    </row>
    <row r="875" spans="2:24" x14ac:dyDescent="0.3">
      <c r="B875">
        <v>871</v>
      </c>
      <c r="C875" t="s">
        <v>12</v>
      </c>
      <c r="D875">
        <v>36</v>
      </c>
      <c r="E875" t="s">
        <v>106</v>
      </c>
      <c r="F875" t="s">
        <v>102</v>
      </c>
      <c r="G875">
        <v>7678</v>
      </c>
      <c r="H875" t="s">
        <v>109</v>
      </c>
      <c r="I875" t="s">
        <v>100</v>
      </c>
      <c r="J875">
        <v>2</v>
      </c>
      <c r="K875" t="s">
        <v>98</v>
      </c>
      <c r="L875" t="s">
        <v>89</v>
      </c>
      <c r="M875">
        <v>4</v>
      </c>
      <c r="N875" t="s">
        <v>111</v>
      </c>
      <c r="O875">
        <v>40</v>
      </c>
      <c r="P875" t="s">
        <v>89</v>
      </c>
      <c r="Q875" t="s">
        <v>91</v>
      </c>
      <c r="R875">
        <v>2</v>
      </c>
      <c r="S875" t="s">
        <v>92</v>
      </c>
      <c r="T875">
        <v>1</v>
      </c>
      <c r="U875" t="s">
        <v>93</v>
      </c>
      <c r="V875" t="s">
        <v>94</v>
      </c>
      <c r="W875">
        <v>1</v>
      </c>
      <c r="X875">
        <v>0</v>
      </c>
    </row>
    <row r="876" spans="2:24" x14ac:dyDescent="0.3">
      <c r="B876">
        <v>872</v>
      </c>
      <c r="C876" t="s">
        <v>11</v>
      </c>
      <c r="D876">
        <v>6</v>
      </c>
      <c r="E876" t="s">
        <v>84</v>
      </c>
      <c r="F876" t="s">
        <v>107</v>
      </c>
      <c r="G876">
        <v>1343</v>
      </c>
      <c r="H876" t="s">
        <v>96</v>
      </c>
      <c r="I876" t="s">
        <v>87</v>
      </c>
      <c r="J876">
        <v>1</v>
      </c>
      <c r="K876" t="s">
        <v>88</v>
      </c>
      <c r="L876" t="s">
        <v>89</v>
      </c>
      <c r="M876">
        <v>4</v>
      </c>
      <c r="N876" t="s">
        <v>90</v>
      </c>
      <c r="O876">
        <v>46</v>
      </c>
      <c r="P876" t="s">
        <v>89</v>
      </c>
      <c r="Q876" t="s">
        <v>91</v>
      </c>
      <c r="R876">
        <v>2</v>
      </c>
      <c r="S876" t="s">
        <v>92</v>
      </c>
      <c r="T876">
        <v>2</v>
      </c>
      <c r="U876" t="s">
        <v>89</v>
      </c>
      <c r="V876" t="s">
        <v>123</v>
      </c>
      <c r="W876">
        <v>1</v>
      </c>
      <c r="X876">
        <v>0</v>
      </c>
    </row>
    <row r="877" spans="2:24" x14ac:dyDescent="0.3">
      <c r="B877">
        <v>873</v>
      </c>
      <c r="C877" t="s">
        <v>8</v>
      </c>
      <c r="D877">
        <v>24</v>
      </c>
      <c r="E877" t="s">
        <v>84</v>
      </c>
      <c r="F877" t="s">
        <v>119</v>
      </c>
      <c r="G877">
        <v>1382</v>
      </c>
      <c r="H877" t="s">
        <v>120</v>
      </c>
      <c r="I877" t="s">
        <v>100</v>
      </c>
      <c r="J877">
        <v>4</v>
      </c>
      <c r="K877" t="s">
        <v>88</v>
      </c>
      <c r="L877" t="s">
        <v>89</v>
      </c>
      <c r="M877">
        <v>1</v>
      </c>
      <c r="N877" t="s">
        <v>90</v>
      </c>
      <c r="O877">
        <v>26</v>
      </c>
      <c r="P877" t="s">
        <v>89</v>
      </c>
      <c r="Q877" t="s">
        <v>91</v>
      </c>
      <c r="R877">
        <v>2</v>
      </c>
      <c r="S877" t="s">
        <v>92</v>
      </c>
      <c r="T877">
        <v>1</v>
      </c>
      <c r="U877" t="s">
        <v>93</v>
      </c>
      <c r="V877" t="s">
        <v>94</v>
      </c>
      <c r="W877">
        <v>1</v>
      </c>
      <c r="X877">
        <v>0</v>
      </c>
    </row>
    <row r="878" spans="2:24" x14ac:dyDescent="0.3">
      <c r="B878">
        <v>874</v>
      </c>
      <c r="C878" t="s">
        <v>12</v>
      </c>
      <c r="D878">
        <v>15</v>
      </c>
      <c r="E878" t="s">
        <v>95</v>
      </c>
      <c r="F878" t="s">
        <v>127</v>
      </c>
      <c r="G878">
        <v>874</v>
      </c>
      <c r="H878" t="s">
        <v>86</v>
      </c>
      <c r="I878" t="s">
        <v>118</v>
      </c>
      <c r="J878">
        <v>4</v>
      </c>
      <c r="K878" t="s">
        <v>98</v>
      </c>
      <c r="L878" t="s">
        <v>89</v>
      </c>
      <c r="M878">
        <v>1</v>
      </c>
      <c r="N878" t="s">
        <v>90</v>
      </c>
      <c r="O878">
        <v>24</v>
      </c>
      <c r="P878" t="s">
        <v>89</v>
      </c>
      <c r="Q878" t="s">
        <v>91</v>
      </c>
      <c r="R878">
        <v>1</v>
      </c>
      <c r="S878" t="s">
        <v>92</v>
      </c>
      <c r="T878">
        <v>1</v>
      </c>
      <c r="U878" t="s">
        <v>89</v>
      </c>
      <c r="V878" t="s">
        <v>94</v>
      </c>
      <c r="W878">
        <v>1</v>
      </c>
      <c r="X878">
        <v>0</v>
      </c>
    </row>
    <row r="879" spans="2:24" x14ac:dyDescent="0.3">
      <c r="B879">
        <v>875</v>
      </c>
      <c r="C879" t="s">
        <v>8</v>
      </c>
      <c r="D879">
        <v>12</v>
      </c>
      <c r="E879" t="s">
        <v>95</v>
      </c>
      <c r="F879" t="s">
        <v>102</v>
      </c>
      <c r="G879">
        <v>3590</v>
      </c>
      <c r="H879" t="s">
        <v>96</v>
      </c>
      <c r="I879" t="s">
        <v>97</v>
      </c>
      <c r="J879">
        <v>2</v>
      </c>
      <c r="K879" t="s">
        <v>88</v>
      </c>
      <c r="L879" t="s">
        <v>126</v>
      </c>
      <c r="M879">
        <v>2</v>
      </c>
      <c r="N879" t="s">
        <v>104</v>
      </c>
      <c r="O879">
        <v>29</v>
      </c>
      <c r="P879" t="s">
        <v>89</v>
      </c>
      <c r="Q879" t="s">
        <v>91</v>
      </c>
      <c r="R879">
        <v>1</v>
      </c>
      <c r="S879" t="s">
        <v>101</v>
      </c>
      <c r="T879">
        <v>2</v>
      </c>
      <c r="U879" t="s">
        <v>89</v>
      </c>
      <c r="V879" t="s">
        <v>94</v>
      </c>
      <c r="W879">
        <v>1</v>
      </c>
      <c r="X879">
        <v>0</v>
      </c>
    </row>
    <row r="880" spans="2:24" x14ac:dyDescent="0.3">
      <c r="B880">
        <v>876</v>
      </c>
      <c r="C880" t="s">
        <v>10</v>
      </c>
      <c r="D880">
        <v>11</v>
      </c>
      <c r="E880" t="s">
        <v>84</v>
      </c>
      <c r="F880" t="s">
        <v>107</v>
      </c>
      <c r="G880">
        <v>1322</v>
      </c>
      <c r="H880" t="s">
        <v>114</v>
      </c>
      <c r="I880" t="s">
        <v>97</v>
      </c>
      <c r="J880">
        <v>4</v>
      </c>
      <c r="K880" t="s">
        <v>98</v>
      </c>
      <c r="L880" t="s">
        <v>89</v>
      </c>
      <c r="M880">
        <v>4</v>
      </c>
      <c r="N880" t="s">
        <v>111</v>
      </c>
      <c r="O880">
        <v>40</v>
      </c>
      <c r="P880" t="s">
        <v>89</v>
      </c>
      <c r="Q880" t="s">
        <v>91</v>
      </c>
      <c r="R880">
        <v>2</v>
      </c>
      <c r="S880" t="s">
        <v>92</v>
      </c>
      <c r="T880">
        <v>1</v>
      </c>
      <c r="U880" t="s">
        <v>89</v>
      </c>
      <c r="V880" t="s">
        <v>94</v>
      </c>
      <c r="W880">
        <v>1</v>
      </c>
      <c r="X880">
        <v>0</v>
      </c>
    </row>
    <row r="881" spans="2:24" x14ac:dyDescent="0.3">
      <c r="B881">
        <v>877</v>
      </c>
      <c r="C881" t="s">
        <v>8</v>
      </c>
      <c r="D881">
        <v>18</v>
      </c>
      <c r="E881" t="s">
        <v>124</v>
      </c>
      <c r="F881" t="s">
        <v>85</v>
      </c>
      <c r="G881">
        <v>1940</v>
      </c>
      <c r="H881" t="s">
        <v>96</v>
      </c>
      <c r="I881" t="s">
        <v>118</v>
      </c>
      <c r="J881">
        <v>3</v>
      </c>
      <c r="K881" t="s">
        <v>88</v>
      </c>
      <c r="L881" t="s">
        <v>126</v>
      </c>
      <c r="M881">
        <v>4</v>
      </c>
      <c r="N881" t="s">
        <v>108</v>
      </c>
      <c r="O881">
        <v>36</v>
      </c>
      <c r="P881" t="s">
        <v>122</v>
      </c>
      <c r="Q881" t="s">
        <v>105</v>
      </c>
      <c r="R881">
        <v>1</v>
      </c>
      <c r="S881" t="s">
        <v>113</v>
      </c>
      <c r="T881">
        <v>1</v>
      </c>
      <c r="U881" t="s">
        <v>93</v>
      </c>
      <c r="V881" t="s">
        <v>94</v>
      </c>
      <c r="W881">
        <v>1</v>
      </c>
      <c r="X881">
        <v>0</v>
      </c>
    </row>
    <row r="882" spans="2:24" x14ac:dyDescent="0.3">
      <c r="B882">
        <v>878</v>
      </c>
      <c r="C882" t="s">
        <v>12</v>
      </c>
      <c r="D882">
        <v>36</v>
      </c>
      <c r="E882" t="s">
        <v>95</v>
      </c>
      <c r="F882" t="s">
        <v>85</v>
      </c>
      <c r="G882">
        <v>3595</v>
      </c>
      <c r="H882" t="s">
        <v>96</v>
      </c>
      <c r="I882" t="s">
        <v>87</v>
      </c>
      <c r="J882">
        <v>4</v>
      </c>
      <c r="K882" t="s">
        <v>88</v>
      </c>
      <c r="L882" t="s">
        <v>89</v>
      </c>
      <c r="M882">
        <v>2</v>
      </c>
      <c r="N882" t="s">
        <v>111</v>
      </c>
      <c r="O882">
        <v>28</v>
      </c>
      <c r="P882" t="s">
        <v>89</v>
      </c>
      <c r="Q882" t="s">
        <v>91</v>
      </c>
      <c r="R882">
        <v>1</v>
      </c>
      <c r="S882" t="s">
        <v>92</v>
      </c>
      <c r="T882">
        <v>1</v>
      </c>
      <c r="U882" t="s">
        <v>89</v>
      </c>
      <c r="V882" t="s">
        <v>94</v>
      </c>
      <c r="W882">
        <v>1</v>
      </c>
      <c r="X882">
        <v>0</v>
      </c>
    </row>
    <row r="883" spans="2:24" x14ac:dyDescent="0.3">
      <c r="B883">
        <v>879</v>
      </c>
      <c r="C883" t="s">
        <v>8</v>
      </c>
      <c r="D883">
        <v>9</v>
      </c>
      <c r="E883" t="s">
        <v>95</v>
      </c>
      <c r="F883" t="s">
        <v>107</v>
      </c>
      <c r="G883">
        <v>1422</v>
      </c>
      <c r="H883" t="s">
        <v>96</v>
      </c>
      <c r="I883" t="s">
        <v>118</v>
      </c>
      <c r="J883">
        <v>3</v>
      </c>
      <c r="K883" t="s">
        <v>88</v>
      </c>
      <c r="L883" t="s">
        <v>89</v>
      </c>
      <c r="M883">
        <v>2</v>
      </c>
      <c r="N883" t="s">
        <v>108</v>
      </c>
      <c r="O883">
        <v>27</v>
      </c>
      <c r="P883" t="s">
        <v>89</v>
      </c>
      <c r="Q883" t="s">
        <v>105</v>
      </c>
      <c r="R883">
        <v>1</v>
      </c>
      <c r="S883" t="s">
        <v>113</v>
      </c>
      <c r="T883">
        <v>1</v>
      </c>
      <c r="U883" t="s">
        <v>93</v>
      </c>
      <c r="V883" t="s">
        <v>94</v>
      </c>
      <c r="W883">
        <v>2</v>
      </c>
      <c r="X883">
        <v>1</v>
      </c>
    </row>
    <row r="884" spans="2:24" x14ac:dyDescent="0.3">
      <c r="B884">
        <v>880</v>
      </c>
      <c r="C884" t="s">
        <v>12</v>
      </c>
      <c r="D884">
        <v>30</v>
      </c>
      <c r="E884" t="s">
        <v>84</v>
      </c>
      <c r="F884" t="s">
        <v>85</v>
      </c>
      <c r="G884">
        <v>6742</v>
      </c>
      <c r="H884" t="s">
        <v>86</v>
      </c>
      <c r="I884" t="s">
        <v>100</v>
      </c>
      <c r="J884">
        <v>2</v>
      </c>
      <c r="K884" t="s">
        <v>88</v>
      </c>
      <c r="L884" t="s">
        <v>89</v>
      </c>
      <c r="M884">
        <v>3</v>
      </c>
      <c r="N884" t="s">
        <v>104</v>
      </c>
      <c r="O884">
        <v>36</v>
      </c>
      <c r="P884" t="s">
        <v>89</v>
      </c>
      <c r="Q884" t="s">
        <v>91</v>
      </c>
      <c r="R884">
        <v>2</v>
      </c>
      <c r="S884" t="s">
        <v>92</v>
      </c>
      <c r="T884">
        <v>1</v>
      </c>
      <c r="U884" t="s">
        <v>89</v>
      </c>
      <c r="V884" t="s">
        <v>94</v>
      </c>
      <c r="W884">
        <v>1</v>
      </c>
      <c r="X884">
        <v>0</v>
      </c>
    </row>
    <row r="885" spans="2:24" x14ac:dyDescent="0.3">
      <c r="B885">
        <v>881</v>
      </c>
      <c r="C885" t="s">
        <v>12</v>
      </c>
      <c r="D885">
        <v>24</v>
      </c>
      <c r="E885" t="s">
        <v>95</v>
      </c>
      <c r="F885" t="s">
        <v>110</v>
      </c>
      <c r="G885">
        <v>7814</v>
      </c>
      <c r="H885" t="s">
        <v>96</v>
      </c>
      <c r="I885" t="s">
        <v>100</v>
      </c>
      <c r="J885">
        <v>3</v>
      </c>
      <c r="K885" t="s">
        <v>88</v>
      </c>
      <c r="L885" t="s">
        <v>89</v>
      </c>
      <c r="M885">
        <v>3</v>
      </c>
      <c r="N885" t="s">
        <v>111</v>
      </c>
      <c r="O885">
        <v>38</v>
      </c>
      <c r="P885" t="s">
        <v>89</v>
      </c>
      <c r="Q885" t="s">
        <v>91</v>
      </c>
      <c r="R885">
        <v>1</v>
      </c>
      <c r="S885" t="s">
        <v>113</v>
      </c>
      <c r="T885">
        <v>1</v>
      </c>
      <c r="U885" t="s">
        <v>93</v>
      </c>
      <c r="V885" t="s">
        <v>94</v>
      </c>
      <c r="W885">
        <v>1</v>
      </c>
      <c r="X885">
        <v>0</v>
      </c>
    </row>
    <row r="886" spans="2:24" x14ac:dyDescent="0.3">
      <c r="B886">
        <v>882</v>
      </c>
      <c r="C886" t="s">
        <v>12</v>
      </c>
      <c r="D886">
        <v>24</v>
      </c>
      <c r="E886" t="s">
        <v>95</v>
      </c>
      <c r="F886" t="s">
        <v>110</v>
      </c>
      <c r="G886">
        <v>9277</v>
      </c>
      <c r="H886" t="s">
        <v>86</v>
      </c>
      <c r="I886" t="s">
        <v>97</v>
      </c>
      <c r="J886">
        <v>2</v>
      </c>
      <c r="K886" t="s">
        <v>115</v>
      </c>
      <c r="L886" t="s">
        <v>89</v>
      </c>
      <c r="M886">
        <v>4</v>
      </c>
      <c r="N886" t="s">
        <v>108</v>
      </c>
      <c r="O886">
        <v>48</v>
      </c>
      <c r="P886" t="s">
        <v>89</v>
      </c>
      <c r="Q886" t="s">
        <v>105</v>
      </c>
      <c r="R886">
        <v>1</v>
      </c>
      <c r="S886" t="s">
        <v>92</v>
      </c>
      <c r="T886">
        <v>1</v>
      </c>
      <c r="U886" t="s">
        <v>93</v>
      </c>
      <c r="V886" t="s">
        <v>94</v>
      </c>
      <c r="W886">
        <v>1</v>
      </c>
      <c r="X886">
        <v>0</v>
      </c>
    </row>
    <row r="887" spans="2:24" x14ac:dyDescent="0.3">
      <c r="B887">
        <v>883</v>
      </c>
      <c r="C887" t="s">
        <v>10</v>
      </c>
      <c r="D887">
        <v>30</v>
      </c>
      <c r="E887" t="s">
        <v>84</v>
      </c>
      <c r="F887" t="s">
        <v>107</v>
      </c>
      <c r="G887">
        <v>2181</v>
      </c>
      <c r="H887" t="s">
        <v>86</v>
      </c>
      <c r="I887" t="s">
        <v>87</v>
      </c>
      <c r="J887">
        <v>4</v>
      </c>
      <c r="K887" t="s">
        <v>88</v>
      </c>
      <c r="L887" t="s">
        <v>89</v>
      </c>
      <c r="M887">
        <v>4</v>
      </c>
      <c r="N887" t="s">
        <v>90</v>
      </c>
      <c r="O887">
        <v>36</v>
      </c>
      <c r="P887" t="s">
        <v>89</v>
      </c>
      <c r="Q887" t="s">
        <v>91</v>
      </c>
      <c r="R887">
        <v>2</v>
      </c>
      <c r="S887" t="s">
        <v>92</v>
      </c>
      <c r="T887">
        <v>1</v>
      </c>
      <c r="U887" t="s">
        <v>89</v>
      </c>
      <c r="V887" t="s">
        <v>94</v>
      </c>
      <c r="W887">
        <v>1</v>
      </c>
      <c r="X887">
        <v>0</v>
      </c>
    </row>
    <row r="888" spans="2:24" x14ac:dyDescent="0.3">
      <c r="B888">
        <v>884</v>
      </c>
      <c r="C888" t="s">
        <v>12</v>
      </c>
      <c r="D888">
        <v>18</v>
      </c>
      <c r="E888" t="s">
        <v>84</v>
      </c>
      <c r="F888" t="s">
        <v>85</v>
      </c>
      <c r="G888">
        <v>1098</v>
      </c>
      <c r="H888" t="s">
        <v>96</v>
      </c>
      <c r="I888" t="s">
        <v>116</v>
      </c>
      <c r="J888">
        <v>4</v>
      </c>
      <c r="K888" t="s">
        <v>98</v>
      </c>
      <c r="L888" t="s">
        <v>89</v>
      </c>
      <c r="M888">
        <v>4</v>
      </c>
      <c r="N888" t="s">
        <v>111</v>
      </c>
      <c r="O888">
        <v>65</v>
      </c>
      <c r="P888" t="s">
        <v>89</v>
      </c>
      <c r="Q888" t="s">
        <v>91</v>
      </c>
      <c r="R888">
        <v>2</v>
      </c>
      <c r="S888" t="s">
        <v>129</v>
      </c>
      <c r="T888">
        <v>1</v>
      </c>
      <c r="U888" t="s">
        <v>89</v>
      </c>
      <c r="V888" t="s">
        <v>94</v>
      </c>
      <c r="W888">
        <v>1</v>
      </c>
      <c r="X888">
        <v>0</v>
      </c>
    </row>
    <row r="889" spans="2:24" x14ac:dyDescent="0.3">
      <c r="B889">
        <v>885</v>
      </c>
      <c r="C889" t="s">
        <v>10</v>
      </c>
      <c r="D889">
        <v>24</v>
      </c>
      <c r="E889" t="s">
        <v>95</v>
      </c>
      <c r="F889" t="s">
        <v>102</v>
      </c>
      <c r="G889">
        <v>4057</v>
      </c>
      <c r="H889" t="s">
        <v>96</v>
      </c>
      <c r="I889" t="s">
        <v>100</v>
      </c>
      <c r="J889">
        <v>3</v>
      </c>
      <c r="K889" t="s">
        <v>115</v>
      </c>
      <c r="L889" t="s">
        <v>89</v>
      </c>
      <c r="M889">
        <v>3</v>
      </c>
      <c r="N889" t="s">
        <v>111</v>
      </c>
      <c r="O889">
        <v>43</v>
      </c>
      <c r="P889" t="s">
        <v>89</v>
      </c>
      <c r="Q889" t="s">
        <v>91</v>
      </c>
      <c r="R889">
        <v>1</v>
      </c>
      <c r="S889" t="s">
        <v>92</v>
      </c>
      <c r="T889">
        <v>1</v>
      </c>
      <c r="U889" t="s">
        <v>93</v>
      </c>
      <c r="V889" t="s">
        <v>94</v>
      </c>
      <c r="W889">
        <v>2</v>
      </c>
      <c r="X889">
        <v>1</v>
      </c>
    </row>
    <row r="890" spans="2:24" x14ac:dyDescent="0.3">
      <c r="B890">
        <v>886</v>
      </c>
      <c r="C890" t="s">
        <v>8</v>
      </c>
      <c r="D890">
        <v>12</v>
      </c>
      <c r="E890" t="s">
        <v>95</v>
      </c>
      <c r="F890" t="s">
        <v>99</v>
      </c>
      <c r="G890">
        <v>795</v>
      </c>
      <c r="H890" t="s">
        <v>96</v>
      </c>
      <c r="I890" t="s">
        <v>118</v>
      </c>
      <c r="J890">
        <v>4</v>
      </c>
      <c r="K890" t="s">
        <v>98</v>
      </c>
      <c r="L890" t="s">
        <v>89</v>
      </c>
      <c r="M890">
        <v>4</v>
      </c>
      <c r="N890" t="s">
        <v>104</v>
      </c>
      <c r="O890">
        <v>53</v>
      </c>
      <c r="P890" t="s">
        <v>89</v>
      </c>
      <c r="Q890" t="s">
        <v>91</v>
      </c>
      <c r="R890">
        <v>1</v>
      </c>
      <c r="S890" t="s">
        <v>92</v>
      </c>
      <c r="T890">
        <v>1</v>
      </c>
      <c r="U890" t="s">
        <v>89</v>
      </c>
      <c r="V890" t="s">
        <v>94</v>
      </c>
      <c r="W890">
        <v>2</v>
      </c>
      <c r="X890">
        <v>1</v>
      </c>
    </row>
    <row r="891" spans="2:24" x14ac:dyDescent="0.3">
      <c r="B891">
        <v>887</v>
      </c>
      <c r="C891" t="s">
        <v>10</v>
      </c>
      <c r="D891">
        <v>24</v>
      </c>
      <c r="E891" t="s">
        <v>84</v>
      </c>
      <c r="F891" t="s">
        <v>119</v>
      </c>
      <c r="G891">
        <v>2825</v>
      </c>
      <c r="H891" t="s">
        <v>86</v>
      </c>
      <c r="I891" t="s">
        <v>100</v>
      </c>
      <c r="J891">
        <v>4</v>
      </c>
      <c r="K891" t="s">
        <v>88</v>
      </c>
      <c r="L891" t="s">
        <v>89</v>
      </c>
      <c r="M891">
        <v>3</v>
      </c>
      <c r="N891" t="s">
        <v>108</v>
      </c>
      <c r="O891">
        <v>34</v>
      </c>
      <c r="P891" t="s">
        <v>89</v>
      </c>
      <c r="Q891" t="s">
        <v>91</v>
      </c>
      <c r="R891">
        <v>2</v>
      </c>
      <c r="S891" t="s">
        <v>92</v>
      </c>
      <c r="T891">
        <v>2</v>
      </c>
      <c r="U891" t="s">
        <v>93</v>
      </c>
      <c r="V891" t="s">
        <v>94</v>
      </c>
      <c r="W891">
        <v>1</v>
      </c>
      <c r="X891">
        <v>0</v>
      </c>
    </row>
    <row r="892" spans="2:24" x14ac:dyDescent="0.3">
      <c r="B892">
        <v>888</v>
      </c>
      <c r="C892" t="s">
        <v>10</v>
      </c>
      <c r="D892">
        <v>48</v>
      </c>
      <c r="E892" t="s">
        <v>95</v>
      </c>
      <c r="F892" t="s">
        <v>119</v>
      </c>
      <c r="G892">
        <v>15672</v>
      </c>
      <c r="H892" t="s">
        <v>96</v>
      </c>
      <c r="I892" t="s">
        <v>97</v>
      </c>
      <c r="J892">
        <v>2</v>
      </c>
      <c r="K892" t="s">
        <v>88</v>
      </c>
      <c r="L892" t="s">
        <v>89</v>
      </c>
      <c r="M892">
        <v>2</v>
      </c>
      <c r="N892" t="s">
        <v>111</v>
      </c>
      <c r="O892">
        <v>23</v>
      </c>
      <c r="P892" t="s">
        <v>89</v>
      </c>
      <c r="Q892" t="s">
        <v>91</v>
      </c>
      <c r="R892">
        <v>1</v>
      </c>
      <c r="S892" t="s">
        <v>92</v>
      </c>
      <c r="T892">
        <v>1</v>
      </c>
      <c r="U892" t="s">
        <v>93</v>
      </c>
      <c r="V892" t="s">
        <v>94</v>
      </c>
      <c r="W892">
        <v>2</v>
      </c>
      <c r="X892">
        <v>1</v>
      </c>
    </row>
    <row r="893" spans="2:24" x14ac:dyDescent="0.3">
      <c r="B893">
        <v>889</v>
      </c>
      <c r="C893" t="s">
        <v>12</v>
      </c>
      <c r="D893">
        <v>36</v>
      </c>
      <c r="E893" t="s">
        <v>84</v>
      </c>
      <c r="F893" t="s">
        <v>107</v>
      </c>
      <c r="G893">
        <v>6614</v>
      </c>
      <c r="H893" t="s">
        <v>96</v>
      </c>
      <c r="I893" t="s">
        <v>87</v>
      </c>
      <c r="J893">
        <v>4</v>
      </c>
      <c r="K893" t="s">
        <v>88</v>
      </c>
      <c r="L893" t="s">
        <v>89</v>
      </c>
      <c r="M893">
        <v>4</v>
      </c>
      <c r="N893" t="s">
        <v>111</v>
      </c>
      <c r="O893">
        <v>34</v>
      </c>
      <c r="P893" t="s">
        <v>89</v>
      </c>
      <c r="Q893" t="s">
        <v>91</v>
      </c>
      <c r="R893">
        <v>2</v>
      </c>
      <c r="S893" t="s">
        <v>113</v>
      </c>
      <c r="T893">
        <v>1</v>
      </c>
      <c r="U893" t="s">
        <v>93</v>
      </c>
      <c r="V893" t="s">
        <v>94</v>
      </c>
      <c r="W893">
        <v>1</v>
      </c>
      <c r="X893">
        <v>0</v>
      </c>
    </row>
    <row r="894" spans="2:24" x14ac:dyDescent="0.3">
      <c r="B894">
        <v>890</v>
      </c>
      <c r="C894" t="s">
        <v>12</v>
      </c>
      <c r="D894">
        <v>28</v>
      </c>
      <c r="E894" t="s">
        <v>124</v>
      </c>
      <c r="F894" t="s">
        <v>110</v>
      </c>
      <c r="G894">
        <v>7824</v>
      </c>
      <c r="H894" t="s">
        <v>86</v>
      </c>
      <c r="I894" t="s">
        <v>118</v>
      </c>
      <c r="J894">
        <v>3</v>
      </c>
      <c r="K894" t="s">
        <v>88</v>
      </c>
      <c r="L894" t="s">
        <v>103</v>
      </c>
      <c r="M894">
        <v>4</v>
      </c>
      <c r="N894" t="s">
        <v>90</v>
      </c>
      <c r="O894">
        <v>40</v>
      </c>
      <c r="P894" t="s">
        <v>122</v>
      </c>
      <c r="Q894" t="s">
        <v>112</v>
      </c>
      <c r="R894">
        <v>2</v>
      </c>
      <c r="S894" t="s">
        <v>92</v>
      </c>
      <c r="T894">
        <v>2</v>
      </c>
      <c r="U894" t="s">
        <v>93</v>
      </c>
      <c r="V894" t="s">
        <v>94</v>
      </c>
      <c r="W894">
        <v>1</v>
      </c>
      <c r="X894">
        <v>0</v>
      </c>
    </row>
    <row r="895" spans="2:24" x14ac:dyDescent="0.3">
      <c r="B895">
        <v>891</v>
      </c>
      <c r="C895" t="s">
        <v>8</v>
      </c>
      <c r="D895">
        <v>27</v>
      </c>
      <c r="E895" t="s">
        <v>84</v>
      </c>
      <c r="F895" t="s">
        <v>119</v>
      </c>
      <c r="G895">
        <v>2442</v>
      </c>
      <c r="H895" t="s">
        <v>96</v>
      </c>
      <c r="I895" t="s">
        <v>87</v>
      </c>
      <c r="J895">
        <v>4</v>
      </c>
      <c r="K895" t="s">
        <v>88</v>
      </c>
      <c r="L895" t="s">
        <v>89</v>
      </c>
      <c r="M895">
        <v>4</v>
      </c>
      <c r="N895" t="s">
        <v>111</v>
      </c>
      <c r="O895">
        <v>43</v>
      </c>
      <c r="P895" t="s">
        <v>125</v>
      </c>
      <c r="Q895" t="s">
        <v>91</v>
      </c>
      <c r="R895">
        <v>4</v>
      </c>
      <c r="S895" t="s">
        <v>113</v>
      </c>
      <c r="T895">
        <v>2</v>
      </c>
      <c r="U895" t="s">
        <v>93</v>
      </c>
      <c r="V895" t="s">
        <v>94</v>
      </c>
      <c r="W895">
        <v>1</v>
      </c>
      <c r="X895">
        <v>0</v>
      </c>
    </row>
    <row r="896" spans="2:24" x14ac:dyDescent="0.3">
      <c r="B896">
        <v>892</v>
      </c>
      <c r="C896" t="s">
        <v>12</v>
      </c>
      <c r="D896">
        <v>15</v>
      </c>
      <c r="E896" t="s">
        <v>84</v>
      </c>
      <c r="F896" t="s">
        <v>85</v>
      </c>
      <c r="G896">
        <v>1829</v>
      </c>
      <c r="H896" t="s">
        <v>96</v>
      </c>
      <c r="I896" t="s">
        <v>87</v>
      </c>
      <c r="J896">
        <v>4</v>
      </c>
      <c r="K896" t="s">
        <v>88</v>
      </c>
      <c r="L896" t="s">
        <v>89</v>
      </c>
      <c r="M896">
        <v>4</v>
      </c>
      <c r="N896" t="s">
        <v>111</v>
      </c>
      <c r="O896">
        <v>46</v>
      </c>
      <c r="P896" t="s">
        <v>89</v>
      </c>
      <c r="Q896" t="s">
        <v>91</v>
      </c>
      <c r="R896">
        <v>2</v>
      </c>
      <c r="S896" t="s">
        <v>92</v>
      </c>
      <c r="T896">
        <v>1</v>
      </c>
      <c r="U896" t="s">
        <v>93</v>
      </c>
      <c r="V896" t="s">
        <v>94</v>
      </c>
      <c r="W896">
        <v>1</v>
      </c>
      <c r="X896">
        <v>0</v>
      </c>
    </row>
    <row r="897" spans="2:24" x14ac:dyDescent="0.3">
      <c r="B897">
        <v>893</v>
      </c>
      <c r="C897" t="s">
        <v>8</v>
      </c>
      <c r="D897">
        <v>12</v>
      </c>
      <c r="E897" t="s">
        <v>84</v>
      </c>
      <c r="F897" t="s">
        <v>107</v>
      </c>
      <c r="G897">
        <v>2171</v>
      </c>
      <c r="H897" t="s">
        <v>96</v>
      </c>
      <c r="I897" t="s">
        <v>97</v>
      </c>
      <c r="J897">
        <v>4</v>
      </c>
      <c r="K897" t="s">
        <v>88</v>
      </c>
      <c r="L897" t="s">
        <v>89</v>
      </c>
      <c r="M897">
        <v>4</v>
      </c>
      <c r="N897" t="s">
        <v>104</v>
      </c>
      <c r="O897">
        <v>38</v>
      </c>
      <c r="P897" t="s">
        <v>122</v>
      </c>
      <c r="Q897" t="s">
        <v>91</v>
      </c>
      <c r="R897">
        <v>2</v>
      </c>
      <c r="S897" t="s">
        <v>101</v>
      </c>
      <c r="T897">
        <v>1</v>
      </c>
      <c r="U897" t="s">
        <v>89</v>
      </c>
      <c r="V897" t="s">
        <v>123</v>
      </c>
      <c r="W897">
        <v>1</v>
      </c>
      <c r="X897">
        <v>0</v>
      </c>
    </row>
    <row r="898" spans="2:24" x14ac:dyDescent="0.3">
      <c r="B898">
        <v>894</v>
      </c>
      <c r="C898" t="s">
        <v>10</v>
      </c>
      <c r="D898">
        <v>36</v>
      </c>
      <c r="E898" t="s">
        <v>84</v>
      </c>
      <c r="F898" t="s">
        <v>110</v>
      </c>
      <c r="G898">
        <v>5800</v>
      </c>
      <c r="H898" t="s">
        <v>96</v>
      </c>
      <c r="I898" t="s">
        <v>97</v>
      </c>
      <c r="J898">
        <v>3</v>
      </c>
      <c r="K898" t="s">
        <v>88</v>
      </c>
      <c r="L898" t="s">
        <v>89</v>
      </c>
      <c r="M898">
        <v>4</v>
      </c>
      <c r="N898" t="s">
        <v>111</v>
      </c>
      <c r="O898">
        <v>34</v>
      </c>
      <c r="P898" t="s">
        <v>89</v>
      </c>
      <c r="Q898" t="s">
        <v>91</v>
      </c>
      <c r="R898">
        <v>2</v>
      </c>
      <c r="S898" t="s">
        <v>92</v>
      </c>
      <c r="T898">
        <v>1</v>
      </c>
      <c r="U898" t="s">
        <v>93</v>
      </c>
      <c r="V898" t="s">
        <v>94</v>
      </c>
      <c r="W898">
        <v>1</v>
      </c>
      <c r="X898">
        <v>0</v>
      </c>
    </row>
    <row r="899" spans="2:24" x14ac:dyDescent="0.3">
      <c r="B899">
        <v>895</v>
      </c>
      <c r="C899" t="s">
        <v>12</v>
      </c>
      <c r="D899">
        <v>18</v>
      </c>
      <c r="E899" t="s">
        <v>84</v>
      </c>
      <c r="F899" t="s">
        <v>85</v>
      </c>
      <c r="G899">
        <v>1169</v>
      </c>
      <c r="H899" t="s">
        <v>86</v>
      </c>
      <c r="I899" t="s">
        <v>97</v>
      </c>
      <c r="J899">
        <v>4</v>
      </c>
      <c r="K899" t="s">
        <v>88</v>
      </c>
      <c r="L899" t="s">
        <v>89</v>
      </c>
      <c r="M899">
        <v>3</v>
      </c>
      <c r="N899" t="s">
        <v>104</v>
      </c>
      <c r="O899">
        <v>29</v>
      </c>
      <c r="P899" t="s">
        <v>89</v>
      </c>
      <c r="Q899" t="s">
        <v>91</v>
      </c>
      <c r="R899">
        <v>2</v>
      </c>
      <c r="S899" t="s">
        <v>92</v>
      </c>
      <c r="T899">
        <v>1</v>
      </c>
      <c r="U899" t="s">
        <v>93</v>
      </c>
      <c r="V899" t="s">
        <v>94</v>
      </c>
      <c r="W899">
        <v>1</v>
      </c>
      <c r="X899">
        <v>0</v>
      </c>
    </row>
    <row r="900" spans="2:24" x14ac:dyDescent="0.3">
      <c r="B900">
        <v>896</v>
      </c>
      <c r="C900" t="s">
        <v>12</v>
      </c>
      <c r="D900">
        <v>36</v>
      </c>
      <c r="E900" t="s">
        <v>106</v>
      </c>
      <c r="F900" t="s">
        <v>110</v>
      </c>
      <c r="G900">
        <v>8947</v>
      </c>
      <c r="H900" t="s">
        <v>86</v>
      </c>
      <c r="I900" t="s">
        <v>100</v>
      </c>
      <c r="J900">
        <v>3</v>
      </c>
      <c r="K900" t="s">
        <v>88</v>
      </c>
      <c r="L900" t="s">
        <v>89</v>
      </c>
      <c r="M900">
        <v>2</v>
      </c>
      <c r="N900" t="s">
        <v>111</v>
      </c>
      <c r="O900">
        <v>31</v>
      </c>
      <c r="P900" t="s">
        <v>125</v>
      </c>
      <c r="Q900" t="s">
        <v>91</v>
      </c>
      <c r="R900">
        <v>1</v>
      </c>
      <c r="S900" t="s">
        <v>113</v>
      </c>
      <c r="T900">
        <v>2</v>
      </c>
      <c r="U900" t="s">
        <v>93</v>
      </c>
      <c r="V900" t="s">
        <v>94</v>
      </c>
      <c r="W900">
        <v>1</v>
      </c>
      <c r="X900">
        <v>0</v>
      </c>
    </row>
    <row r="901" spans="2:24" x14ac:dyDescent="0.3">
      <c r="B901">
        <v>897</v>
      </c>
      <c r="C901" t="s">
        <v>8</v>
      </c>
      <c r="D901">
        <v>21</v>
      </c>
      <c r="E901" t="s">
        <v>95</v>
      </c>
      <c r="F901" t="s">
        <v>85</v>
      </c>
      <c r="G901">
        <v>2606</v>
      </c>
      <c r="H901" t="s">
        <v>96</v>
      </c>
      <c r="I901" t="s">
        <v>118</v>
      </c>
      <c r="J901">
        <v>4</v>
      </c>
      <c r="K901" t="s">
        <v>98</v>
      </c>
      <c r="L901" t="s">
        <v>89</v>
      </c>
      <c r="M901">
        <v>4</v>
      </c>
      <c r="N901" t="s">
        <v>104</v>
      </c>
      <c r="O901">
        <v>28</v>
      </c>
      <c r="P901" t="s">
        <v>89</v>
      </c>
      <c r="Q901" t="s">
        <v>112</v>
      </c>
      <c r="R901">
        <v>1</v>
      </c>
      <c r="S901" t="s">
        <v>113</v>
      </c>
      <c r="T901">
        <v>1</v>
      </c>
      <c r="U901" t="s">
        <v>93</v>
      </c>
      <c r="V901" t="s">
        <v>94</v>
      </c>
      <c r="W901">
        <v>1</v>
      </c>
      <c r="X901">
        <v>0</v>
      </c>
    </row>
    <row r="902" spans="2:24" x14ac:dyDescent="0.3">
      <c r="B902">
        <v>898</v>
      </c>
      <c r="C902" t="s">
        <v>12</v>
      </c>
      <c r="D902">
        <v>12</v>
      </c>
      <c r="E902" t="s">
        <v>84</v>
      </c>
      <c r="F902" t="s">
        <v>102</v>
      </c>
      <c r="G902">
        <v>1592</v>
      </c>
      <c r="H902" t="s">
        <v>114</v>
      </c>
      <c r="I902" t="s">
        <v>100</v>
      </c>
      <c r="J902">
        <v>3</v>
      </c>
      <c r="K902" t="s">
        <v>98</v>
      </c>
      <c r="L902" t="s">
        <v>89</v>
      </c>
      <c r="M902">
        <v>2</v>
      </c>
      <c r="N902" t="s">
        <v>104</v>
      </c>
      <c r="O902">
        <v>35</v>
      </c>
      <c r="P902" t="s">
        <v>89</v>
      </c>
      <c r="Q902" t="s">
        <v>91</v>
      </c>
      <c r="R902">
        <v>1</v>
      </c>
      <c r="S902" t="s">
        <v>92</v>
      </c>
      <c r="T902">
        <v>1</v>
      </c>
      <c r="U902" t="s">
        <v>89</v>
      </c>
      <c r="V902" t="s">
        <v>123</v>
      </c>
      <c r="W902">
        <v>1</v>
      </c>
      <c r="X902">
        <v>0</v>
      </c>
    </row>
    <row r="903" spans="2:24" x14ac:dyDescent="0.3">
      <c r="B903">
        <v>899</v>
      </c>
      <c r="C903" t="s">
        <v>12</v>
      </c>
      <c r="D903">
        <v>15</v>
      </c>
      <c r="E903" t="s">
        <v>95</v>
      </c>
      <c r="F903" t="s">
        <v>102</v>
      </c>
      <c r="G903">
        <v>2186</v>
      </c>
      <c r="H903" t="s">
        <v>86</v>
      </c>
      <c r="I903" t="s">
        <v>100</v>
      </c>
      <c r="J903">
        <v>1</v>
      </c>
      <c r="K903" t="s">
        <v>98</v>
      </c>
      <c r="L903" t="s">
        <v>89</v>
      </c>
      <c r="M903">
        <v>4</v>
      </c>
      <c r="N903" t="s">
        <v>90</v>
      </c>
      <c r="O903">
        <v>33</v>
      </c>
      <c r="P903" t="s">
        <v>122</v>
      </c>
      <c r="Q903" t="s">
        <v>112</v>
      </c>
      <c r="R903">
        <v>1</v>
      </c>
      <c r="S903" t="s">
        <v>101</v>
      </c>
      <c r="T903">
        <v>1</v>
      </c>
      <c r="U903" t="s">
        <v>89</v>
      </c>
      <c r="V903" t="s">
        <v>94</v>
      </c>
      <c r="W903">
        <v>1</v>
      </c>
      <c r="X903">
        <v>0</v>
      </c>
    </row>
    <row r="904" spans="2:24" x14ac:dyDescent="0.3">
      <c r="B904">
        <v>900</v>
      </c>
      <c r="C904" t="s">
        <v>8</v>
      </c>
      <c r="D904">
        <v>18</v>
      </c>
      <c r="E904" t="s">
        <v>95</v>
      </c>
      <c r="F904" t="s">
        <v>102</v>
      </c>
      <c r="G904">
        <v>4153</v>
      </c>
      <c r="H904" t="s">
        <v>96</v>
      </c>
      <c r="I904" t="s">
        <v>97</v>
      </c>
      <c r="J904">
        <v>2</v>
      </c>
      <c r="K904" t="s">
        <v>88</v>
      </c>
      <c r="L904" t="s">
        <v>126</v>
      </c>
      <c r="M904">
        <v>3</v>
      </c>
      <c r="N904" t="s">
        <v>111</v>
      </c>
      <c r="O904">
        <v>42</v>
      </c>
      <c r="P904" t="s">
        <v>89</v>
      </c>
      <c r="Q904" t="s">
        <v>91</v>
      </c>
      <c r="R904">
        <v>1</v>
      </c>
      <c r="S904" t="s">
        <v>92</v>
      </c>
      <c r="T904">
        <v>1</v>
      </c>
      <c r="U904" t="s">
        <v>89</v>
      </c>
      <c r="V904" t="s">
        <v>94</v>
      </c>
      <c r="W904">
        <v>2</v>
      </c>
      <c r="X904">
        <v>1</v>
      </c>
    </row>
    <row r="905" spans="2:24" x14ac:dyDescent="0.3">
      <c r="B905">
        <v>901</v>
      </c>
      <c r="C905" t="s">
        <v>8</v>
      </c>
      <c r="D905">
        <v>16</v>
      </c>
      <c r="E905" t="s">
        <v>84</v>
      </c>
      <c r="F905" t="s">
        <v>107</v>
      </c>
      <c r="G905">
        <v>2625</v>
      </c>
      <c r="H905" t="s">
        <v>96</v>
      </c>
      <c r="I905" t="s">
        <v>87</v>
      </c>
      <c r="J905">
        <v>2</v>
      </c>
      <c r="K905" t="s">
        <v>88</v>
      </c>
      <c r="L905" t="s">
        <v>103</v>
      </c>
      <c r="M905">
        <v>4</v>
      </c>
      <c r="N905" t="s">
        <v>104</v>
      </c>
      <c r="O905">
        <v>43</v>
      </c>
      <c r="P905" t="s">
        <v>122</v>
      </c>
      <c r="Q905" t="s">
        <v>112</v>
      </c>
      <c r="R905">
        <v>1</v>
      </c>
      <c r="S905" t="s">
        <v>92</v>
      </c>
      <c r="T905">
        <v>1</v>
      </c>
      <c r="U905" t="s">
        <v>93</v>
      </c>
      <c r="V905" t="s">
        <v>94</v>
      </c>
      <c r="W905">
        <v>2</v>
      </c>
      <c r="X905">
        <v>1</v>
      </c>
    </row>
    <row r="906" spans="2:24" x14ac:dyDescent="0.3">
      <c r="B906">
        <v>902</v>
      </c>
      <c r="C906" t="s">
        <v>12</v>
      </c>
      <c r="D906">
        <v>20</v>
      </c>
      <c r="E906" t="s">
        <v>84</v>
      </c>
      <c r="F906" t="s">
        <v>107</v>
      </c>
      <c r="G906">
        <v>3485</v>
      </c>
      <c r="H906" t="s">
        <v>86</v>
      </c>
      <c r="I906" t="s">
        <v>118</v>
      </c>
      <c r="J906">
        <v>2</v>
      </c>
      <c r="K906" t="s">
        <v>115</v>
      </c>
      <c r="L906" t="s">
        <v>89</v>
      </c>
      <c r="M906">
        <v>4</v>
      </c>
      <c r="N906" t="s">
        <v>90</v>
      </c>
      <c r="O906">
        <v>44</v>
      </c>
      <c r="P906" t="s">
        <v>89</v>
      </c>
      <c r="Q906" t="s">
        <v>91</v>
      </c>
      <c r="R906">
        <v>2</v>
      </c>
      <c r="S906" t="s">
        <v>92</v>
      </c>
      <c r="T906">
        <v>1</v>
      </c>
      <c r="U906" t="s">
        <v>93</v>
      </c>
      <c r="V906" t="s">
        <v>94</v>
      </c>
      <c r="W906">
        <v>1</v>
      </c>
      <c r="X906">
        <v>0</v>
      </c>
    </row>
    <row r="907" spans="2:24" x14ac:dyDescent="0.3">
      <c r="B907">
        <v>903</v>
      </c>
      <c r="C907" t="s">
        <v>12</v>
      </c>
      <c r="D907">
        <v>36</v>
      </c>
      <c r="E907" t="s">
        <v>84</v>
      </c>
      <c r="F907" t="s">
        <v>110</v>
      </c>
      <c r="G907">
        <v>10477</v>
      </c>
      <c r="H907" t="s">
        <v>86</v>
      </c>
      <c r="I907" t="s">
        <v>87</v>
      </c>
      <c r="J907">
        <v>2</v>
      </c>
      <c r="K907" t="s">
        <v>88</v>
      </c>
      <c r="L907" t="s">
        <v>89</v>
      </c>
      <c r="M907">
        <v>4</v>
      </c>
      <c r="N907" t="s">
        <v>108</v>
      </c>
      <c r="O907">
        <v>42</v>
      </c>
      <c r="P907" t="s">
        <v>89</v>
      </c>
      <c r="Q907" t="s">
        <v>105</v>
      </c>
      <c r="R907">
        <v>2</v>
      </c>
      <c r="S907" t="s">
        <v>92</v>
      </c>
      <c r="T907">
        <v>1</v>
      </c>
      <c r="U907" t="s">
        <v>89</v>
      </c>
      <c r="V907" t="s">
        <v>94</v>
      </c>
      <c r="W907">
        <v>1</v>
      </c>
      <c r="X907">
        <v>0</v>
      </c>
    </row>
    <row r="908" spans="2:24" x14ac:dyDescent="0.3">
      <c r="B908">
        <v>904</v>
      </c>
      <c r="C908" t="s">
        <v>12</v>
      </c>
      <c r="D908">
        <v>15</v>
      </c>
      <c r="E908" t="s">
        <v>95</v>
      </c>
      <c r="F908" t="s">
        <v>85</v>
      </c>
      <c r="G908">
        <v>1386</v>
      </c>
      <c r="H908" t="s">
        <v>86</v>
      </c>
      <c r="I908" t="s">
        <v>97</v>
      </c>
      <c r="J908">
        <v>4</v>
      </c>
      <c r="K908" t="s">
        <v>117</v>
      </c>
      <c r="L908" t="s">
        <v>89</v>
      </c>
      <c r="M908">
        <v>2</v>
      </c>
      <c r="N908" t="s">
        <v>90</v>
      </c>
      <c r="O908">
        <v>40</v>
      </c>
      <c r="P908" t="s">
        <v>89</v>
      </c>
      <c r="Q908" t="s">
        <v>112</v>
      </c>
      <c r="R908">
        <v>1</v>
      </c>
      <c r="S908" t="s">
        <v>92</v>
      </c>
      <c r="T908">
        <v>1</v>
      </c>
      <c r="U908" t="s">
        <v>93</v>
      </c>
      <c r="V908" t="s">
        <v>94</v>
      </c>
      <c r="W908">
        <v>1</v>
      </c>
      <c r="X908">
        <v>0</v>
      </c>
    </row>
    <row r="909" spans="2:24" x14ac:dyDescent="0.3">
      <c r="B909">
        <v>905</v>
      </c>
      <c r="C909" t="s">
        <v>12</v>
      </c>
      <c r="D909">
        <v>24</v>
      </c>
      <c r="E909" t="s">
        <v>95</v>
      </c>
      <c r="F909" t="s">
        <v>85</v>
      </c>
      <c r="G909">
        <v>1278</v>
      </c>
      <c r="H909" t="s">
        <v>96</v>
      </c>
      <c r="I909" t="s">
        <v>87</v>
      </c>
      <c r="J909">
        <v>4</v>
      </c>
      <c r="K909" t="s">
        <v>88</v>
      </c>
      <c r="L909" t="s">
        <v>89</v>
      </c>
      <c r="M909">
        <v>1</v>
      </c>
      <c r="N909" t="s">
        <v>90</v>
      </c>
      <c r="O909">
        <v>36</v>
      </c>
      <c r="P909" t="s">
        <v>89</v>
      </c>
      <c r="Q909" t="s">
        <v>91</v>
      </c>
      <c r="R909">
        <v>1</v>
      </c>
      <c r="S909" t="s">
        <v>113</v>
      </c>
      <c r="T909">
        <v>1</v>
      </c>
      <c r="U909" t="s">
        <v>93</v>
      </c>
      <c r="V909" t="s">
        <v>94</v>
      </c>
      <c r="W909">
        <v>1</v>
      </c>
      <c r="X909">
        <v>0</v>
      </c>
    </row>
    <row r="910" spans="2:24" x14ac:dyDescent="0.3">
      <c r="B910">
        <v>906</v>
      </c>
      <c r="C910" t="s">
        <v>8</v>
      </c>
      <c r="D910">
        <v>12</v>
      </c>
      <c r="E910" t="s">
        <v>95</v>
      </c>
      <c r="F910" t="s">
        <v>85</v>
      </c>
      <c r="G910">
        <v>1107</v>
      </c>
      <c r="H910" t="s">
        <v>96</v>
      </c>
      <c r="I910" t="s">
        <v>97</v>
      </c>
      <c r="J910">
        <v>2</v>
      </c>
      <c r="K910" t="s">
        <v>88</v>
      </c>
      <c r="L910" t="s">
        <v>89</v>
      </c>
      <c r="M910">
        <v>2</v>
      </c>
      <c r="N910" t="s">
        <v>90</v>
      </c>
      <c r="O910">
        <v>20</v>
      </c>
      <c r="P910" t="s">
        <v>89</v>
      </c>
      <c r="Q910" t="s">
        <v>112</v>
      </c>
      <c r="R910">
        <v>1</v>
      </c>
      <c r="S910" t="s">
        <v>113</v>
      </c>
      <c r="T910">
        <v>2</v>
      </c>
      <c r="U910" t="s">
        <v>93</v>
      </c>
      <c r="V910" t="s">
        <v>94</v>
      </c>
      <c r="W910">
        <v>1</v>
      </c>
      <c r="X910">
        <v>0</v>
      </c>
    </row>
    <row r="911" spans="2:24" x14ac:dyDescent="0.3">
      <c r="B911">
        <v>907</v>
      </c>
      <c r="C911" t="s">
        <v>8</v>
      </c>
      <c r="D911">
        <v>21</v>
      </c>
      <c r="E911" t="s">
        <v>95</v>
      </c>
      <c r="F911" t="s">
        <v>107</v>
      </c>
      <c r="G911">
        <v>3763</v>
      </c>
      <c r="H911" t="s">
        <v>86</v>
      </c>
      <c r="I911" t="s">
        <v>100</v>
      </c>
      <c r="J911">
        <v>2</v>
      </c>
      <c r="K911" t="s">
        <v>88</v>
      </c>
      <c r="L911" t="s">
        <v>126</v>
      </c>
      <c r="M911">
        <v>2</v>
      </c>
      <c r="N911" t="s">
        <v>90</v>
      </c>
      <c r="O911">
        <v>24</v>
      </c>
      <c r="P911" t="s">
        <v>89</v>
      </c>
      <c r="Q911" t="s">
        <v>91</v>
      </c>
      <c r="R911">
        <v>1</v>
      </c>
      <c r="S911" t="s">
        <v>101</v>
      </c>
      <c r="T911">
        <v>1</v>
      </c>
      <c r="U911" t="s">
        <v>89</v>
      </c>
      <c r="V911" t="s">
        <v>123</v>
      </c>
      <c r="W911">
        <v>1</v>
      </c>
      <c r="X911">
        <v>0</v>
      </c>
    </row>
    <row r="912" spans="2:24" x14ac:dyDescent="0.3">
      <c r="B912">
        <v>908</v>
      </c>
      <c r="C912" t="s">
        <v>10</v>
      </c>
      <c r="D912">
        <v>36</v>
      </c>
      <c r="E912" t="s">
        <v>95</v>
      </c>
      <c r="F912" t="s">
        <v>99</v>
      </c>
      <c r="G912">
        <v>3711</v>
      </c>
      <c r="H912" t="s">
        <v>86</v>
      </c>
      <c r="I912" t="s">
        <v>97</v>
      </c>
      <c r="J912">
        <v>2</v>
      </c>
      <c r="K912" t="s">
        <v>117</v>
      </c>
      <c r="L912" t="s">
        <v>89</v>
      </c>
      <c r="M912">
        <v>2</v>
      </c>
      <c r="N912" t="s">
        <v>111</v>
      </c>
      <c r="O912">
        <v>27</v>
      </c>
      <c r="P912" t="s">
        <v>89</v>
      </c>
      <c r="Q912" t="s">
        <v>91</v>
      </c>
      <c r="R912">
        <v>1</v>
      </c>
      <c r="S912" t="s">
        <v>92</v>
      </c>
      <c r="T912">
        <v>1</v>
      </c>
      <c r="U912" t="s">
        <v>89</v>
      </c>
      <c r="V912" t="s">
        <v>94</v>
      </c>
      <c r="W912">
        <v>1</v>
      </c>
      <c r="X912">
        <v>0</v>
      </c>
    </row>
    <row r="913" spans="2:24" x14ac:dyDescent="0.3">
      <c r="B913">
        <v>909</v>
      </c>
      <c r="C913" t="s">
        <v>12</v>
      </c>
      <c r="D913">
        <v>15</v>
      </c>
      <c r="E913" t="s">
        <v>106</v>
      </c>
      <c r="F913" t="s">
        <v>110</v>
      </c>
      <c r="G913">
        <v>3594</v>
      </c>
      <c r="H913" t="s">
        <v>96</v>
      </c>
      <c r="I913" t="s">
        <v>118</v>
      </c>
      <c r="J913">
        <v>1</v>
      </c>
      <c r="K913" t="s">
        <v>98</v>
      </c>
      <c r="L913" t="s">
        <v>89</v>
      </c>
      <c r="M913">
        <v>2</v>
      </c>
      <c r="N913" t="s">
        <v>104</v>
      </c>
      <c r="O913">
        <v>46</v>
      </c>
      <c r="P913" t="s">
        <v>89</v>
      </c>
      <c r="Q913" t="s">
        <v>91</v>
      </c>
      <c r="R913">
        <v>2</v>
      </c>
      <c r="S913" t="s">
        <v>101</v>
      </c>
      <c r="T913">
        <v>1</v>
      </c>
      <c r="U913" t="s">
        <v>89</v>
      </c>
      <c r="V913" t="s">
        <v>94</v>
      </c>
      <c r="W913">
        <v>1</v>
      </c>
      <c r="X913">
        <v>0</v>
      </c>
    </row>
    <row r="914" spans="2:24" x14ac:dyDescent="0.3">
      <c r="B914">
        <v>910</v>
      </c>
      <c r="C914" t="s">
        <v>10</v>
      </c>
      <c r="D914">
        <v>9</v>
      </c>
      <c r="E914" t="s">
        <v>95</v>
      </c>
      <c r="F914" t="s">
        <v>107</v>
      </c>
      <c r="G914">
        <v>3195</v>
      </c>
      <c r="H914" t="s">
        <v>86</v>
      </c>
      <c r="I914" t="s">
        <v>97</v>
      </c>
      <c r="J914">
        <v>1</v>
      </c>
      <c r="K914" t="s">
        <v>98</v>
      </c>
      <c r="L914" t="s">
        <v>89</v>
      </c>
      <c r="M914">
        <v>2</v>
      </c>
      <c r="N914" t="s">
        <v>90</v>
      </c>
      <c r="O914">
        <v>33</v>
      </c>
      <c r="P914" t="s">
        <v>89</v>
      </c>
      <c r="Q914" t="s">
        <v>91</v>
      </c>
      <c r="R914">
        <v>1</v>
      </c>
      <c r="S914" t="s">
        <v>101</v>
      </c>
      <c r="T914">
        <v>1</v>
      </c>
      <c r="U914" t="s">
        <v>89</v>
      </c>
      <c r="V914" t="s">
        <v>94</v>
      </c>
      <c r="W914">
        <v>1</v>
      </c>
      <c r="X914">
        <v>0</v>
      </c>
    </row>
    <row r="915" spans="2:24" x14ac:dyDescent="0.3">
      <c r="B915">
        <v>911</v>
      </c>
      <c r="C915" t="s">
        <v>12</v>
      </c>
      <c r="D915">
        <v>36</v>
      </c>
      <c r="E915" t="s">
        <v>106</v>
      </c>
      <c r="F915" t="s">
        <v>85</v>
      </c>
      <c r="G915">
        <v>4454</v>
      </c>
      <c r="H915" t="s">
        <v>96</v>
      </c>
      <c r="I915" t="s">
        <v>97</v>
      </c>
      <c r="J915">
        <v>4</v>
      </c>
      <c r="K915" t="s">
        <v>98</v>
      </c>
      <c r="L915" t="s">
        <v>89</v>
      </c>
      <c r="M915">
        <v>4</v>
      </c>
      <c r="N915" t="s">
        <v>90</v>
      </c>
      <c r="O915">
        <v>34</v>
      </c>
      <c r="P915" t="s">
        <v>89</v>
      </c>
      <c r="Q915" t="s">
        <v>91</v>
      </c>
      <c r="R915">
        <v>2</v>
      </c>
      <c r="S915" t="s">
        <v>92</v>
      </c>
      <c r="T915">
        <v>1</v>
      </c>
      <c r="U915" t="s">
        <v>89</v>
      </c>
      <c r="V915" t="s">
        <v>94</v>
      </c>
      <c r="W915">
        <v>1</v>
      </c>
      <c r="X915">
        <v>0</v>
      </c>
    </row>
    <row r="916" spans="2:24" x14ac:dyDescent="0.3">
      <c r="B916">
        <v>912</v>
      </c>
      <c r="C916" t="s">
        <v>10</v>
      </c>
      <c r="D916">
        <v>24</v>
      </c>
      <c r="E916" t="s">
        <v>84</v>
      </c>
      <c r="F916" t="s">
        <v>102</v>
      </c>
      <c r="G916">
        <v>4736</v>
      </c>
      <c r="H916" t="s">
        <v>96</v>
      </c>
      <c r="I916" t="s">
        <v>118</v>
      </c>
      <c r="J916">
        <v>2</v>
      </c>
      <c r="K916" t="s">
        <v>98</v>
      </c>
      <c r="L916" t="s">
        <v>89</v>
      </c>
      <c r="M916">
        <v>4</v>
      </c>
      <c r="N916" t="s">
        <v>111</v>
      </c>
      <c r="O916">
        <v>25</v>
      </c>
      <c r="P916" t="s">
        <v>122</v>
      </c>
      <c r="Q916" t="s">
        <v>91</v>
      </c>
      <c r="R916">
        <v>1</v>
      </c>
      <c r="S916" t="s">
        <v>101</v>
      </c>
      <c r="T916">
        <v>1</v>
      </c>
      <c r="U916" t="s">
        <v>89</v>
      </c>
      <c r="V916" t="s">
        <v>94</v>
      </c>
      <c r="W916">
        <v>2</v>
      </c>
      <c r="X916">
        <v>1</v>
      </c>
    </row>
    <row r="917" spans="2:24" x14ac:dyDescent="0.3">
      <c r="B917">
        <v>913</v>
      </c>
      <c r="C917" t="s">
        <v>10</v>
      </c>
      <c r="D917">
        <v>30</v>
      </c>
      <c r="E917" t="s">
        <v>95</v>
      </c>
      <c r="F917" t="s">
        <v>85</v>
      </c>
      <c r="G917">
        <v>2991</v>
      </c>
      <c r="H917" t="s">
        <v>86</v>
      </c>
      <c r="I917" t="s">
        <v>87</v>
      </c>
      <c r="J917">
        <v>2</v>
      </c>
      <c r="K917" t="s">
        <v>98</v>
      </c>
      <c r="L917" t="s">
        <v>89</v>
      </c>
      <c r="M917">
        <v>4</v>
      </c>
      <c r="N917" t="s">
        <v>111</v>
      </c>
      <c r="O917">
        <v>25</v>
      </c>
      <c r="P917" t="s">
        <v>89</v>
      </c>
      <c r="Q917" t="s">
        <v>91</v>
      </c>
      <c r="R917">
        <v>1</v>
      </c>
      <c r="S917" t="s">
        <v>92</v>
      </c>
      <c r="T917">
        <v>1</v>
      </c>
      <c r="U917" t="s">
        <v>89</v>
      </c>
      <c r="V917" t="s">
        <v>94</v>
      </c>
      <c r="W917">
        <v>1</v>
      </c>
      <c r="X917">
        <v>0</v>
      </c>
    </row>
    <row r="918" spans="2:24" x14ac:dyDescent="0.3">
      <c r="B918">
        <v>914</v>
      </c>
      <c r="C918" t="s">
        <v>12</v>
      </c>
      <c r="D918">
        <v>11</v>
      </c>
      <c r="E918" t="s">
        <v>95</v>
      </c>
      <c r="F918" t="s">
        <v>119</v>
      </c>
      <c r="G918">
        <v>2142</v>
      </c>
      <c r="H918" t="s">
        <v>114</v>
      </c>
      <c r="I918" t="s">
        <v>87</v>
      </c>
      <c r="J918">
        <v>1</v>
      </c>
      <c r="K918" t="s">
        <v>115</v>
      </c>
      <c r="L918" t="s">
        <v>89</v>
      </c>
      <c r="M918">
        <v>2</v>
      </c>
      <c r="N918" t="s">
        <v>90</v>
      </c>
      <c r="O918">
        <v>28</v>
      </c>
      <c r="P918" t="s">
        <v>89</v>
      </c>
      <c r="Q918" t="s">
        <v>91</v>
      </c>
      <c r="R918">
        <v>1</v>
      </c>
      <c r="S918" t="s">
        <v>92</v>
      </c>
      <c r="T918">
        <v>1</v>
      </c>
      <c r="U918" t="s">
        <v>93</v>
      </c>
      <c r="V918" t="s">
        <v>94</v>
      </c>
      <c r="W918">
        <v>1</v>
      </c>
      <c r="X918">
        <v>0</v>
      </c>
    </row>
    <row r="919" spans="2:24" x14ac:dyDescent="0.3">
      <c r="B919">
        <v>915</v>
      </c>
      <c r="C919" t="s">
        <v>8</v>
      </c>
      <c r="D919">
        <v>24</v>
      </c>
      <c r="E919" t="s">
        <v>124</v>
      </c>
      <c r="F919" t="s">
        <v>119</v>
      </c>
      <c r="G919">
        <v>3161</v>
      </c>
      <c r="H919" t="s">
        <v>96</v>
      </c>
      <c r="I919" t="s">
        <v>97</v>
      </c>
      <c r="J919">
        <v>4</v>
      </c>
      <c r="K919" t="s">
        <v>88</v>
      </c>
      <c r="L919" t="s">
        <v>89</v>
      </c>
      <c r="M919">
        <v>2</v>
      </c>
      <c r="N919" t="s">
        <v>104</v>
      </c>
      <c r="O919">
        <v>31</v>
      </c>
      <c r="P919" t="s">
        <v>89</v>
      </c>
      <c r="Q919" t="s">
        <v>112</v>
      </c>
      <c r="R919">
        <v>1</v>
      </c>
      <c r="S919" t="s">
        <v>92</v>
      </c>
      <c r="T919">
        <v>1</v>
      </c>
      <c r="U919" t="s">
        <v>93</v>
      </c>
      <c r="V919" t="s">
        <v>94</v>
      </c>
      <c r="W919">
        <v>2</v>
      </c>
      <c r="X919">
        <v>1</v>
      </c>
    </row>
    <row r="920" spans="2:24" x14ac:dyDescent="0.3">
      <c r="B920">
        <v>916</v>
      </c>
      <c r="C920" t="s">
        <v>10</v>
      </c>
      <c r="D920">
        <v>48</v>
      </c>
      <c r="E920" t="s">
        <v>121</v>
      </c>
      <c r="F920" t="s">
        <v>130</v>
      </c>
      <c r="G920">
        <v>18424</v>
      </c>
      <c r="H920" t="s">
        <v>96</v>
      </c>
      <c r="I920" t="s">
        <v>97</v>
      </c>
      <c r="J920">
        <v>1</v>
      </c>
      <c r="K920" t="s">
        <v>98</v>
      </c>
      <c r="L920" t="s">
        <v>89</v>
      </c>
      <c r="M920">
        <v>2</v>
      </c>
      <c r="N920" t="s">
        <v>104</v>
      </c>
      <c r="O920">
        <v>32</v>
      </c>
      <c r="P920" t="s">
        <v>122</v>
      </c>
      <c r="Q920" t="s">
        <v>91</v>
      </c>
      <c r="R920">
        <v>1</v>
      </c>
      <c r="S920" t="s">
        <v>113</v>
      </c>
      <c r="T920">
        <v>1</v>
      </c>
      <c r="U920" t="s">
        <v>93</v>
      </c>
      <c r="V920" t="s">
        <v>123</v>
      </c>
      <c r="W920">
        <v>2</v>
      </c>
      <c r="X920">
        <v>1</v>
      </c>
    </row>
    <row r="921" spans="2:24" x14ac:dyDescent="0.3">
      <c r="B921">
        <v>917</v>
      </c>
      <c r="C921" t="s">
        <v>12</v>
      </c>
      <c r="D921">
        <v>10</v>
      </c>
      <c r="E921" t="s">
        <v>95</v>
      </c>
      <c r="F921" t="s">
        <v>110</v>
      </c>
      <c r="G921">
        <v>2848</v>
      </c>
      <c r="H921" t="s">
        <v>120</v>
      </c>
      <c r="I921" t="s">
        <v>97</v>
      </c>
      <c r="J921">
        <v>1</v>
      </c>
      <c r="K921" t="s">
        <v>88</v>
      </c>
      <c r="L921" t="s">
        <v>126</v>
      </c>
      <c r="M921">
        <v>2</v>
      </c>
      <c r="N921" t="s">
        <v>90</v>
      </c>
      <c r="O921">
        <v>32</v>
      </c>
      <c r="P921" t="s">
        <v>89</v>
      </c>
      <c r="Q921" t="s">
        <v>91</v>
      </c>
      <c r="R921">
        <v>1</v>
      </c>
      <c r="S921" t="s">
        <v>92</v>
      </c>
      <c r="T921">
        <v>2</v>
      </c>
      <c r="U921" t="s">
        <v>89</v>
      </c>
      <c r="V921" t="s">
        <v>94</v>
      </c>
      <c r="W921">
        <v>1</v>
      </c>
      <c r="X921">
        <v>0</v>
      </c>
    </row>
    <row r="922" spans="2:24" x14ac:dyDescent="0.3">
      <c r="B922">
        <v>918</v>
      </c>
      <c r="C922" t="s">
        <v>8</v>
      </c>
      <c r="D922">
        <v>6</v>
      </c>
      <c r="E922" t="s">
        <v>95</v>
      </c>
      <c r="F922" t="s">
        <v>107</v>
      </c>
      <c r="G922">
        <v>14896</v>
      </c>
      <c r="H922" t="s">
        <v>96</v>
      </c>
      <c r="I922" t="s">
        <v>87</v>
      </c>
      <c r="J922">
        <v>1</v>
      </c>
      <c r="K922" t="s">
        <v>88</v>
      </c>
      <c r="L922" t="s">
        <v>89</v>
      </c>
      <c r="M922">
        <v>4</v>
      </c>
      <c r="N922" t="s">
        <v>108</v>
      </c>
      <c r="O922">
        <v>68</v>
      </c>
      <c r="P922" t="s">
        <v>122</v>
      </c>
      <c r="Q922" t="s">
        <v>91</v>
      </c>
      <c r="R922">
        <v>1</v>
      </c>
      <c r="S922" t="s">
        <v>113</v>
      </c>
      <c r="T922">
        <v>1</v>
      </c>
      <c r="U922" t="s">
        <v>93</v>
      </c>
      <c r="V922" t="s">
        <v>94</v>
      </c>
      <c r="W922">
        <v>2</v>
      </c>
      <c r="X922">
        <v>1</v>
      </c>
    </row>
    <row r="923" spans="2:24" x14ac:dyDescent="0.3">
      <c r="B923">
        <v>919</v>
      </c>
      <c r="C923" t="s">
        <v>8</v>
      </c>
      <c r="D923">
        <v>24</v>
      </c>
      <c r="E923" t="s">
        <v>95</v>
      </c>
      <c r="F923" t="s">
        <v>102</v>
      </c>
      <c r="G923">
        <v>2359</v>
      </c>
      <c r="H923" t="s">
        <v>120</v>
      </c>
      <c r="I923" t="s">
        <v>116</v>
      </c>
      <c r="J923">
        <v>1</v>
      </c>
      <c r="K923" t="s">
        <v>115</v>
      </c>
      <c r="L923" t="s">
        <v>89</v>
      </c>
      <c r="M923">
        <v>1</v>
      </c>
      <c r="N923" t="s">
        <v>104</v>
      </c>
      <c r="O923">
        <v>33</v>
      </c>
      <c r="P923" t="s">
        <v>89</v>
      </c>
      <c r="Q923" t="s">
        <v>91</v>
      </c>
      <c r="R923">
        <v>1</v>
      </c>
      <c r="S923" t="s">
        <v>92</v>
      </c>
      <c r="T923">
        <v>1</v>
      </c>
      <c r="U923" t="s">
        <v>89</v>
      </c>
      <c r="V923" t="s">
        <v>94</v>
      </c>
      <c r="W923">
        <v>2</v>
      </c>
      <c r="X923">
        <v>1</v>
      </c>
    </row>
    <row r="924" spans="2:24" x14ac:dyDescent="0.3">
      <c r="B924">
        <v>920</v>
      </c>
      <c r="C924" t="s">
        <v>8</v>
      </c>
      <c r="D924">
        <v>24</v>
      </c>
      <c r="E924" t="s">
        <v>95</v>
      </c>
      <c r="F924" t="s">
        <v>102</v>
      </c>
      <c r="G924">
        <v>3345</v>
      </c>
      <c r="H924" t="s">
        <v>96</v>
      </c>
      <c r="I924" t="s">
        <v>87</v>
      </c>
      <c r="J924">
        <v>4</v>
      </c>
      <c r="K924" t="s">
        <v>88</v>
      </c>
      <c r="L924" t="s">
        <v>89</v>
      </c>
      <c r="M924">
        <v>2</v>
      </c>
      <c r="N924" t="s">
        <v>104</v>
      </c>
      <c r="O924">
        <v>39</v>
      </c>
      <c r="P924" t="s">
        <v>89</v>
      </c>
      <c r="Q924" t="s">
        <v>112</v>
      </c>
      <c r="R924">
        <v>1</v>
      </c>
      <c r="S924" t="s">
        <v>113</v>
      </c>
      <c r="T924">
        <v>1</v>
      </c>
      <c r="U924" t="s">
        <v>93</v>
      </c>
      <c r="V924" t="s">
        <v>94</v>
      </c>
      <c r="W924">
        <v>2</v>
      </c>
      <c r="X924">
        <v>1</v>
      </c>
    </row>
    <row r="925" spans="2:24" x14ac:dyDescent="0.3">
      <c r="B925">
        <v>921</v>
      </c>
      <c r="C925" t="s">
        <v>12</v>
      </c>
      <c r="D925">
        <v>18</v>
      </c>
      <c r="E925" t="s">
        <v>84</v>
      </c>
      <c r="F925" t="s">
        <v>102</v>
      </c>
      <c r="G925">
        <v>1817</v>
      </c>
      <c r="H925" t="s">
        <v>96</v>
      </c>
      <c r="I925" t="s">
        <v>97</v>
      </c>
      <c r="J925">
        <v>4</v>
      </c>
      <c r="K925" t="s">
        <v>98</v>
      </c>
      <c r="L925" t="s">
        <v>89</v>
      </c>
      <c r="M925">
        <v>2</v>
      </c>
      <c r="N925" t="s">
        <v>108</v>
      </c>
      <c r="O925">
        <v>28</v>
      </c>
      <c r="P925" t="s">
        <v>89</v>
      </c>
      <c r="Q925" t="s">
        <v>91</v>
      </c>
      <c r="R925">
        <v>2</v>
      </c>
      <c r="S925" t="s">
        <v>92</v>
      </c>
      <c r="T925">
        <v>1</v>
      </c>
      <c r="U925" t="s">
        <v>89</v>
      </c>
      <c r="V925" t="s">
        <v>94</v>
      </c>
      <c r="W925">
        <v>1</v>
      </c>
      <c r="X925">
        <v>0</v>
      </c>
    </row>
    <row r="926" spans="2:24" x14ac:dyDescent="0.3">
      <c r="B926">
        <v>922</v>
      </c>
      <c r="C926" t="s">
        <v>12</v>
      </c>
      <c r="D926">
        <v>48</v>
      </c>
      <c r="E926" t="s">
        <v>106</v>
      </c>
      <c r="F926" t="s">
        <v>85</v>
      </c>
      <c r="G926">
        <v>12749</v>
      </c>
      <c r="H926" t="s">
        <v>109</v>
      </c>
      <c r="I926" t="s">
        <v>100</v>
      </c>
      <c r="J926">
        <v>4</v>
      </c>
      <c r="K926" t="s">
        <v>88</v>
      </c>
      <c r="L926" t="s">
        <v>89</v>
      </c>
      <c r="M926">
        <v>1</v>
      </c>
      <c r="N926" t="s">
        <v>111</v>
      </c>
      <c r="O926">
        <v>37</v>
      </c>
      <c r="P926" t="s">
        <v>89</v>
      </c>
      <c r="Q926" t="s">
        <v>91</v>
      </c>
      <c r="R926">
        <v>1</v>
      </c>
      <c r="S926" t="s">
        <v>113</v>
      </c>
      <c r="T926">
        <v>1</v>
      </c>
      <c r="U926" t="s">
        <v>93</v>
      </c>
      <c r="V926" t="s">
        <v>94</v>
      </c>
      <c r="W926">
        <v>1</v>
      </c>
      <c r="X926">
        <v>0</v>
      </c>
    </row>
    <row r="927" spans="2:24" x14ac:dyDescent="0.3">
      <c r="B927">
        <v>923</v>
      </c>
      <c r="C927" t="s">
        <v>8</v>
      </c>
      <c r="D927">
        <v>9</v>
      </c>
      <c r="E927" t="s">
        <v>95</v>
      </c>
      <c r="F927" t="s">
        <v>85</v>
      </c>
      <c r="G927">
        <v>1366</v>
      </c>
      <c r="H927" t="s">
        <v>96</v>
      </c>
      <c r="I927" t="s">
        <v>118</v>
      </c>
      <c r="J927">
        <v>3</v>
      </c>
      <c r="K927" t="s">
        <v>98</v>
      </c>
      <c r="L927" t="s">
        <v>89</v>
      </c>
      <c r="M927">
        <v>4</v>
      </c>
      <c r="N927" t="s">
        <v>104</v>
      </c>
      <c r="O927">
        <v>22</v>
      </c>
      <c r="P927" t="s">
        <v>89</v>
      </c>
      <c r="Q927" t="s">
        <v>112</v>
      </c>
      <c r="R927">
        <v>1</v>
      </c>
      <c r="S927" t="s">
        <v>92</v>
      </c>
      <c r="T927">
        <v>1</v>
      </c>
      <c r="U927" t="s">
        <v>89</v>
      </c>
      <c r="V927" t="s">
        <v>94</v>
      </c>
      <c r="W927">
        <v>2</v>
      </c>
      <c r="X927">
        <v>1</v>
      </c>
    </row>
    <row r="928" spans="2:24" x14ac:dyDescent="0.3">
      <c r="B928">
        <v>924</v>
      </c>
      <c r="C928" t="s">
        <v>10</v>
      </c>
      <c r="D928">
        <v>12</v>
      </c>
      <c r="E928" t="s">
        <v>95</v>
      </c>
      <c r="F928" t="s">
        <v>107</v>
      </c>
      <c r="G928">
        <v>2002</v>
      </c>
      <c r="H928" t="s">
        <v>96</v>
      </c>
      <c r="I928" t="s">
        <v>100</v>
      </c>
      <c r="J928">
        <v>3</v>
      </c>
      <c r="K928" t="s">
        <v>88</v>
      </c>
      <c r="L928" t="s">
        <v>89</v>
      </c>
      <c r="M928">
        <v>4</v>
      </c>
      <c r="N928" t="s">
        <v>104</v>
      </c>
      <c r="O928">
        <v>30</v>
      </c>
      <c r="P928" t="s">
        <v>89</v>
      </c>
      <c r="Q928" t="s">
        <v>112</v>
      </c>
      <c r="R928">
        <v>1</v>
      </c>
      <c r="S928" t="s">
        <v>92</v>
      </c>
      <c r="T928">
        <v>2</v>
      </c>
      <c r="U928" t="s">
        <v>93</v>
      </c>
      <c r="V928" t="s">
        <v>94</v>
      </c>
      <c r="W928">
        <v>1</v>
      </c>
      <c r="X928">
        <v>0</v>
      </c>
    </row>
    <row r="929" spans="2:24" x14ac:dyDescent="0.3">
      <c r="B929">
        <v>925</v>
      </c>
      <c r="C929" t="s">
        <v>8</v>
      </c>
      <c r="D929">
        <v>24</v>
      </c>
      <c r="E929" t="s">
        <v>124</v>
      </c>
      <c r="F929" t="s">
        <v>102</v>
      </c>
      <c r="G929">
        <v>6872</v>
      </c>
      <c r="H929" t="s">
        <v>96</v>
      </c>
      <c r="I929" t="s">
        <v>118</v>
      </c>
      <c r="J929">
        <v>2</v>
      </c>
      <c r="K929" t="s">
        <v>115</v>
      </c>
      <c r="L929" t="s">
        <v>89</v>
      </c>
      <c r="M929">
        <v>1</v>
      </c>
      <c r="N929" t="s">
        <v>104</v>
      </c>
      <c r="O929">
        <v>55</v>
      </c>
      <c r="P929" t="s">
        <v>122</v>
      </c>
      <c r="Q929" t="s">
        <v>91</v>
      </c>
      <c r="R929">
        <v>1</v>
      </c>
      <c r="S929" t="s">
        <v>92</v>
      </c>
      <c r="T929">
        <v>1</v>
      </c>
      <c r="U929" t="s">
        <v>93</v>
      </c>
      <c r="V929" t="s">
        <v>94</v>
      </c>
      <c r="W929">
        <v>2</v>
      </c>
      <c r="X929">
        <v>1</v>
      </c>
    </row>
    <row r="930" spans="2:24" x14ac:dyDescent="0.3">
      <c r="B930">
        <v>926</v>
      </c>
      <c r="C930" t="s">
        <v>8</v>
      </c>
      <c r="D930">
        <v>12</v>
      </c>
      <c r="E930" t="s">
        <v>124</v>
      </c>
      <c r="F930" t="s">
        <v>107</v>
      </c>
      <c r="G930">
        <v>697</v>
      </c>
      <c r="H930" t="s">
        <v>96</v>
      </c>
      <c r="I930" t="s">
        <v>118</v>
      </c>
      <c r="J930">
        <v>4</v>
      </c>
      <c r="K930" t="s">
        <v>88</v>
      </c>
      <c r="L930" t="s">
        <v>89</v>
      </c>
      <c r="M930">
        <v>2</v>
      </c>
      <c r="N930" t="s">
        <v>111</v>
      </c>
      <c r="O930">
        <v>46</v>
      </c>
      <c r="P930" t="s">
        <v>122</v>
      </c>
      <c r="Q930" t="s">
        <v>91</v>
      </c>
      <c r="R930">
        <v>2</v>
      </c>
      <c r="S930" t="s">
        <v>92</v>
      </c>
      <c r="T930">
        <v>1</v>
      </c>
      <c r="U930" t="s">
        <v>93</v>
      </c>
      <c r="V930" t="s">
        <v>94</v>
      </c>
      <c r="W930">
        <v>2</v>
      </c>
      <c r="X930">
        <v>1</v>
      </c>
    </row>
    <row r="931" spans="2:24" x14ac:dyDescent="0.3">
      <c r="B931">
        <v>927</v>
      </c>
      <c r="C931" t="s">
        <v>8</v>
      </c>
      <c r="D931">
        <v>18</v>
      </c>
      <c r="E931" t="s">
        <v>84</v>
      </c>
      <c r="F931" t="s">
        <v>102</v>
      </c>
      <c r="G931">
        <v>1049</v>
      </c>
      <c r="H931" t="s">
        <v>96</v>
      </c>
      <c r="I931" t="s">
        <v>118</v>
      </c>
      <c r="J931">
        <v>4</v>
      </c>
      <c r="K931" t="s">
        <v>98</v>
      </c>
      <c r="L931" t="s">
        <v>89</v>
      </c>
      <c r="M931">
        <v>4</v>
      </c>
      <c r="N931" t="s">
        <v>104</v>
      </c>
      <c r="O931">
        <v>21</v>
      </c>
      <c r="P931" t="s">
        <v>89</v>
      </c>
      <c r="Q931" t="s">
        <v>112</v>
      </c>
      <c r="R931">
        <v>1</v>
      </c>
      <c r="S931" t="s">
        <v>92</v>
      </c>
      <c r="T931">
        <v>1</v>
      </c>
      <c r="U931" t="s">
        <v>89</v>
      </c>
      <c r="V931" t="s">
        <v>94</v>
      </c>
      <c r="W931">
        <v>1</v>
      </c>
      <c r="X931">
        <v>0</v>
      </c>
    </row>
    <row r="932" spans="2:24" x14ac:dyDescent="0.3">
      <c r="B932">
        <v>928</v>
      </c>
      <c r="C932" t="s">
        <v>8</v>
      </c>
      <c r="D932">
        <v>48</v>
      </c>
      <c r="E932" t="s">
        <v>95</v>
      </c>
      <c r="F932" t="s">
        <v>110</v>
      </c>
      <c r="G932">
        <v>10297</v>
      </c>
      <c r="H932" t="s">
        <v>96</v>
      </c>
      <c r="I932" t="s">
        <v>100</v>
      </c>
      <c r="J932">
        <v>4</v>
      </c>
      <c r="K932" t="s">
        <v>88</v>
      </c>
      <c r="L932" t="s">
        <v>89</v>
      </c>
      <c r="M932">
        <v>4</v>
      </c>
      <c r="N932" t="s">
        <v>108</v>
      </c>
      <c r="O932">
        <v>39</v>
      </c>
      <c r="P932" t="s">
        <v>125</v>
      </c>
      <c r="Q932" t="s">
        <v>105</v>
      </c>
      <c r="R932">
        <v>3</v>
      </c>
      <c r="S932" t="s">
        <v>92</v>
      </c>
      <c r="T932">
        <v>2</v>
      </c>
      <c r="U932" t="s">
        <v>93</v>
      </c>
      <c r="V932" t="s">
        <v>94</v>
      </c>
      <c r="W932">
        <v>2</v>
      </c>
      <c r="X932">
        <v>1</v>
      </c>
    </row>
    <row r="933" spans="2:24" x14ac:dyDescent="0.3">
      <c r="B933">
        <v>929</v>
      </c>
      <c r="C933" t="s">
        <v>12</v>
      </c>
      <c r="D933">
        <v>30</v>
      </c>
      <c r="E933" t="s">
        <v>95</v>
      </c>
      <c r="F933" t="s">
        <v>85</v>
      </c>
      <c r="G933">
        <v>1867</v>
      </c>
      <c r="H933" t="s">
        <v>86</v>
      </c>
      <c r="I933" t="s">
        <v>87</v>
      </c>
      <c r="J933">
        <v>4</v>
      </c>
      <c r="K933" t="s">
        <v>88</v>
      </c>
      <c r="L933" t="s">
        <v>89</v>
      </c>
      <c r="M933">
        <v>4</v>
      </c>
      <c r="N933" t="s">
        <v>111</v>
      </c>
      <c r="O933">
        <v>58</v>
      </c>
      <c r="P933" t="s">
        <v>89</v>
      </c>
      <c r="Q933" t="s">
        <v>91</v>
      </c>
      <c r="R933">
        <v>1</v>
      </c>
      <c r="S933" t="s">
        <v>92</v>
      </c>
      <c r="T933">
        <v>1</v>
      </c>
      <c r="U933" t="s">
        <v>93</v>
      </c>
      <c r="V933" t="s">
        <v>94</v>
      </c>
      <c r="W933">
        <v>1</v>
      </c>
      <c r="X933">
        <v>0</v>
      </c>
    </row>
    <row r="934" spans="2:24" x14ac:dyDescent="0.3">
      <c r="B934">
        <v>930</v>
      </c>
      <c r="C934" t="s">
        <v>8</v>
      </c>
      <c r="D934">
        <v>12</v>
      </c>
      <c r="E934" t="s">
        <v>106</v>
      </c>
      <c r="F934" t="s">
        <v>107</v>
      </c>
      <c r="G934">
        <v>1344</v>
      </c>
      <c r="H934" t="s">
        <v>96</v>
      </c>
      <c r="I934" t="s">
        <v>97</v>
      </c>
      <c r="J934">
        <v>4</v>
      </c>
      <c r="K934" t="s">
        <v>88</v>
      </c>
      <c r="L934" t="s">
        <v>89</v>
      </c>
      <c r="M934">
        <v>2</v>
      </c>
      <c r="N934" t="s">
        <v>90</v>
      </c>
      <c r="O934">
        <v>43</v>
      </c>
      <c r="P934" t="s">
        <v>89</v>
      </c>
      <c r="Q934" t="s">
        <v>91</v>
      </c>
      <c r="R934">
        <v>2</v>
      </c>
      <c r="S934" t="s">
        <v>101</v>
      </c>
      <c r="T934">
        <v>2</v>
      </c>
      <c r="U934" t="s">
        <v>89</v>
      </c>
      <c r="V934" t="s">
        <v>94</v>
      </c>
      <c r="W934">
        <v>1</v>
      </c>
      <c r="X934">
        <v>0</v>
      </c>
    </row>
    <row r="935" spans="2:24" x14ac:dyDescent="0.3">
      <c r="B935">
        <v>931</v>
      </c>
      <c r="C935" t="s">
        <v>8</v>
      </c>
      <c r="D935">
        <v>24</v>
      </c>
      <c r="E935" t="s">
        <v>95</v>
      </c>
      <c r="F935" t="s">
        <v>102</v>
      </c>
      <c r="G935">
        <v>1747</v>
      </c>
      <c r="H935" t="s">
        <v>96</v>
      </c>
      <c r="I935" t="s">
        <v>118</v>
      </c>
      <c r="J935">
        <v>4</v>
      </c>
      <c r="K935" t="s">
        <v>88</v>
      </c>
      <c r="L935" t="s">
        <v>126</v>
      </c>
      <c r="M935">
        <v>1</v>
      </c>
      <c r="N935" t="s">
        <v>104</v>
      </c>
      <c r="O935">
        <v>24</v>
      </c>
      <c r="P935" t="s">
        <v>89</v>
      </c>
      <c r="Q935" t="s">
        <v>91</v>
      </c>
      <c r="R935">
        <v>1</v>
      </c>
      <c r="S935" t="s">
        <v>101</v>
      </c>
      <c r="T935">
        <v>1</v>
      </c>
      <c r="U935" t="s">
        <v>89</v>
      </c>
      <c r="V935" t="s">
        <v>123</v>
      </c>
      <c r="W935">
        <v>1</v>
      </c>
      <c r="X935">
        <v>0</v>
      </c>
    </row>
    <row r="936" spans="2:24" x14ac:dyDescent="0.3">
      <c r="B936">
        <v>932</v>
      </c>
      <c r="C936" t="s">
        <v>10</v>
      </c>
      <c r="D936">
        <v>9</v>
      </c>
      <c r="E936" t="s">
        <v>95</v>
      </c>
      <c r="F936" t="s">
        <v>85</v>
      </c>
      <c r="G936">
        <v>1670</v>
      </c>
      <c r="H936" t="s">
        <v>96</v>
      </c>
      <c r="I936" t="s">
        <v>118</v>
      </c>
      <c r="J936">
        <v>4</v>
      </c>
      <c r="K936" t="s">
        <v>98</v>
      </c>
      <c r="L936" t="s">
        <v>89</v>
      </c>
      <c r="M936">
        <v>2</v>
      </c>
      <c r="N936" t="s">
        <v>111</v>
      </c>
      <c r="O936">
        <v>22</v>
      </c>
      <c r="P936" t="s">
        <v>89</v>
      </c>
      <c r="Q936" t="s">
        <v>91</v>
      </c>
      <c r="R936">
        <v>1</v>
      </c>
      <c r="S936" t="s">
        <v>92</v>
      </c>
      <c r="T936">
        <v>1</v>
      </c>
      <c r="U936" t="s">
        <v>93</v>
      </c>
      <c r="V936" t="s">
        <v>94</v>
      </c>
      <c r="W936">
        <v>2</v>
      </c>
      <c r="X936">
        <v>1</v>
      </c>
    </row>
    <row r="937" spans="2:24" x14ac:dyDescent="0.3">
      <c r="B937">
        <v>933</v>
      </c>
      <c r="C937" t="s">
        <v>12</v>
      </c>
      <c r="D937">
        <v>9</v>
      </c>
      <c r="E937" t="s">
        <v>84</v>
      </c>
      <c r="F937" t="s">
        <v>107</v>
      </c>
      <c r="G937">
        <v>1224</v>
      </c>
      <c r="H937" t="s">
        <v>96</v>
      </c>
      <c r="I937" t="s">
        <v>97</v>
      </c>
      <c r="J937">
        <v>3</v>
      </c>
      <c r="K937" t="s">
        <v>88</v>
      </c>
      <c r="L937" t="s">
        <v>89</v>
      </c>
      <c r="M937">
        <v>1</v>
      </c>
      <c r="N937" t="s">
        <v>90</v>
      </c>
      <c r="O937">
        <v>30</v>
      </c>
      <c r="P937" t="s">
        <v>89</v>
      </c>
      <c r="Q937" t="s">
        <v>91</v>
      </c>
      <c r="R937">
        <v>2</v>
      </c>
      <c r="S937" t="s">
        <v>92</v>
      </c>
      <c r="T937">
        <v>1</v>
      </c>
      <c r="U937" t="s">
        <v>89</v>
      </c>
      <c r="V937" t="s">
        <v>94</v>
      </c>
      <c r="W937">
        <v>1</v>
      </c>
      <c r="X937">
        <v>0</v>
      </c>
    </row>
    <row r="938" spans="2:24" x14ac:dyDescent="0.3">
      <c r="B938">
        <v>934</v>
      </c>
      <c r="C938" t="s">
        <v>12</v>
      </c>
      <c r="D938">
        <v>12</v>
      </c>
      <c r="E938" t="s">
        <v>84</v>
      </c>
      <c r="F938" t="s">
        <v>85</v>
      </c>
      <c r="G938">
        <v>522</v>
      </c>
      <c r="H938" t="s">
        <v>109</v>
      </c>
      <c r="I938" t="s">
        <v>87</v>
      </c>
      <c r="J938">
        <v>4</v>
      </c>
      <c r="K938" t="s">
        <v>88</v>
      </c>
      <c r="L938" t="s">
        <v>89</v>
      </c>
      <c r="M938">
        <v>4</v>
      </c>
      <c r="N938" t="s">
        <v>104</v>
      </c>
      <c r="O938">
        <v>42</v>
      </c>
      <c r="P938" t="s">
        <v>89</v>
      </c>
      <c r="Q938" t="s">
        <v>91</v>
      </c>
      <c r="R938">
        <v>2</v>
      </c>
      <c r="S938" t="s">
        <v>92</v>
      </c>
      <c r="T938">
        <v>2</v>
      </c>
      <c r="U938" t="s">
        <v>93</v>
      </c>
      <c r="V938" t="s">
        <v>94</v>
      </c>
      <c r="W938">
        <v>1</v>
      </c>
      <c r="X938">
        <v>0</v>
      </c>
    </row>
    <row r="939" spans="2:24" x14ac:dyDescent="0.3">
      <c r="B939">
        <v>935</v>
      </c>
      <c r="C939" t="s">
        <v>8</v>
      </c>
      <c r="D939">
        <v>12</v>
      </c>
      <c r="E939" t="s">
        <v>95</v>
      </c>
      <c r="F939" t="s">
        <v>85</v>
      </c>
      <c r="G939">
        <v>1498</v>
      </c>
      <c r="H939" t="s">
        <v>96</v>
      </c>
      <c r="I939" t="s">
        <v>97</v>
      </c>
      <c r="J939">
        <v>4</v>
      </c>
      <c r="K939" t="s">
        <v>98</v>
      </c>
      <c r="L939" t="s">
        <v>89</v>
      </c>
      <c r="M939">
        <v>1</v>
      </c>
      <c r="N939" t="s">
        <v>111</v>
      </c>
      <c r="O939">
        <v>23</v>
      </c>
      <c r="P939" t="s">
        <v>122</v>
      </c>
      <c r="Q939" t="s">
        <v>91</v>
      </c>
      <c r="R939">
        <v>1</v>
      </c>
      <c r="S939" t="s">
        <v>92</v>
      </c>
      <c r="T939">
        <v>1</v>
      </c>
      <c r="U939" t="s">
        <v>89</v>
      </c>
      <c r="V939" t="s">
        <v>94</v>
      </c>
      <c r="W939">
        <v>1</v>
      </c>
      <c r="X939">
        <v>0</v>
      </c>
    </row>
    <row r="940" spans="2:24" x14ac:dyDescent="0.3">
      <c r="B940">
        <v>936</v>
      </c>
      <c r="C940" t="s">
        <v>10</v>
      </c>
      <c r="D940">
        <v>30</v>
      </c>
      <c r="E940" t="s">
        <v>106</v>
      </c>
      <c r="F940" t="s">
        <v>85</v>
      </c>
      <c r="G940">
        <v>1919</v>
      </c>
      <c r="H940" t="s">
        <v>120</v>
      </c>
      <c r="I940" t="s">
        <v>118</v>
      </c>
      <c r="J940">
        <v>4</v>
      </c>
      <c r="K940" t="s">
        <v>88</v>
      </c>
      <c r="L940" t="s">
        <v>89</v>
      </c>
      <c r="M940">
        <v>3</v>
      </c>
      <c r="N940" t="s">
        <v>108</v>
      </c>
      <c r="O940">
        <v>30</v>
      </c>
      <c r="P940" t="s">
        <v>125</v>
      </c>
      <c r="Q940" t="s">
        <v>91</v>
      </c>
      <c r="R940">
        <v>2</v>
      </c>
      <c r="S940" t="s">
        <v>113</v>
      </c>
      <c r="T940">
        <v>1</v>
      </c>
      <c r="U940" t="s">
        <v>89</v>
      </c>
      <c r="V940" t="s">
        <v>94</v>
      </c>
      <c r="W940">
        <v>2</v>
      </c>
      <c r="X940">
        <v>1</v>
      </c>
    </row>
    <row r="941" spans="2:24" x14ac:dyDescent="0.3">
      <c r="B941">
        <v>937</v>
      </c>
      <c r="C941" t="s">
        <v>11</v>
      </c>
      <c r="D941">
        <v>9</v>
      </c>
      <c r="E941" t="s">
        <v>95</v>
      </c>
      <c r="F941" t="s">
        <v>85</v>
      </c>
      <c r="G941">
        <v>745</v>
      </c>
      <c r="H941" t="s">
        <v>96</v>
      </c>
      <c r="I941" t="s">
        <v>97</v>
      </c>
      <c r="J941">
        <v>3</v>
      </c>
      <c r="K941" t="s">
        <v>98</v>
      </c>
      <c r="L941" t="s">
        <v>89</v>
      </c>
      <c r="M941">
        <v>2</v>
      </c>
      <c r="N941" t="s">
        <v>90</v>
      </c>
      <c r="O941">
        <v>28</v>
      </c>
      <c r="P941" t="s">
        <v>89</v>
      </c>
      <c r="Q941" t="s">
        <v>91</v>
      </c>
      <c r="R941">
        <v>1</v>
      </c>
      <c r="S941" t="s">
        <v>101</v>
      </c>
      <c r="T941">
        <v>1</v>
      </c>
      <c r="U941" t="s">
        <v>89</v>
      </c>
      <c r="V941" t="s">
        <v>94</v>
      </c>
      <c r="W941">
        <v>2</v>
      </c>
      <c r="X941">
        <v>1</v>
      </c>
    </row>
    <row r="942" spans="2:24" x14ac:dyDescent="0.3">
      <c r="B942">
        <v>938</v>
      </c>
      <c r="C942" t="s">
        <v>10</v>
      </c>
      <c r="D942">
        <v>6</v>
      </c>
      <c r="E942" t="s">
        <v>95</v>
      </c>
      <c r="F942" t="s">
        <v>85</v>
      </c>
      <c r="G942">
        <v>2063</v>
      </c>
      <c r="H942" t="s">
        <v>96</v>
      </c>
      <c r="I942" t="s">
        <v>118</v>
      </c>
      <c r="J942">
        <v>4</v>
      </c>
      <c r="K942" t="s">
        <v>117</v>
      </c>
      <c r="L942" t="s">
        <v>89</v>
      </c>
      <c r="M942">
        <v>3</v>
      </c>
      <c r="N942" t="s">
        <v>111</v>
      </c>
      <c r="O942">
        <v>30</v>
      </c>
      <c r="P942" t="s">
        <v>89</v>
      </c>
      <c r="Q942" t="s">
        <v>112</v>
      </c>
      <c r="R942">
        <v>1</v>
      </c>
      <c r="S942" t="s">
        <v>113</v>
      </c>
      <c r="T942">
        <v>1</v>
      </c>
      <c r="U942" t="s">
        <v>93</v>
      </c>
      <c r="V942" t="s">
        <v>94</v>
      </c>
      <c r="W942">
        <v>1</v>
      </c>
      <c r="X942">
        <v>0</v>
      </c>
    </row>
    <row r="943" spans="2:24" x14ac:dyDescent="0.3">
      <c r="B943">
        <v>939</v>
      </c>
      <c r="C943" t="s">
        <v>10</v>
      </c>
      <c r="D943">
        <v>60</v>
      </c>
      <c r="E943" t="s">
        <v>95</v>
      </c>
      <c r="F943" t="s">
        <v>99</v>
      </c>
      <c r="G943">
        <v>6288</v>
      </c>
      <c r="H943" t="s">
        <v>96</v>
      </c>
      <c r="I943" t="s">
        <v>97</v>
      </c>
      <c r="J943">
        <v>4</v>
      </c>
      <c r="K943" t="s">
        <v>88</v>
      </c>
      <c r="L943" t="s">
        <v>89</v>
      </c>
      <c r="M943">
        <v>4</v>
      </c>
      <c r="N943" t="s">
        <v>108</v>
      </c>
      <c r="O943">
        <v>42</v>
      </c>
      <c r="P943" t="s">
        <v>89</v>
      </c>
      <c r="Q943" t="s">
        <v>105</v>
      </c>
      <c r="R943">
        <v>1</v>
      </c>
      <c r="S943" t="s">
        <v>92</v>
      </c>
      <c r="T943">
        <v>1</v>
      </c>
      <c r="U943" t="s">
        <v>89</v>
      </c>
      <c r="V943" t="s">
        <v>94</v>
      </c>
      <c r="W943">
        <v>2</v>
      </c>
      <c r="X943">
        <v>1</v>
      </c>
    </row>
    <row r="944" spans="2:24" x14ac:dyDescent="0.3">
      <c r="B944">
        <v>940</v>
      </c>
      <c r="C944" t="s">
        <v>12</v>
      </c>
      <c r="D944">
        <v>24</v>
      </c>
      <c r="E944" t="s">
        <v>84</v>
      </c>
      <c r="F944" t="s">
        <v>110</v>
      </c>
      <c r="G944">
        <v>6842</v>
      </c>
      <c r="H944" t="s">
        <v>86</v>
      </c>
      <c r="I944" t="s">
        <v>97</v>
      </c>
      <c r="J944">
        <v>2</v>
      </c>
      <c r="K944" t="s">
        <v>88</v>
      </c>
      <c r="L944" t="s">
        <v>89</v>
      </c>
      <c r="M944">
        <v>4</v>
      </c>
      <c r="N944" t="s">
        <v>104</v>
      </c>
      <c r="O944">
        <v>46</v>
      </c>
      <c r="P944" t="s">
        <v>89</v>
      </c>
      <c r="Q944" t="s">
        <v>91</v>
      </c>
      <c r="R944">
        <v>2</v>
      </c>
      <c r="S944" t="s">
        <v>113</v>
      </c>
      <c r="T944">
        <v>2</v>
      </c>
      <c r="U944" t="s">
        <v>93</v>
      </c>
      <c r="V944" t="s">
        <v>94</v>
      </c>
      <c r="W944">
        <v>1</v>
      </c>
      <c r="X944">
        <v>0</v>
      </c>
    </row>
    <row r="945" spans="2:24" x14ac:dyDescent="0.3">
      <c r="B945">
        <v>941</v>
      </c>
      <c r="C945" t="s">
        <v>12</v>
      </c>
      <c r="D945">
        <v>12</v>
      </c>
      <c r="E945" t="s">
        <v>95</v>
      </c>
      <c r="F945" t="s">
        <v>107</v>
      </c>
      <c r="G945">
        <v>3527</v>
      </c>
      <c r="H945" t="s">
        <v>86</v>
      </c>
      <c r="I945" t="s">
        <v>118</v>
      </c>
      <c r="J945">
        <v>2</v>
      </c>
      <c r="K945" t="s">
        <v>88</v>
      </c>
      <c r="L945" t="s">
        <v>89</v>
      </c>
      <c r="M945">
        <v>3</v>
      </c>
      <c r="N945" t="s">
        <v>104</v>
      </c>
      <c r="O945">
        <v>45</v>
      </c>
      <c r="P945" t="s">
        <v>89</v>
      </c>
      <c r="Q945" t="s">
        <v>91</v>
      </c>
      <c r="R945">
        <v>1</v>
      </c>
      <c r="S945" t="s">
        <v>113</v>
      </c>
      <c r="T945">
        <v>2</v>
      </c>
      <c r="U945" t="s">
        <v>93</v>
      </c>
      <c r="V945" t="s">
        <v>94</v>
      </c>
      <c r="W945">
        <v>1</v>
      </c>
      <c r="X945">
        <v>0</v>
      </c>
    </row>
    <row r="946" spans="2:24" x14ac:dyDescent="0.3">
      <c r="B946">
        <v>942</v>
      </c>
      <c r="C946" t="s">
        <v>12</v>
      </c>
      <c r="D946">
        <v>10</v>
      </c>
      <c r="E946" t="s">
        <v>95</v>
      </c>
      <c r="F946" t="s">
        <v>107</v>
      </c>
      <c r="G946">
        <v>1546</v>
      </c>
      <c r="H946" t="s">
        <v>96</v>
      </c>
      <c r="I946" t="s">
        <v>97</v>
      </c>
      <c r="J946">
        <v>3</v>
      </c>
      <c r="K946" t="s">
        <v>88</v>
      </c>
      <c r="L946" t="s">
        <v>89</v>
      </c>
      <c r="M946">
        <v>2</v>
      </c>
      <c r="N946" t="s">
        <v>90</v>
      </c>
      <c r="O946">
        <v>31</v>
      </c>
      <c r="P946" t="s">
        <v>89</v>
      </c>
      <c r="Q946" t="s">
        <v>91</v>
      </c>
      <c r="R946">
        <v>1</v>
      </c>
      <c r="S946" t="s">
        <v>101</v>
      </c>
      <c r="T946">
        <v>2</v>
      </c>
      <c r="U946" t="s">
        <v>89</v>
      </c>
      <c r="V946" t="s">
        <v>123</v>
      </c>
      <c r="W946">
        <v>1</v>
      </c>
      <c r="X946">
        <v>0</v>
      </c>
    </row>
    <row r="947" spans="2:24" x14ac:dyDescent="0.3">
      <c r="B947">
        <v>943</v>
      </c>
      <c r="C947" t="s">
        <v>12</v>
      </c>
      <c r="D947">
        <v>24</v>
      </c>
      <c r="E947" t="s">
        <v>95</v>
      </c>
      <c r="F947" t="s">
        <v>102</v>
      </c>
      <c r="G947">
        <v>929</v>
      </c>
      <c r="H947" t="s">
        <v>86</v>
      </c>
      <c r="I947" t="s">
        <v>100</v>
      </c>
      <c r="J947">
        <v>4</v>
      </c>
      <c r="K947" t="s">
        <v>88</v>
      </c>
      <c r="L947" t="s">
        <v>89</v>
      </c>
      <c r="M947">
        <v>2</v>
      </c>
      <c r="N947" t="s">
        <v>111</v>
      </c>
      <c r="O947">
        <v>31</v>
      </c>
      <c r="P947" t="s">
        <v>125</v>
      </c>
      <c r="Q947" t="s">
        <v>91</v>
      </c>
      <c r="R947">
        <v>1</v>
      </c>
      <c r="S947" t="s">
        <v>92</v>
      </c>
      <c r="T947">
        <v>1</v>
      </c>
      <c r="U947" t="s">
        <v>93</v>
      </c>
      <c r="V947" t="s">
        <v>94</v>
      </c>
      <c r="W947">
        <v>1</v>
      </c>
      <c r="X947">
        <v>0</v>
      </c>
    </row>
    <row r="948" spans="2:24" x14ac:dyDescent="0.3">
      <c r="B948">
        <v>944</v>
      </c>
      <c r="C948" t="s">
        <v>12</v>
      </c>
      <c r="D948">
        <v>4</v>
      </c>
      <c r="E948" t="s">
        <v>84</v>
      </c>
      <c r="F948" t="s">
        <v>107</v>
      </c>
      <c r="G948">
        <v>1455</v>
      </c>
      <c r="H948" t="s">
        <v>96</v>
      </c>
      <c r="I948" t="s">
        <v>100</v>
      </c>
      <c r="J948">
        <v>2</v>
      </c>
      <c r="K948" t="s">
        <v>88</v>
      </c>
      <c r="L948" t="s">
        <v>89</v>
      </c>
      <c r="M948">
        <v>1</v>
      </c>
      <c r="N948" t="s">
        <v>90</v>
      </c>
      <c r="O948">
        <v>42</v>
      </c>
      <c r="P948" t="s">
        <v>89</v>
      </c>
      <c r="Q948" t="s">
        <v>91</v>
      </c>
      <c r="R948">
        <v>3</v>
      </c>
      <c r="S948" t="s">
        <v>101</v>
      </c>
      <c r="T948">
        <v>2</v>
      </c>
      <c r="U948" t="s">
        <v>89</v>
      </c>
      <c r="V948" t="s">
        <v>94</v>
      </c>
      <c r="W948">
        <v>1</v>
      </c>
      <c r="X948">
        <v>0</v>
      </c>
    </row>
    <row r="949" spans="2:24" x14ac:dyDescent="0.3">
      <c r="B949">
        <v>945</v>
      </c>
      <c r="C949" t="s">
        <v>8</v>
      </c>
      <c r="D949">
        <v>15</v>
      </c>
      <c r="E949" t="s">
        <v>95</v>
      </c>
      <c r="F949" t="s">
        <v>102</v>
      </c>
      <c r="G949">
        <v>1845</v>
      </c>
      <c r="H949" t="s">
        <v>96</v>
      </c>
      <c r="I949" t="s">
        <v>118</v>
      </c>
      <c r="J949">
        <v>4</v>
      </c>
      <c r="K949" t="s">
        <v>98</v>
      </c>
      <c r="L949" t="s">
        <v>103</v>
      </c>
      <c r="M949">
        <v>1</v>
      </c>
      <c r="N949" t="s">
        <v>104</v>
      </c>
      <c r="O949">
        <v>46</v>
      </c>
      <c r="P949" t="s">
        <v>89</v>
      </c>
      <c r="Q949" t="s">
        <v>112</v>
      </c>
      <c r="R949">
        <v>1</v>
      </c>
      <c r="S949" t="s">
        <v>92</v>
      </c>
      <c r="T949">
        <v>1</v>
      </c>
      <c r="U949" t="s">
        <v>89</v>
      </c>
      <c r="V949" t="s">
        <v>94</v>
      </c>
      <c r="W949">
        <v>1</v>
      </c>
      <c r="X949">
        <v>0</v>
      </c>
    </row>
    <row r="950" spans="2:24" x14ac:dyDescent="0.3">
      <c r="B950">
        <v>946</v>
      </c>
      <c r="C950" t="s">
        <v>10</v>
      </c>
      <c r="D950">
        <v>48</v>
      </c>
      <c r="E950" t="s">
        <v>121</v>
      </c>
      <c r="F950" t="s">
        <v>107</v>
      </c>
      <c r="G950">
        <v>8358</v>
      </c>
      <c r="H950" t="s">
        <v>109</v>
      </c>
      <c r="I950" t="s">
        <v>118</v>
      </c>
      <c r="J950">
        <v>1</v>
      </c>
      <c r="K950" t="s">
        <v>98</v>
      </c>
      <c r="L950" t="s">
        <v>89</v>
      </c>
      <c r="M950">
        <v>1</v>
      </c>
      <c r="N950" t="s">
        <v>111</v>
      </c>
      <c r="O950">
        <v>30</v>
      </c>
      <c r="P950" t="s">
        <v>89</v>
      </c>
      <c r="Q950" t="s">
        <v>91</v>
      </c>
      <c r="R950">
        <v>2</v>
      </c>
      <c r="S950" t="s">
        <v>92</v>
      </c>
      <c r="T950">
        <v>1</v>
      </c>
      <c r="U950" t="s">
        <v>89</v>
      </c>
      <c r="V950" t="s">
        <v>94</v>
      </c>
      <c r="W950">
        <v>1</v>
      </c>
      <c r="X950">
        <v>0</v>
      </c>
    </row>
    <row r="951" spans="2:24" x14ac:dyDescent="0.3">
      <c r="B951">
        <v>947</v>
      </c>
      <c r="C951" t="s">
        <v>8</v>
      </c>
      <c r="D951">
        <v>24</v>
      </c>
      <c r="E951" t="s">
        <v>124</v>
      </c>
      <c r="F951" t="s">
        <v>102</v>
      </c>
      <c r="G951">
        <v>3349</v>
      </c>
      <c r="H951" t="s">
        <v>109</v>
      </c>
      <c r="I951" t="s">
        <v>118</v>
      </c>
      <c r="J951">
        <v>4</v>
      </c>
      <c r="K951" t="s">
        <v>88</v>
      </c>
      <c r="L951" t="s">
        <v>89</v>
      </c>
      <c r="M951">
        <v>4</v>
      </c>
      <c r="N951" t="s">
        <v>108</v>
      </c>
      <c r="O951">
        <v>30</v>
      </c>
      <c r="P951" t="s">
        <v>89</v>
      </c>
      <c r="Q951" t="s">
        <v>105</v>
      </c>
      <c r="R951">
        <v>1</v>
      </c>
      <c r="S951" t="s">
        <v>92</v>
      </c>
      <c r="T951">
        <v>2</v>
      </c>
      <c r="U951" t="s">
        <v>93</v>
      </c>
      <c r="V951" t="s">
        <v>94</v>
      </c>
      <c r="W951">
        <v>2</v>
      </c>
      <c r="X951">
        <v>1</v>
      </c>
    </row>
    <row r="952" spans="2:24" x14ac:dyDescent="0.3">
      <c r="B952">
        <v>948</v>
      </c>
      <c r="C952" t="s">
        <v>12</v>
      </c>
      <c r="D952">
        <v>12</v>
      </c>
      <c r="E952" t="s">
        <v>95</v>
      </c>
      <c r="F952" t="s">
        <v>107</v>
      </c>
      <c r="G952">
        <v>2859</v>
      </c>
      <c r="H952" t="s">
        <v>86</v>
      </c>
      <c r="I952" t="s">
        <v>116</v>
      </c>
      <c r="J952">
        <v>4</v>
      </c>
      <c r="K952" t="s">
        <v>88</v>
      </c>
      <c r="L952" t="s">
        <v>89</v>
      </c>
      <c r="M952">
        <v>4</v>
      </c>
      <c r="N952" t="s">
        <v>108</v>
      </c>
      <c r="O952">
        <v>38</v>
      </c>
      <c r="P952" t="s">
        <v>89</v>
      </c>
      <c r="Q952" t="s">
        <v>91</v>
      </c>
      <c r="R952">
        <v>1</v>
      </c>
      <c r="S952" t="s">
        <v>113</v>
      </c>
      <c r="T952">
        <v>1</v>
      </c>
      <c r="U952" t="s">
        <v>93</v>
      </c>
      <c r="V952" t="s">
        <v>94</v>
      </c>
      <c r="W952">
        <v>1</v>
      </c>
      <c r="X952">
        <v>0</v>
      </c>
    </row>
    <row r="953" spans="2:24" x14ac:dyDescent="0.3">
      <c r="B953">
        <v>949</v>
      </c>
      <c r="C953" t="s">
        <v>12</v>
      </c>
      <c r="D953">
        <v>18</v>
      </c>
      <c r="E953" t="s">
        <v>95</v>
      </c>
      <c r="F953" t="s">
        <v>102</v>
      </c>
      <c r="G953">
        <v>1533</v>
      </c>
      <c r="H953" t="s">
        <v>96</v>
      </c>
      <c r="I953" t="s">
        <v>118</v>
      </c>
      <c r="J953">
        <v>4</v>
      </c>
      <c r="K953" t="s">
        <v>117</v>
      </c>
      <c r="L953" t="s">
        <v>126</v>
      </c>
      <c r="M953">
        <v>1</v>
      </c>
      <c r="N953" t="s">
        <v>104</v>
      </c>
      <c r="O953">
        <v>43</v>
      </c>
      <c r="P953" t="s">
        <v>89</v>
      </c>
      <c r="Q953" t="s">
        <v>91</v>
      </c>
      <c r="R953">
        <v>1</v>
      </c>
      <c r="S953" t="s">
        <v>101</v>
      </c>
      <c r="T953">
        <v>2</v>
      </c>
      <c r="U953" t="s">
        <v>89</v>
      </c>
      <c r="V953" t="s">
        <v>94</v>
      </c>
      <c r="W953">
        <v>2</v>
      </c>
      <c r="X953">
        <v>1</v>
      </c>
    </row>
    <row r="954" spans="2:24" x14ac:dyDescent="0.3">
      <c r="B954">
        <v>950</v>
      </c>
      <c r="C954" t="s">
        <v>12</v>
      </c>
      <c r="D954">
        <v>24</v>
      </c>
      <c r="E954" t="s">
        <v>95</v>
      </c>
      <c r="F954" t="s">
        <v>85</v>
      </c>
      <c r="G954">
        <v>3621</v>
      </c>
      <c r="H954" t="s">
        <v>120</v>
      </c>
      <c r="I954" t="s">
        <v>87</v>
      </c>
      <c r="J954">
        <v>2</v>
      </c>
      <c r="K954" t="s">
        <v>88</v>
      </c>
      <c r="L954" t="s">
        <v>89</v>
      </c>
      <c r="M954">
        <v>4</v>
      </c>
      <c r="N954" t="s">
        <v>111</v>
      </c>
      <c r="O954">
        <v>31</v>
      </c>
      <c r="P954" t="s">
        <v>89</v>
      </c>
      <c r="Q954" t="s">
        <v>91</v>
      </c>
      <c r="R954">
        <v>2</v>
      </c>
      <c r="S954" t="s">
        <v>92</v>
      </c>
      <c r="T954">
        <v>1</v>
      </c>
      <c r="U954" t="s">
        <v>89</v>
      </c>
      <c r="V954" t="s">
        <v>94</v>
      </c>
      <c r="W954">
        <v>2</v>
      </c>
      <c r="X954">
        <v>1</v>
      </c>
    </row>
    <row r="955" spans="2:24" x14ac:dyDescent="0.3">
      <c r="B955">
        <v>951</v>
      </c>
      <c r="C955" t="s">
        <v>10</v>
      </c>
      <c r="D955">
        <v>18</v>
      </c>
      <c r="E955" t="s">
        <v>84</v>
      </c>
      <c r="F955" t="s">
        <v>119</v>
      </c>
      <c r="G955">
        <v>3590</v>
      </c>
      <c r="H955" t="s">
        <v>96</v>
      </c>
      <c r="I955" t="s">
        <v>116</v>
      </c>
      <c r="J955">
        <v>3</v>
      </c>
      <c r="K955" t="s">
        <v>117</v>
      </c>
      <c r="L955" t="s">
        <v>89</v>
      </c>
      <c r="M955">
        <v>3</v>
      </c>
      <c r="N955" t="s">
        <v>111</v>
      </c>
      <c r="O955">
        <v>40</v>
      </c>
      <c r="P955" t="s">
        <v>89</v>
      </c>
      <c r="Q955" t="s">
        <v>91</v>
      </c>
      <c r="R955">
        <v>3</v>
      </c>
      <c r="S955" t="s">
        <v>129</v>
      </c>
      <c r="T955">
        <v>2</v>
      </c>
      <c r="U955" t="s">
        <v>93</v>
      </c>
      <c r="V955" t="s">
        <v>94</v>
      </c>
      <c r="W955">
        <v>1</v>
      </c>
      <c r="X955">
        <v>0</v>
      </c>
    </row>
    <row r="956" spans="2:24" x14ac:dyDescent="0.3">
      <c r="B956">
        <v>952</v>
      </c>
      <c r="C956" t="s">
        <v>8</v>
      </c>
      <c r="D956">
        <v>36</v>
      </c>
      <c r="E956" t="s">
        <v>106</v>
      </c>
      <c r="F956" t="s">
        <v>119</v>
      </c>
      <c r="G956">
        <v>2145</v>
      </c>
      <c r="H956" t="s">
        <v>96</v>
      </c>
      <c r="I956" t="s">
        <v>100</v>
      </c>
      <c r="J956">
        <v>2</v>
      </c>
      <c r="K956" t="s">
        <v>88</v>
      </c>
      <c r="L956" t="s">
        <v>89</v>
      </c>
      <c r="M956">
        <v>1</v>
      </c>
      <c r="N956" t="s">
        <v>111</v>
      </c>
      <c r="O956">
        <v>24</v>
      </c>
      <c r="P956" t="s">
        <v>89</v>
      </c>
      <c r="Q956" t="s">
        <v>91</v>
      </c>
      <c r="R956">
        <v>2</v>
      </c>
      <c r="S956" t="s">
        <v>92</v>
      </c>
      <c r="T956">
        <v>1</v>
      </c>
      <c r="U956" t="s">
        <v>93</v>
      </c>
      <c r="V956" t="s">
        <v>94</v>
      </c>
      <c r="W956">
        <v>2</v>
      </c>
      <c r="X956">
        <v>1</v>
      </c>
    </row>
    <row r="957" spans="2:24" x14ac:dyDescent="0.3">
      <c r="B957">
        <v>953</v>
      </c>
      <c r="C957" t="s">
        <v>10</v>
      </c>
      <c r="D957">
        <v>24</v>
      </c>
      <c r="E957" t="s">
        <v>95</v>
      </c>
      <c r="F957" t="s">
        <v>110</v>
      </c>
      <c r="G957">
        <v>4113</v>
      </c>
      <c r="H957" t="s">
        <v>109</v>
      </c>
      <c r="I957" t="s">
        <v>118</v>
      </c>
      <c r="J957">
        <v>3</v>
      </c>
      <c r="K957" t="s">
        <v>98</v>
      </c>
      <c r="L957" t="s">
        <v>89</v>
      </c>
      <c r="M957">
        <v>4</v>
      </c>
      <c r="N957" t="s">
        <v>111</v>
      </c>
      <c r="O957">
        <v>28</v>
      </c>
      <c r="P957" t="s">
        <v>89</v>
      </c>
      <c r="Q957" t="s">
        <v>112</v>
      </c>
      <c r="R957">
        <v>1</v>
      </c>
      <c r="S957" t="s">
        <v>92</v>
      </c>
      <c r="T957">
        <v>1</v>
      </c>
      <c r="U957" t="s">
        <v>89</v>
      </c>
      <c r="V957" t="s">
        <v>94</v>
      </c>
      <c r="W957">
        <v>2</v>
      </c>
      <c r="X957">
        <v>1</v>
      </c>
    </row>
    <row r="958" spans="2:24" x14ac:dyDescent="0.3">
      <c r="B958">
        <v>954</v>
      </c>
      <c r="C958" t="s">
        <v>12</v>
      </c>
      <c r="D958">
        <v>36</v>
      </c>
      <c r="E958" t="s">
        <v>95</v>
      </c>
      <c r="F958" t="s">
        <v>102</v>
      </c>
      <c r="G958">
        <v>10974</v>
      </c>
      <c r="H958" t="s">
        <v>96</v>
      </c>
      <c r="I958" t="s">
        <v>116</v>
      </c>
      <c r="J958">
        <v>4</v>
      </c>
      <c r="K958" t="s">
        <v>98</v>
      </c>
      <c r="L958" t="s">
        <v>89</v>
      </c>
      <c r="M958">
        <v>2</v>
      </c>
      <c r="N958" t="s">
        <v>111</v>
      </c>
      <c r="O958">
        <v>26</v>
      </c>
      <c r="P958" t="s">
        <v>89</v>
      </c>
      <c r="Q958" t="s">
        <v>91</v>
      </c>
      <c r="R958">
        <v>2</v>
      </c>
      <c r="S958" t="s">
        <v>113</v>
      </c>
      <c r="T958">
        <v>1</v>
      </c>
      <c r="U958" t="s">
        <v>93</v>
      </c>
      <c r="V958" t="s">
        <v>94</v>
      </c>
      <c r="W958">
        <v>2</v>
      </c>
      <c r="X958">
        <v>1</v>
      </c>
    </row>
    <row r="959" spans="2:24" x14ac:dyDescent="0.3">
      <c r="B959">
        <v>955</v>
      </c>
      <c r="C959" t="s">
        <v>8</v>
      </c>
      <c r="D959">
        <v>12</v>
      </c>
      <c r="E959" t="s">
        <v>95</v>
      </c>
      <c r="F959" t="s">
        <v>107</v>
      </c>
      <c r="G959">
        <v>1893</v>
      </c>
      <c r="H959" t="s">
        <v>96</v>
      </c>
      <c r="I959" t="s">
        <v>97</v>
      </c>
      <c r="J959">
        <v>4</v>
      </c>
      <c r="K959" t="s">
        <v>98</v>
      </c>
      <c r="L959" t="s">
        <v>103</v>
      </c>
      <c r="M959">
        <v>4</v>
      </c>
      <c r="N959" t="s">
        <v>104</v>
      </c>
      <c r="O959">
        <v>29</v>
      </c>
      <c r="P959" t="s">
        <v>89</v>
      </c>
      <c r="Q959" t="s">
        <v>91</v>
      </c>
      <c r="R959">
        <v>1</v>
      </c>
      <c r="S959" t="s">
        <v>92</v>
      </c>
      <c r="T959">
        <v>1</v>
      </c>
      <c r="U959" t="s">
        <v>93</v>
      </c>
      <c r="V959" t="s">
        <v>94</v>
      </c>
      <c r="W959">
        <v>1</v>
      </c>
      <c r="X959">
        <v>0</v>
      </c>
    </row>
    <row r="960" spans="2:24" x14ac:dyDescent="0.3">
      <c r="B960">
        <v>956</v>
      </c>
      <c r="C960" t="s">
        <v>8</v>
      </c>
      <c r="D960">
        <v>24</v>
      </c>
      <c r="E960" t="s">
        <v>84</v>
      </c>
      <c r="F960" t="s">
        <v>85</v>
      </c>
      <c r="G960">
        <v>1231</v>
      </c>
      <c r="H960" t="s">
        <v>114</v>
      </c>
      <c r="I960" t="s">
        <v>87</v>
      </c>
      <c r="J960">
        <v>4</v>
      </c>
      <c r="K960" t="s">
        <v>98</v>
      </c>
      <c r="L960" t="s">
        <v>89</v>
      </c>
      <c r="M960">
        <v>4</v>
      </c>
      <c r="N960" t="s">
        <v>104</v>
      </c>
      <c r="O960">
        <v>57</v>
      </c>
      <c r="P960" t="s">
        <v>89</v>
      </c>
      <c r="Q960" t="s">
        <v>112</v>
      </c>
      <c r="R960">
        <v>2</v>
      </c>
      <c r="S960" t="s">
        <v>113</v>
      </c>
      <c r="T960">
        <v>1</v>
      </c>
      <c r="U960" t="s">
        <v>93</v>
      </c>
      <c r="V960" t="s">
        <v>94</v>
      </c>
      <c r="W960">
        <v>1</v>
      </c>
      <c r="X960">
        <v>0</v>
      </c>
    </row>
    <row r="961" spans="2:24" x14ac:dyDescent="0.3">
      <c r="B961">
        <v>957</v>
      </c>
      <c r="C961" t="s">
        <v>11</v>
      </c>
      <c r="D961">
        <v>30</v>
      </c>
      <c r="E961" t="s">
        <v>84</v>
      </c>
      <c r="F961" t="s">
        <v>85</v>
      </c>
      <c r="G961">
        <v>3656</v>
      </c>
      <c r="H961" t="s">
        <v>86</v>
      </c>
      <c r="I961" t="s">
        <v>87</v>
      </c>
      <c r="J961">
        <v>4</v>
      </c>
      <c r="K961" t="s">
        <v>88</v>
      </c>
      <c r="L961" t="s">
        <v>89</v>
      </c>
      <c r="M961">
        <v>4</v>
      </c>
      <c r="N961" t="s">
        <v>104</v>
      </c>
      <c r="O961">
        <v>49</v>
      </c>
      <c r="P961" t="s">
        <v>125</v>
      </c>
      <c r="Q961" t="s">
        <v>91</v>
      </c>
      <c r="R961">
        <v>2</v>
      </c>
      <c r="S961" t="s">
        <v>101</v>
      </c>
      <c r="T961">
        <v>1</v>
      </c>
      <c r="U961" t="s">
        <v>89</v>
      </c>
      <c r="V961" t="s">
        <v>94</v>
      </c>
      <c r="W961">
        <v>1</v>
      </c>
      <c r="X961">
        <v>0</v>
      </c>
    </row>
    <row r="962" spans="2:24" x14ac:dyDescent="0.3">
      <c r="B962">
        <v>958</v>
      </c>
      <c r="C962" t="s">
        <v>10</v>
      </c>
      <c r="D962">
        <v>9</v>
      </c>
      <c r="E962" t="s">
        <v>84</v>
      </c>
      <c r="F962" t="s">
        <v>85</v>
      </c>
      <c r="G962">
        <v>1154</v>
      </c>
      <c r="H962" t="s">
        <v>96</v>
      </c>
      <c r="I962" t="s">
        <v>87</v>
      </c>
      <c r="J962">
        <v>2</v>
      </c>
      <c r="K962" t="s">
        <v>88</v>
      </c>
      <c r="L962" t="s">
        <v>89</v>
      </c>
      <c r="M962">
        <v>4</v>
      </c>
      <c r="N962" t="s">
        <v>90</v>
      </c>
      <c r="O962">
        <v>37</v>
      </c>
      <c r="P962" t="s">
        <v>89</v>
      </c>
      <c r="Q962" t="s">
        <v>91</v>
      </c>
      <c r="R962">
        <v>3</v>
      </c>
      <c r="S962" t="s">
        <v>101</v>
      </c>
      <c r="T962">
        <v>1</v>
      </c>
      <c r="U962" t="s">
        <v>89</v>
      </c>
      <c r="V962" t="s">
        <v>94</v>
      </c>
      <c r="W962">
        <v>1</v>
      </c>
      <c r="X962">
        <v>0</v>
      </c>
    </row>
    <row r="963" spans="2:24" x14ac:dyDescent="0.3">
      <c r="B963">
        <v>959</v>
      </c>
      <c r="C963" t="s">
        <v>8</v>
      </c>
      <c r="D963">
        <v>28</v>
      </c>
      <c r="E963" t="s">
        <v>95</v>
      </c>
      <c r="F963" t="s">
        <v>107</v>
      </c>
      <c r="G963">
        <v>4006</v>
      </c>
      <c r="H963" t="s">
        <v>96</v>
      </c>
      <c r="I963" t="s">
        <v>97</v>
      </c>
      <c r="J963">
        <v>3</v>
      </c>
      <c r="K963" t="s">
        <v>88</v>
      </c>
      <c r="L963" t="s">
        <v>89</v>
      </c>
      <c r="M963">
        <v>2</v>
      </c>
      <c r="N963" t="s">
        <v>111</v>
      </c>
      <c r="O963">
        <v>45</v>
      </c>
      <c r="P963" t="s">
        <v>89</v>
      </c>
      <c r="Q963" t="s">
        <v>91</v>
      </c>
      <c r="R963">
        <v>1</v>
      </c>
      <c r="S963" t="s">
        <v>101</v>
      </c>
      <c r="T963">
        <v>1</v>
      </c>
      <c r="U963" t="s">
        <v>89</v>
      </c>
      <c r="V963" t="s">
        <v>94</v>
      </c>
      <c r="W963">
        <v>2</v>
      </c>
      <c r="X963">
        <v>1</v>
      </c>
    </row>
    <row r="964" spans="2:24" x14ac:dyDescent="0.3">
      <c r="B964">
        <v>960</v>
      </c>
      <c r="C964" t="s">
        <v>10</v>
      </c>
      <c r="D964">
        <v>24</v>
      </c>
      <c r="E964" t="s">
        <v>95</v>
      </c>
      <c r="F964" t="s">
        <v>102</v>
      </c>
      <c r="G964">
        <v>3069</v>
      </c>
      <c r="H964" t="s">
        <v>120</v>
      </c>
      <c r="I964" t="s">
        <v>87</v>
      </c>
      <c r="J964">
        <v>4</v>
      </c>
      <c r="K964" t="s">
        <v>88</v>
      </c>
      <c r="L964" t="s">
        <v>89</v>
      </c>
      <c r="M964">
        <v>4</v>
      </c>
      <c r="N964" t="s">
        <v>108</v>
      </c>
      <c r="O964">
        <v>30</v>
      </c>
      <c r="P964" t="s">
        <v>89</v>
      </c>
      <c r="Q964" t="s">
        <v>105</v>
      </c>
      <c r="R964">
        <v>1</v>
      </c>
      <c r="S964" t="s">
        <v>92</v>
      </c>
      <c r="T964">
        <v>1</v>
      </c>
      <c r="U964" t="s">
        <v>89</v>
      </c>
      <c r="V964" t="s">
        <v>94</v>
      </c>
      <c r="W964">
        <v>1</v>
      </c>
      <c r="X964">
        <v>0</v>
      </c>
    </row>
    <row r="965" spans="2:24" x14ac:dyDescent="0.3">
      <c r="B965">
        <v>961</v>
      </c>
      <c r="C965" t="s">
        <v>12</v>
      </c>
      <c r="D965">
        <v>6</v>
      </c>
      <c r="E965" t="s">
        <v>84</v>
      </c>
      <c r="F965" t="s">
        <v>85</v>
      </c>
      <c r="G965">
        <v>1740</v>
      </c>
      <c r="H965" t="s">
        <v>96</v>
      </c>
      <c r="I965" t="s">
        <v>87</v>
      </c>
      <c r="J965">
        <v>2</v>
      </c>
      <c r="K965" t="s">
        <v>117</v>
      </c>
      <c r="L965" t="s">
        <v>89</v>
      </c>
      <c r="M965">
        <v>2</v>
      </c>
      <c r="N965" t="s">
        <v>90</v>
      </c>
      <c r="O965">
        <v>30</v>
      </c>
      <c r="P965" t="s">
        <v>89</v>
      </c>
      <c r="Q965" t="s">
        <v>112</v>
      </c>
      <c r="R965">
        <v>2</v>
      </c>
      <c r="S965" t="s">
        <v>92</v>
      </c>
      <c r="T965">
        <v>1</v>
      </c>
      <c r="U965" t="s">
        <v>89</v>
      </c>
      <c r="V965" t="s">
        <v>94</v>
      </c>
      <c r="W965">
        <v>1</v>
      </c>
      <c r="X965">
        <v>0</v>
      </c>
    </row>
    <row r="966" spans="2:24" x14ac:dyDescent="0.3">
      <c r="B966">
        <v>962</v>
      </c>
      <c r="C966" t="s">
        <v>10</v>
      </c>
      <c r="D966">
        <v>21</v>
      </c>
      <c r="E966" t="s">
        <v>106</v>
      </c>
      <c r="F966" t="s">
        <v>107</v>
      </c>
      <c r="G966">
        <v>2353</v>
      </c>
      <c r="H966" t="s">
        <v>96</v>
      </c>
      <c r="I966" t="s">
        <v>97</v>
      </c>
      <c r="J966">
        <v>1</v>
      </c>
      <c r="K966" t="s">
        <v>115</v>
      </c>
      <c r="L966" t="s">
        <v>89</v>
      </c>
      <c r="M966">
        <v>4</v>
      </c>
      <c r="N966" t="s">
        <v>104</v>
      </c>
      <c r="O966">
        <v>47</v>
      </c>
      <c r="P966" t="s">
        <v>89</v>
      </c>
      <c r="Q966" t="s">
        <v>91</v>
      </c>
      <c r="R966">
        <v>2</v>
      </c>
      <c r="S966" t="s">
        <v>92</v>
      </c>
      <c r="T966">
        <v>1</v>
      </c>
      <c r="U966" t="s">
        <v>89</v>
      </c>
      <c r="V966" t="s">
        <v>94</v>
      </c>
      <c r="W966">
        <v>1</v>
      </c>
      <c r="X966">
        <v>0</v>
      </c>
    </row>
    <row r="967" spans="2:24" x14ac:dyDescent="0.3">
      <c r="B967">
        <v>963</v>
      </c>
      <c r="C967" t="s">
        <v>12</v>
      </c>
      <c r="D967">
        <v>15</v>
      </c>
      <c r="E967" t="s">
        <v>95</v>
      </c>
      <c r="F967" t="s">
        <v>107</v>
      </c>
      <c r="G967">
        <v>3556</v>
      </c>
      <c r="H967" t="s">
        <v>86</v>
      </c>
      <c r="I967" t="s">
        <v>97</v>
      </c>
      <c r="J967">
        <v>3</v>
      </c>
      <c r="K967" t="s">
        <v>88</v>
      </c>
      <c r="L967" t="s">
        <v>89</v>
      </c>
      <c r="M967">
        <v>2</v>
      </c>
      <c r="N967" t="s">
        <v>108</v>
      </c>
      <c r="O967">
        <v>29</v>
      </c>
      <c r="P967" t="s">
        <v>89</v>
      </c>
      <c r="Q967" t="s">
        <v>91</v>
      </c>
      <c r="R967">
        <v>1</v>
      </c>
      <c r="S967" t="s">
        <v>92</v>
      </c>
      <c r="T967">
        <v>1</v>
      </c>
      <c r="U967" t="s">
        <v>89</v>
      </c>
      <c r="V967" t="s">
        <v>94</v>
      </c>
      <c r="W967">
        <v>1</v>
      </c>
      <c r="X967">
        <v>0</v>
      </c>
    </row>
    <row r="968" spans="2:24" x14ac:dyDescent="0.3">
      <c r="B968">
        <v>964</v>
      </c>
      <c r="C968" t="s">
        <v>12</v>
      </c>
      <c r="D968">
        <v>24</v>
      </c>
      <c r="E968" t="s">
        <v>95</v>
      </c>
      <c r="F968" t="s">
        <v>85</v>
      </c>
      <c r="G968">
        <v>2397</v>
      </c>
      <c r="H968" t="s">
        <v>109</v>
      </c>
      <c r="I968" t="s">
        <v>87</v>
      </c>
      <c r="J968">
        <v>3</v>
      </c>
      <c r="K968" t="s">
        <v>88</v>
      </c>
      <c r="L968" t="s">
        <v>89</v>
      </c>
      <c r="M968">
        <v>2</v>
      </c>
      <c r="N968" t="s">
        <v>111</v>
      </c>
      <c r="O968">
        <v>35</v>
      </c>
      <c r="P968" t="s">
        <v>122</v>
      </c>
      <c r="Q968" t="s">
        <v>91</v>
      </c>
      <c r="R968">
        <v>2</v>
      </c>
      <c r="S968" t="s">
        <v>92</v>
      </c>
      <c r="T968">
        <v>1</v>
      </c>
      <c r="U968" t="s">
        <v>93</v>
      </c>
      <c r="V968" t="s">
        <v>94</v>
      </c>
      <c r="W968">
        <v>2</v>
      </c>
      <c r="X968">
        <v>1</v>
      </c>
    </row>
    <row r="969" spans="2:24" x14ac:dyDescent="0.3">
      <c r="B969">
        <v>965</v>
      </c>
      <c r="C969" t="s">
        <v>10</v>
      </c>
      <c r="D969">
        <v>6</v>
      </c>
      <c r="E969" t="s">
        <v>95</v>
      </c>
      <c r="F969" t="s">
        <v>128</v>
      </c>
      <c r="G969">
        <v>454</v>
      </c>
      <c r="H969" t="s">
        <v>96</v>
      </c>
      <c r="I969" t="s">
        <v>118</v>
      </c>
      <c r="J969">
        <v>3</v>
      </c>
      <c r="K969" t="s">
        <v>117</v>
      </c>
      <c r="L969" t="s">
        <v>89</v>
      </c>
      <c r="M969">
        <v>1</v>
      </c>
      <c r="N969" t="s">
        <v>104</v>
      </c>
      <c r="O969">
        <v>22</v>
      </c>
      <c r="P969" t="s">
        <v>89</v>
      </c>
      <c r="Q969" t="s">
        <v>91</v>
      </c>
      <c r="R969">
        <v>1</v>
      </c>
      <c r="S969" t="s">
        <v>101</v>
      </c>
      <c r="T969">
        <v>1</v>
      </c>
      <c r="U969" t="s">
        <v>89</v>
      </c>
      <c r="V969" t="s">
        <v>94</v>
      </c>
      <c r="W969">
        <v>1</v>
      </c>
      <c r="X969">
        <v>0</v>
      </c>
    </row>
    <row r="970" spans="2:24" x14ac:dyDescent="0.3">
      <c r="B970">
        <v>966</v>
      </c>
      <c r="C970" t="s">
        <v>10</v>
      </c>
      <c r="D970">
        <v>30</v>
      </c>
      <c r="E970" t="s">
        <v>95</v>
      </c>
      <c r="F970" t="s">
        <v>85</v>
      </c>
      <c r="G970">
        <v>1715</v>
      </c>
      <c r="H970" t="s">
        <v>86</v>
      </c>
      <c r="I970" t="s">
        <v>97</v>
      </c>
      <c r="J970">
        <v>4</v>
      </c>
      <c r="K970" t="s">
        <v>98</v>
      </c>
      <c r="L970" t="s">
        <v>89</v>
      </c>
      <c r="M970">
        <v>1</v>
      </c>
      <c r="N970" t="s">
        <v>111</v>
      </c>
      <c r="O970">
        <v>26</v>
      </c>
      <c r="P970" t="s">
        <v>89</v>
      </c>
      <c r="Q970" t="s">
        <v>91</v>
      </c>
      <c r="R970">
        <v>1</v>
      </c>
      <c r="S970" t="s">
        <v>92</v>
      </c>
      <c r="T970">
        <v>1</v>
      </c>
      <c r="U970" t="s">
        <v>89</v>
      </c>
      <c r="V970" t="s">
        <v>94</v>
      </c>
      <c r="W970">
        <v>1</v>
      </c>
      <c r="X970">
        <v>0</v>
      </c>
    </row>
    <row r="971" spans="2:24" x14ac:dyDescent="0.3">
      <c r="B971">
        <v>967</v>
      </c>
      <c r="C971" t="s">
        <v>10</v>
      </c>
      <c r="D971">
        <v>27</v>
      </c>
      <c r="E971" t="s">
        <v>84</v>
      </c>
      <c r="F971" t="s">
        <v>85</v>
      </c>
      <c r="G971">
        <v>2520</v>
      </c>
      <c r="H971" t="s">
        <v>109</v>
      </c>
      <c r="I971" t="s">
        <v>97</v>
      </c>
      <c r="J971">
        <v>4</v>
      </c>
      <c r="K971" t="s">
        <v>88</v>
      </c>
      <c r="L971" t="s">
        <v>89</v>
      </c>
      <c r="M971">
        <v>2</v>
      </c>
      <c r="N971" t="s">
        <v>104</v>
      </c>
      <c r="O971">
        <v>23</v>
      </c>
      <c r="P971" t="s">
        <v>89</v>
      </c>
      <c r="Q971" t="s">
        <v>91</v>
      </c>
      <c r="R971">
        <v>2</v>
      </c>
      <c r="S971" t="s">
        <v>101</v>
      </c>
      <c r="T971">
        <v>1</v>
      </c>
      <c r="U971" t="s">
        <v>89</v>
      </c>
      <c r="V971" t="s">
        <v>94</v>
      </c>
      <c r="W971">
        <v>2</v>
      </c>
      <c r="X971">
        <v>1</v>
      </c>
    </row>
    <row r="972" spans="2:24" x14ac:dyDescent="0.3">
      <c r="B972">
        <v>968</v>
      </c>
      <c r="C972" t="s">
        <v>12</v>
      </c>
      <c r="D972">
        <v>15</v>
      </c>
      <c r="E972" t="s">
        <v>95</v>
      </c>
      <c r="F972" t="s">
        <v>85</v>
      </c>
      <c r="G972">
        <v>3568</v>
      </c>
      <c r="H972" t="s">
        <v>96</v>
      </c>
      <c r="I972" t="s">
        <v>87</v>
      </c>
      <c r="J972">
        <v>4</v>
      </c>
      <c r="K972" t="s">
        <v>98</v>
      </c>
      <c r="L972" t="s">
        <v>89</v>
      </c>
      <c r="M972">
        <v>2</v>
      </c>
      <c r="N972" t="s">
        <v>111</v>
      </c>
      <c r="O972">
        <v>54</v>
      </c>
      <c r="P972" t="s">
        <v>122</v>
      </c>
      <c r="Q972" t="s">
        <v>112</v>
      </c>
      <c r="R972">
        <v>1</v>
      </c>
      <c r="S972" t="s">
        <v>113</v>
      </c>
      <c r="T972">
        <v>1</v>
      </c>
      <c r="U972" t="s">
        <v>93</v>
      </c>
      <c r="V972" t="s">
        <v>94</v>
      </c>
      <c r="W972">
        <v>1</v>
      </c>
      <c r="X972">
        <v>0</v>
      </c>
    </row>
    <row r="973" spans="2:24" x14ac:dyDescent="0.3">
      <c r="B973">
        <v>969</v>
      </c>
      <c r="C973" t="s">
        <v>12</v>
      </c>
      <c r="D973">
        <v>42</v>
      </c>
      <c r="E973" t="s">
        <v>95</v>
      </c>
      <c r="F973" t="s">
        <v>85</v>
      </c>
      <c r="G973">
        <v>7166</v>
      </c>
      <c r="H973" t="s">
        <v>86</v>
      </c>
      <c r="I973" t="s">
        <v>100</v>
      </c>
      <c r="J973">
        <v>2</v>
      </c>
      <c r="K973" t="s">
        <v>117</v>
      </c>
      <c r="L973" t="s">
        <v>89</v>
      </c>
      <c r="M973">
        <v>4</v>
      </c>
      <c r="N973" t="s">
        <v>104</v>
      </c>
      <c r="O973">
        <v>29</v>
      </c>
      <c r="P973" t="s">
        <v>89</v>
      </c>
      <c r="Q973" t="s">
        <v>112</v>
      </c>
      <c r="R973">
        <v>1</v>
      </c>
      <c r="S973" t="s">
        <v>92</v>
      </c>
      <c r="T973">
        <v>1</v>
      </c>
      <c r="U973" t="s">
        <v>93</v>
      </c>
      <c r="V973" t="s">
        <v>94</v>
      </c>
      <c r="W973">
        <v>1</v>
      </c>
      <c r="X973">
        <v>0</v>
      </c>
    </row>
    <row r="974" spans="2:24" x14ac:dyDescent="0.3">
      <c r="B974">
        <v>970</v>
      </c>
      <c r="C974" t="s">
        <v>8</v>
      </c>
      <c r="D974">
        <v>11</v>
      </c>
      <c r="E974" t="s">
        <v>84</v>
      </c>
      <c r="F974" t="s">
        <v>107</v>
      </c>
      <c r="G974">
        <v>3939</v>
      </c>
      <c r="H974" t="s">
        <v>96</v>
      </c>
      <c r="I974" t="s">
        <v>97</v>
      </c>
      <c r="J974">
        <v>1</v>
      </c>
      <c r="K974" t="s">
        <v>88</v>
      </c>
      <c r="L974" t="s">
        <v>89</v>
      </c>
      <c r="M974">
        <v>2</v>
      </c>
      <c r="N974" t="s">
        <v>90</v>
      </c>
      <c r="O974">
        <v>40</v>
      </c>
      <c r="P974" t="s">
        <v>89</v>
      </c>
      <c r="Q974" t="s">
        <v>91</v>
      </c>
      <c r="R974">
        <v>2</v>
      </c>
      <c r="S974" t="s">
        <v>101</v>
      </c>
      <c r="T974">
        <v>2</v>
      </c>
      <c r="U974" t="s">
        <v>89</v>
      </c>
      <c r="V974" t="s">
        <v>94</v>
      </c>
      <c r="W974">
        <v>1</v>
      </c>
      <c r="X974">
        <v>0</v>
      </c>
    </row>
    <row r="975" spans="2:24" x14ac:dyDescent="0.3">
      <c r="B975">
        <v>971</v>
      </c>
      <c r="C975" t="s">
        <v>10</v>
      </c>
      <c r="D975">
        <v>15</v>
      </c>
      <c r="E975" t="s">
        <v>95</v>
      </c>
      <c r="F975" t="s">
        <v>128</v>
      </c>
      <c r="G975">
        <v>1514</v>
      </c>
      <c r="H975" t="s">
        <v>120</v>
      </c>
      <c r="I975" t="s">
        <v>97</v>
      </c>
      <c r="J975">
        <v>4</v>
      </c>
      <c r="K975" t="s">
        <v>88</v>
      </c>
      <c r="L975" t="s">
        <v>103</v>
      </c>
      <c r="M975">
        <v>2</v>
      </c>
      <c r="N975" t="s">
        <v>90</v>
      </c>
      <c r="O975">
        <v>22</v>
      </c>
      <c r="P975" t="s">
        <v>89</v>
      </c>
      <c r="Q975" t="s">
        <v>91</v>
      </c>
      <c r="R975">
        <v>1</v>
      </c>
      <c r="S975" t="s">
        <v>92</v>
      </c>
      <c r="T975">
        <v>1</v>
      </c>
      <c r="U975" t="s">
        <v>89</v>
      </c>
      <c r="V975" t="s">
        <v>94</v>
      </c>
      <c r="W975">
        <v>1</v>
      </c>
      <c r="X975">
        <v>0</v>
      </c>
    </row>
    <row r="976" spans="2:24" x14ac:dyDescent="0.3">
      <c r="B976">
        <v>972</v>
      </c>
      <c r="C976" t="s">
        <v>12</v>
      </c>
      <c r="D976">
        <v>24</v>
      </c>
      <c r="E976" t="s">
        <v>95</v>
      </c>
      <c r="F976" t="s">
        <v>107</v>
      </c>
      <c r="G976">
        <v>7393</v>
      </c>
      <c r="H976" t="s">
        <v>96</v>
      </c>
      <c r="I976" t="s">
        <v>97</v>
      </c>
      <c r="J976">
        <v>1</v>
      </c>
      <c r="K976" t="s">
        <v>88</v>
      </c>
      <c r="L976" t="s">
        <v>89</v>
      </c>
      <c r="M976">
        <v>4</v>
      </c>
      <c r="N976" t="s">
        <v>104</v>
      </c>
      <c r="O976">
        <v>43</v>
      </c>
      <c r="P976" t="s">
        <v>89</v>
      </c>
      <c r="Q976" t="s">
        <v>91</v>
      </c>
      <c r="R976">
        <v>1</v>
      </c>
      <c r="S976" t="s">
        <v>101</v>
      </c>
      <c r="T976">
        <v>2</v>
      </c>
      <c r="U976" t="s">
        <v>89</v>
      </c>
      <c r="V976" t="s">
        <v>94</v>
      </c>
      <c r="W976">
        <v>1</v>
      </c>
      <c r="X976">
        <v>0</v>
      </c>
    </row>
    <row r="977" spans="2:24" x14ac:dyDescent="0.3">
      <c r="B977">
        <v>973</v>
      </c>
      <c r="C977" t="s">
        <v>8</v>
      </c>
      <c r="D977">
        <v>24</v>
      </c>
      <c r="E977" t="s">
        <v>124</v>
      </c>
      <c r="F977" t="s">
        <v>107</v>
      </c>
      <c r="G977">
        <v>1193</v>
      </c>
      <c r="H977" t="s">
        <v>96</v>
      </c>
      <c r="I977" t="s">
        <v>116</v>
      </c>
      <c r="J977">
        <v>1</v>
      </c>
      <c r="K977" t="s">
        <v>98</v>
      </c>
      <c r="L977" t="s">
        <v>126</v>
      </c>
      <c r="M977">
        <v>4</v>
      </c>
      <c r="N977" t="s">
        <v>108</v>
      </c>
      <c r="O977">
        <v>29</v>
      </c>
      <c r="P977" t="s">
        <v>89</v>
      </c>
      <c r="Q977" t="s">
        <v>112</v>
      </c>
      <c r="R977">
        <v>2</v>
      </c>
      <c r="S977" t="s">
        <v>129</v>
      </c>
      <c r="T977">
        <v>1</v>
      </c>
      <c r="U977" t="s">
        <v>89</v>
      </c>
      <c r="V977" t="s">
        <v>94</v>
      </c>
      <c r="W977">
        <v>2</v>
      </c>
      <c r="X977">
        <v>1</v>
      </c>
    </row>
    <row r="978" spans="2:24" x14ac:dyDescent="0.3">
      <c r="B978">
        <v>974</v>
      </c>
      <c r="C978" t="s">
        <v>8</v>
      </c>
      <c r="D978">
        <v>60</v>
      </c>
      <c r="E978" t="s">
        <v>95</v>
      </c>
      <c r="F978" t="s">
        <v>119</v>
      </c>
      <c r="G978">
        <v>7297</v>
      </c>
      <c r="H978" t="s">
        <v>96</v>
      </c>
      <c r="I978" t="s">
        <v>87</v>
      </c>
      <c r="J978">
        <v>4</v>
      </c>
      <c r="K978" t="s">
        <v>88</v>
      </c>
      <c r="L978" t="s">
        <v>126</v>
      </c>
      <c r="M978">
        <v>4</v>
      </c>
      <c r="N978" t="s">
        <v>108</v>
      </c>
      <c r="O978">
        <v>36</v>
      </c>
      <c r="P978" t="s">
        <v>89</v>
      </c>
      <c r="Q978" t="s">
        <v>112</v>
      </c>
      <c r="R978">
        <v>1</v>
      </c>
      <c r="S978" t="s">
        <v>92</v>
      </c>
      <c r="T978">
        <v>1</v>
      </c>
      <c r="U978" t="s">
        <v>89</v>
      </c>
      <c r="V978" t="s">
        <v>94</v>
      </c>
      <c r="W978">
        <v>2</v>
      </c>
      <c r="X978">
        <v>1</v>
      </c>
    </row>
    <row r="979" spans="2:24" x14ac:dyDescent="0.3">
      <c r="B979">
        <v>975</v>
      </c>
      <c r="C979" t="s">
        <v>12</v>
      </c>
      <c r="D979">
        <v>30</v>
      </c>
      <c r="E979" t="s">
        <v>84</v>
      </c>
      <c r="F979" t="s">
        <v>85</v>
      </c>
      <c r="G979">
        <v>2831</v>
      </c>
      <c r="H979" t="s">
        <v>96</v>
      </c>
      <c r="I979" t="s">
        <v>97</v>
      </c>
      <c r="J979">
        <v>4</v>
      </c>
      <c r="K979" t="s">
        <v>98</v>
      </c>
      <c r="L979" t="s">
        <v>89</v>
      </c>
      <c r="M979">
        <v>2</v>
      </c>
      <c r="N979" t="s">
        <v>111</v>
      </c>
      <c r="O979">
        <v>33</v>
      </c>
      <c r="P979" t="s">
        <v>89</v>
      </c>
      <c r="Q979" t="s">
        <v>91</v>
      </c>
      <c r="R979">
        <v>1</v>
      </c>
      <c r="S979" t="s">
        <v>92</v>
      </c>
      <c r="T979">
        <v>1</v>
      </c>
      <c r="U979" t="s">
        <v>93</v>
      </c>
      <c r="V979" t="s">
        <v>94</v>
      </c>
      <c r="W979">
        <v>1</v>
      </c>
      <c r="X979">
        <v>0</v>
      </c>
    </row>
    <row r="980" spans="2:24" x14ac:dyDescent="0.3">
      <c r="B980">
        <v>976</v>
      </c>
      <c r="C980" t="s">
        <v>11</v>
      </c>
      <c r="D980">
        <v>24</v>
      </c>
      <c r="E980" t="s">
        <v>95</v>
      </c>
      <c r="F980" t="s">
        <v>85</v>
      </c>
      <c r="G980">
        <v>1258</v>
      </c>
      <c r="H980" t="s">
        <v>109</v>
      </c>
      <c r="I980" t="s">
        <v>97</v>
      </c>
      <c r="J980">
        <v>3</v>
      </c>
      <c r="K980" t="s">
        <v>98</v>
      </c>
      <c r="L980" t="s">
        <v>89</v>
      </c>
      <c r="M980">
        <v>3</v>
      </c>
      <c r="N980" t="s">
        <v>111</v>
      </c>
      <c r="O980">
        <v>57</v>
      </c>
      <c r="P980" t="s">
        <v>89</v>
      </c>
      <c r="Q980" t="s">
        <v>91</v>
      </c>
      <c r="R980">
        <v>1</v>
      </c>
      <c r="S980" t="s">
        <v>101</v>
      </c>
      <c r="T980">
        <v>1</v>
      </c>
      <c r="U980" t="s">
        <v>89</v>
      </c>
      <c r="V980" t="s">
        <v>94</v>
      </c>
      <c r="W980">
        <v>1</v>
      </c>
      <c r="X980">
        <v>0</v>
      </c>
    </row>
    <row r="981" spans="2:24" x14ac:dyDescent="0.3">
      <c r="B981">
        <v>977</v>
      </c>
      <c r="C981" t="s">
        <v>10</v>
      </c>
      <c r="D981">
        <v>6</v>
      </c>
      <c r="E981" t="s">
        <v>95</v>
      </c>
      <c r="F981" t="s">
        <v>85</v>
      </c>
      <c r="G981">
        <v>753</v>
      </c>
      <c r="H981" t="s">
        <v>96</v>
      </c>
      <c r="I981" t="s">
        <v>97</v>
      </c>
      <c r="J981">
        <v>2</v>
      </c>
      <c r="K981" t="s">
        <v>98</v>
      </c>
      <c r="L981" t="s">
        <v>103</v>
      </c>
      <c r="M981">
        <v>3</v>
      </c>
      <c r="N981" t="s">
        <v>90</v>
      </c>
      <c r="O981">
        <v>64</v>
      </c>
      <c r="P981" t="s">
        <v>89</v>
      </c>
      <c r="Q981" t="s">
        <v>91</v>
      </c>
      <c r="R981">
        <v>1</v>
      </c>
      <c r="S981" t="s">
        <v>92</v>
      </c>
      <c r="T981">
        <v>1</v>
      </c>
      <c r="U981" t="s">
        <v>89</v>
      </c>
      <c r="V981" t="s">
        <v>94</v>
      </c>
      <c r="W981">
        <v>1</v>
      </c>
      <c r="X981">
        <v>0</v>
      </c>
    </row>
    <row r="982" spans="2:24" x14ac:dyDescent="0.3">
      <c r="B982">
        <v>978</v>
      </c>
      <c r="C982" t="s">
        <v>10</v>
      </c>
      <c r="D982">
        <v>18</v>
      </c>
      <c r="E982" t="s">
        <v>106</v>
      </c>
      <c r="F982" t="s">
        <v>119</v>
      </c>
      <c r="G982">
        <v>2427</v>
      </c>
      <c r="H982" t="s">
        <v>86</v>
      </c>
      <c r="I982" t="s">
        <v>87</v>
      </c>
      <c r="J982">
        <v>4</v>
      </c>
      <c r="K982" t="s">
        <v>88</v>
      </c>
      <c r="L982" t="s">
        <v>89</v>
      </c>
      <c r="M982">
        <v>2</v>
      </c>
      <c r="N982" t="s">
        <v>104</v>
      </c>
      <c r="O982">
        <v>42</v>
      </c>
      <c r="P982" t="s">
        <v>89</v>
      </c>
      <c r="Q982" t="s">
        <v>91</v>
      </c>
      <c r="R982">
        <v>2</v>
      </c>
      <c r="S982" t="s">
        <v>92</v>
      </c>
      <c r="T982">
        <v>1</v>
      </c>
      <c r="U982" t="s">
        <v>89</v>
      </c>
      <c r="V982" t="s">
        <v>94</v>
      </c>
      <c r="W982">
        <v>1</v>
      </c>
      <c r="X982">
        <v>0</v>
      </c>
    </row>
    <row r="983" spans="2:24" x14ac:dyDescent="0.3">
      <c r="B983">
        <v>979</v>
      </c>
      <c r="C983" t="s">
        <v>12</v>
      </c>
      <c r="D983">
        <v>24</v>
      </c>
      <c r="E983" t="s">
        <v>106</v>
      </c>
      <c r="F983" t="s">
        <v>107</v>
      </c>
      <c r="G983">
        <v>2538</v>
      </c>
      <c r="H983" t="s">
        <v>96</v>
      </c>
      <c r="I983" t="s">
        <v>87</v>
      </c>
      <c r="J983">
        <v>4</v>
      </c>
      <c r="K983" t="s">
        <v>88</v>
      </c>
      <c r="L983" t="s">
        <v>89</v>
      </c>
      <c r="M983">
        <v>4</v>
      </c>
      <c r="N983" t="s">
        <v>111</v>
      </c>
      <c r="O983">
        <v>47</v>
      </c>
      <c r="P983" t="s">
        <v>89</v>
      </c>
      <c r="Q983" t="s">
        <v>91</v>
      </c>
      <c r="R983">
        <v>2</v>
      </c>
      <c r="S983" t="s">
        <v>101</v>
      </c>
      <c r="T983">
        <v>2</v>
      </c>
      <c r="U983" t="s">
        <v>89</v>
      </c>
      <c r="V983" t="s">
        <v>94</v>
      </c>
      <c r="W983">
        <v>2</v>
      </c>
      <c r="X983">
        <v>1</v>
      </c>
    </row>
    <row r="984" spans="2:24" x14ac:dyDescent="0.3">
      <c r="B984">
        <v>980</v>
      </c>
      <c r="C984" t="s">
        <v>10</v>
      </c>
      <c r="D984">
        <v>15</v>
      </c>
      <c r="E984" t="s">
        <v>124</v>
      </c>
      <c r="F984" t="s">
        <v>107</v>
      </c>
      <c r="G984">
        <v>1264</v>
      </c>
      <c r="H984" t="s">
        <v>120</v>
      </c>
      <c r="I984" t="s">
        <v>97</v>
      </c>
      <c r="J984">
        <v>2</v>
      </c>
      <c r="K984" t="s">
        <v>117</v>
      </c>
      <c r="L984" t="s">
        <v>89</v>
      </c>
      <c r="M984">
        <v>2</v>
      </c>
      <c r="N984" t="s">
        <v>104</v>
      </c>
      <c r="O984">
        <v>25</v>
      </c>
      <c r="P984" t="s">
        <v>89</v>
      </c>
      <c r="Q984" t="s">
        <v>112</v>
      </c>
      <c r="R984">
        <v>1</v>
      </c>
      <c r="S984" t="s">
        <v>92</v>
      </c>
      <c r="T984">
        <v>1</v>
      </c>
      <c r="U984" t="s">
        <v>89</v>
      </c>
      <c r="V984" t="s">
        <v>94</v>
      </c>
      <c r="W984">
        <v>2</v>
      </c>
      <c r="X984">
        <v>1</v>
      </c>
    </row>
    <row r="985" spans="2:24" x14ac:dyDescent="0.3">
      <c r="B985">
        <v>981</v>
      </c>
      <c r="C985" t="s">
        <v>10</v>
      </c>
      <c r="D985">
        <v>30</v>
      </c>
      <c r="E985" t="s">
        <v>84</v>
      </c>
      <c r="F985" t="s">
        <v>102</v>
      </c>
      <c r="G985">
        <v>8386</v>
      </c>
      <c r="H985" t="s">
        <v>96</v>
      </c>
      <c r="I985" t="s">
        <v>100</v>
      </c>
      <c r="J985">
        <v>2</v>
      </c>
      <c r="K985" t="s">
        <v>88</v>
      </c>
      <c r="L985" t="s">
        <v>89</v>
      </c>
      <c r="M985">
        <v>2</v>
      </c>
      <c r="N985" t="s">
        <v>104</v>
      </c>
      <c r="O985">
        <v>49</v>
      </c>
      <c r="P985" t="s">
        <v>89</v>
      </c>
      <c r="Q985" t="s">
        <v>91</v>
      </c>
      <c r="R985">
        <v>1</v>
      </c>
      <c r="S985" t="s">
        <v>92</v>
      </c>
      <c r="T985">
        <v>1</v>
      </c>
      <c r="U985" t="s">
        <v>89</v>
      </c>
      <c r="V985" t="s">
        <v>94</v>
      </c>
      <c r="W985">
        <v>2</v>
      </c>
      <c r="X985">
        <v>1</v>
      </c>
    </row>
    <row r="986" spans="2:24" x14ac:dyDescent="0.3">
      <c r="B986">
        <v>982</v>
      </c>
      <c r="C986" t="s">
        <v>12</v>
      </c>
      <c r="D986">
        <v>48</v>
      </c>
      <c r="E986" t="s">
        <v>95</v>
      </c>
      <c r="F986" t="s">
        <v>119</v>
      </c>
      <c r="G986">
        <v>4844</v>
      </c>
      <c r="H986" t="s">
        <v>96</v>
      </c>
      <c r="I986" t="s">
        <v>116</v>
      </c>
      <c r="J986">
        <v>3</v>
      </c>
      <c r="K986" t="s">
        <v>88</v>
      </c>
      <c r="L986" t="s">
        <v>89</v>
      </c>
      <c r="M986">
        <v>2</v>
      </c>
      <c r="N986" t="s">
        <v>111</v>
      </c>
      <c r="O986">
        <v>33</v>
      </c>
      <c r="P986" t="s">
        <v>122</v>
      </c>
      <c r="Q986" t="s">
        <v>112</v>
      </c>
      <c r="R986">
        <v>1</v>
      </c>
      <c r="S986" t="s">
        <v>113</v>
      </c>
      <c r="T986">
        <v>1</v>
      </c>
      <c r="U986" t="s">
        <v>93</v>
      </c>
      <c r="V986" t="s">
        <v>94</v>
      </c>
      <c r="W986">
        <v>2</v>
      </c>
      <c r="X986">
        <v>1</v>
      </c>
    </row>
    <row r="987" spans="2:24" x14ac:dyDescent="0.3">
      <c r="B987">
        <v>983</v>
      </c>
      <c r="C987" t="s">
        <v>11</v>
      </c>
      <c r="D987">
        <v>21</v>
      </c>
      <c r="E987" t="s">
        <v>95</v>
      </c>
      <c r="F987" t="s">
        <v>107</v>
      </c>
      <c r="G987">
        <v>2923</v>
      </c>
      <c r="H987" t="s">
        <v>120</v>
      </c>
      <c r="I987" t="s">
        <v>97</v>
      </c>
      <c r="J987">
        <v>1</v>
      </c>
      <c r="K987" t="s">
        <v>98</v>
      </c>
      <c r="L987" t="s">
        <v>89</v>
      </c>
      <c r="M987">
        <v>1</v>
      </c>
      <c r="N987" t="s">
        <v>111</v>
      </c>
      <c r="O987">
        <v>28</v>
      </c>
      <c r="P987" t="s">
        <v>122</v>
      </c>
      <c r="Q987" t="s">
        <v>91</v>
      </c>
      <c r="R987">
        <v>1</v>
      </c>
      <c r="S987" t="s">
        <v>113</v>
      </c>
      <c r="T987">
        <v>1</v>
      </c>
      <c r="U987" t="s">
        <v>93</v>
      </c>
      <c r="V987" t="s">
        <v>94</v>
      </c>
      <c r="W987">
        <v>1</v>
      </c>
      <c r="X987">
        <v>0</v>
      </c>
    </row>
    <row r="988" spans="2:24" x14ac:dyDescent="0.3">
      <c r="B988">
        <v>984</v>
      </c>
      <c r="C988" t="s">
        <v>8</v>
      </c>
      <c r="D988">
        <v>36</v>
      </c>
      <c r="E988" t="s">
        <v>95</v>
      </c>
      <c r="F988" t="s">
        <v>110</v>
      </c>
      <c r="G988">
        <v>8229</v>
      </c>
      <c r="H988" t="s">
        <v>96</v>
      </c>
      <c r="I988" t="s">
        <v>97</v>
      </c>
      <c r="J988">
        <v>2</v>
      </c>
      <c r="K988" t="s">
        <v>88</v>
      </c>
      <c r="L988" t="s">
        <v>89</v>
      </c>
      <c r="M988">
        <v>2</v>
      </c>
      <c r="N988" t="s">
        <v>104</v>
      </c>
      <c r="O988">
        <v>26</v>
      </c>
      <c r="P988" t="s">
        <v>89</v>
      </c>
      <c r="Q988" t="s">
        <v>91</v>
      </c>
      <c r="R988">
        <v>1</v>
      </c>
      <c r="S988" t="s">
        <v>92</v>
      </c>
      <c r="T988">
        <v>2</v>
      </c>
      <c r="U988" t="s">
        <v>89</v>
      </c>
      <c r="V988" t="s">
        <v>94</v>
      </c>
      <c r="W988">
        <v>2</v>
      </c>
      <c r="X988">
        <v>1</v>
      </c>
    </row>
    <row r="989" spans="2:24" x14ac:dyDescent="0.3">
      <c r="B989">
        <v>985</v>
      </c>
      <c r="C989" t="s">
        <v>12</v>
      </c>
      <c r="D989">
        <v>24</v>
      </c>
      <c r="E989" t="s">
        <v>84</v>
      </c>
      <c r="F989" t="s">
        <v>102</v>
      </c>
      <c r="G989">
        <v>2028</v>
      </c>
      <c r="H989" t="s">
        <v>96</v>
      </c>
      <c r="I989" t="s">
        <v>100</v>
      </c>
      <c r="J989">
        <v>2</v>
      </c>
      <c r="K989" t="s">
        <v>88</v>
      </c>
      <c r="L989" t="s">
        <v>89</v>
      </c>
      <c r="M989">
        <v>2</v>
      </c>
      <c r="N989" t="s">
        <v>104</v>
      </c>
      <c r="O989">
        <v>30</v>
      </c>
      <c r="P989" t="s">
        <v>89</v>
      </c>
      <c r="Q989" t="s">
        <v>91</v>
      </c>
      <c r="R989">
        <v>2</v>
      </c>
      <c r="S989" t="s">
        <v>101</v>
      </c>
      <c r="T989">
        <v>1</v>
      </c>
      <c r="U989" t="s">
        <v>89</v>
      </c>
      <c r="V989" t="s">
        <v>94</v>
      </c>
      <c r="W989">
        <v>1</v>
      </c>
      <c r="X989">
        <v>0</v>
      </c>
    </row>
    <row r="990" spans="2:24" x14ac:dyDescent="0.3">
      <c r="B990">
        <v>986</v>
      </c>
      <c r="C990" t="s">
        <v>8</v>
      </c>
      <c r="D990">
        <v>15</v>
      </c>
      <c r="E990" t="s">
        <v>84</v>
      </c>
      <c r="F990" t="s">
        <v>102</v>
      </c>
      <c r="G990">
        <v>1433</v>
      </c>
      <c r="H990" t="s">
        <v>96</v>
      </c>
      <c r="I990" t="s">
        <v>97</v>
      </c>
      <c r="J990">
        <v>4</v>
      </c>
      <c r="K990" t="s">
        <v>98</v>
      </c>
      <c r="L990" t="s">
        <v>89</v>
      </c>
      <c r="M990">
        <v>3</v>
      </c>
      <c r="N990" t="s">
        <v>104</v>
      </c>
      <c r="O990">
        <v>25</v>
      </c>
      <c r="P990" t="s">
        <v>89</v>
      </c>
      <c r="Q990" t="s">
        <v>112</v>
      </c>
      <c r="R990">
        <v>2</v>
      </c>
      <c r="S990" t="s">
        <v>92</v>
      </c>
      <c r="T990">
        <v>1</v>
      </c>
      <c r="U990" t="s">
        <v>89</v>
      </c>
      <c r="V990" t="s">
        <v>94</v>
      </c>
      <c r="W990">
        <v>1</v>
      </c>
      <c r="X990">
        <v>0</v>
      </c>
    </row>
    <row r="991" spans="2:24" x14ac:dyDescent="0.3">
      <c r="B991">
        <v>987</v>
      </c>
      <c r="C991" t="s">
        <v>11</v>
      </c>
      <c r="D991">
        <v>42</v>
      </c>
      <c r="E991" t="s">
        <v>121</v>
      </c>
      <c r="F991" t="s">
        <v>119</v>
      </c>
      <c r="G991">
        <v>6289</v>
      </c>
      <c r="H991" t="s">
        <v>96</v>
      </c>
      <c r="I991" t="s">
        <v>118</v>
      </c>
      <c r="J991">
        <v>2</v>
      </c>
      <c r="K991" t="s">
        <v>115</v>
      </c>
      <c r="L991" t="s">
        <v>89</v>
      </c>
      <c r="M991">
        <v>1</v>
      </c>
      <c r="N991" t="s">
        <v>104</v>
      </c>
      <c r="O991">
        <v>33</v>
      </c>
      <c r="P991" t="s">
        <v>89</v>
      </c>
      <c r="Q991" t="s">
        <v>91</v>
      </c>
      <c r="R991">
        <v>2</v>
      </c>
      <c r="S991" t="s">
        <v>92</v>
      </c>
      <c r="T991">
        <v>1</v>
      </c>
      <c r="U991" t="s">
        <v>89</v>
      </c>
      <c r="V991" t="s">
        <v>94</v>
      </c>
      <c r="W991">
        <v>1</v>
      </c>
      <c r="X991">
        <v>0</v>
      </c>
    </row>
    <row r="992" spans="2:24" x14ac:dyDescent="0.3">
      <c r="B992">
        <v>988</v>
      </c>
      <c r="C992" t="s">
        <v>12</v>
      </c>
      <c r="D992">
        <v>13</v>
      </c>
      <c r="E992" t="s">
        <v>95</v>
      </c>
      <c r="F992" t="s">
        <v>85</v>
      </c>
      <c r="G992">
        <v>1409</v>
      </c>
      <c r="H992" t="s">
        <v>120</v>
      </c>
      <c r="I992" t="s">
        <v>116</v>
      </c>
      <c r="J992">
        <v>2</v>
      </c>
      <c r="K992" t="s">
        <v>98</v>
      </c>
      <c r="L992" t="s">
        <v>89</v>
      </c>
      <c r="M992">
        <v>4</v>
      </c>
      <c r="N992" t="s">
        <v>90</v>
      </c>
      <c r="O992">
        <v>64</v>
      </c>
      <c r="P992" t="s">
        <v>89</v>
      </c>
      <c r="Q992" t="s">
        <v>91</v>
      </c>
      <c r="R992">
        <v>1</v>
      </c>
      <c r="S992" t="s">
        <v>92</v>
      </c>
      <c r="T992">
        <v>1</v>
      </c>
      <c r="U992" t="s">
        <v>89</v>
      </c>
      <c r="V992" t="s">
        <v>94</v>
      </c>
      <c r="W992">
        <v>1</v>
      </c>
      <c r="X992">
        <v>0</v>
      </c>
    </row>
    <row r="993" spans="2:24" x14ac:dyDescent="0.3">
      <c r="B993">
        <v>989</v>
      </c>
      <c r="C993" t="s">
        <v>8</v>
      </c>
      <c r="D993">
        <v>24</v>
      </c>
      <c r="E993" t="s">
        <v>95</v>
      </c>
      <c r="F993" t="s">
        <v>110</v>
      </c>
      <c r="G993">
        <v>6579</v>
      </c>
      <c r="H993" t="s">
        <v>96</v>
      </c>
      <c r="I993" t="s">
        <v>116</v>
      </c>
      <c r="J993">
        <v>4</v>
      </c>
      <c r="K993" t="s">
        <v>88</v>
      </c>
      <c r="L993" t="s">
        <v>89</v>
      </c>
      <c r="M993">
        <v>2</v>
      </c>
      <c r="N993" t="s">
        <v>108</v>
      </c>
      <c r="O993">
        <v>29</v>
      </c>
      <c r="P993" t="s">
        <v>89</v>
      </c>
      <c r="Q993" t="s">
        <v>105</v>
      </c>
      <c r="R993">
        <v>1</v>
      </c>
      <c r="S993" t="s">
        <v>113</v>
      </c>
      <c r="T993">
        <v>1</v>
      </c>
      <c r="U993" t="s">
        <v>93</v>
      </c>
      <c r="V993" t="s">
        <v>94</v>
      </c>
      <c r="W993">
        <v>1</v>
      </c>
      <c r="X993">
        <v>0</v>
      </c>
    </row>
    <row r="994" spans="2:24" x14ac:dyDescent="0.3">
      <c r="B994">
        <v>990</v>
      </c>
      <c r="C994" t="s">
        <v>10</v>
      </c>
      <c r="D994">
        <v>24</v>
      </c>
      <c r="E994" t="s">
        <v>84</v>
      </c>
      <c r="F994" t="s">
        <v>85</v>
      </c>
      <c r="G994">
        <v>1743</v>
      </c>
      <c r="H994" t="s">
        <v>96</v>
      </c>
      <c r="I994" t="s">
        <v>87</v>
      </c>
      <c r="J994">
        <v>4</v>
      </c>
      <c r="K994" t="s">
        <v>88</v>
      </c>
      <c r="L994" t="s">
        <v>89</v>
      </c>
      <c r="M994">
        <v>2</v>
      </c>
      <c r="N994" t="s">
        <v>104</v>
      </c>
      <c r="O994">
        <v>48</v>
      </c>
      <c r="P994" t="s">
        <v>89</v>
      </c>
      <c r="Q994" t="s">
        <v>91</v>
      </c>
      <c r="R994">
        <v>2</v>
      </c>
      <c r="S994" t="s">
        <v>101</v>
      </c>
      <c r="T994">
        <v>1</v>
      </c>
      <c r="U994" t="s">
        <v>89</v>
      </c>
      <c r="V994" t="s">
        <v>94</v>
      </c>
      <c r="W994">
        <v>1</v>
      </c>
      <c r="X994">
        <v>0</v>
      </c>
    </row>
    <row r="995" spans="2:24" x14ac:dyDescent="0.3">
      <c r="B995">
        <v>991</v>
      </c>
      <c r="C995" t="s">
        <v>12</v>
      </c>
      <c r="D995">
        <v>12</v>
      </c>
      <c r="E995" t="s">
        <v>84</v>
      </c>
      <c r="F995" t="s">
        <v>99</v>
      </c>
      <c r="G995">
        <v>3565</v>
      </c>
      <c r="H995" t="s">
        <v>86</v>
      </c>
      <c r="I995" t="s">
        <v>118</v>
      </c>
      <c r="J995">
        <v>2</v>
      </c>
      <c r="K995" t="s">
        <v>88</v>
      </c>
      <c r="L995" t="s">
        <v>89</v>
      </c>
      <c r="M995">
        <v>1</v>
      </c>
      <c r="N995" t="s">
        <v>104</v>
      </c>
      <c r="O995">
        <v>37</v>
      </c>
      <c r="P995" t="s">
        <v>89</v>
      </c>
      <c r="Q995" t="s">
        <v>91</v>
      </c>
      <c r="R995">
        <v>2</v>
      </c>
      <c r="S995" t="s">
        <v>101</v>
      </c>
      <c r="T995">
        <v>2</v>
      </c>
      <c r="U995" t="s">
        <v>89</v>
      </c>
      <c r="V995" t="s">
        <v>94</v>
      </c>
      <c r="W995">
        <v>1</v>
      </c>
      <c r="X995">
        <v>0</v>
      </c>
    </row>
    <row r="996" spans="2:24" x14ac:dyDescent="0.3">
      <c r="B996">
        <v>992</v>
      </c>
      <c r="C996" t="s">
        <v>12</v>
      </c>
      <c r="D996">
        <v>15</v>
      </c>
      <c r="E996" t="s">
        <v>124</v>
      </c>
      <c r="F996" t="s">
        <v>85</v>
      </c>
      <c r="G996">
        <v>1569</v>
      </c>
      <c r="H996" t="s">
        <v>120</v>
      </c>
      <c r="I996" t="s">
        <v>87</v>
      </c>
      <c r="J996">
        <v>4</v>
      </c>
      <c r="K996" t="s">
        <v>88</v>
      </c>
      <c r="L996" t="s">
        <v>89</v>
      </c>
      <c r="M996">
        <v>4</v>
      </c>
      <c r="N996" t="s">
        <v>111</v>
      </c>
      <c r="O996">
        <v>34</v>
      </c>
      <c r="P996" t="s">
        <v>122</v>
      </c>
      <c r="Q996" t="s">
        <v>91</v>
      </c>
      <c r="R996">
        <v>1</v>
      </c>
      <c r="S996" t="s">
        <v>101</v>
      </c>
      <c r="T996">
        <v>2</v>
      </c>
      <c r="U996" t="s">
        <v>89</v>
      </c>
      <c r="V996" t="s">
        <v>94</v>
      </c>
      <c r="W996">
        <v>1</v>
      </c>
      <c r="X996">
        <v>0</v>
      </c>
    </row>
    <row r="997" spans="2:24" x14ac:dyDescent="0.3">
      <c r="B997">
        <v>993</v>
      </c>
      <c r="C997" t="s">
        <v>8</v>
      </c>
      <c r="D997">
        <v>18</v>
      </c>
      <c r="E997" t="s">
        <v>95</v>
      </c>
      <c r="F997" t="s">
        <v>85</v>
      </c>
      <c r="G997">
        <v>1936</v>
      </c>
      <c r="H997" t="s">
        <v>86</v>
      </c>
      <c r="I997" t="s">
        <v>100</v>
      </c>
      <c r="J997">
        <v>2</v>
      </c>
      <c r="K997" t="s">
        <v>117</v>
      </c>
      <c r="L997" t="s">
        <v>89</v>
      </c>
      <c r="M997">
        <v>4</v>
      </c>
      <c r="N997" t="s">
        <v>111</v>
      </c>
      <c r="O997">
        <v>23</v>
      </c>
      <c r="P997" t="s">
        <v>89</v>
      </c>
      <c r="Q997" t="s">
        <v>112</v>
      </c>
      <c r="R997">
        <v>2</v>
      </c>
      <c r="S997" t="s">
        <v>101</v>
      </c>
      <c r="T997">
        <v>1</v>
      </c>
      <c r="U997" t="s">
        <v>89</v>
      </c>
      <c r="V997" t="s">
        <v>94</v>
      </c>
      <c r="W997">
        <v>1</v>
      </c>
      <c r="X997">
        <v>0</v>
      </c>
    </row>
    <row r="998" spans="2:24" x14ac:dyDescent="0.3">
      <c r="B998">
        <v>994</v>
      </c>
      <c r="C998" t="s">
        <v>8</v>
      </c>
      <c r="D998">
        <v>36</v>
      </c>
      <c r="E998" t="s">
        <v>95</v>
      </c>
      <c r="F998" t="s">
        <v>102</v>
      </c>
      <c r="G998">
        <v>3959</v>
      </c>
      <c r="H998" t="s">
        <v>96</v>
      </c>
      <c r="I998" t="s">
        <v>116</v>
      </c>
      <c r="J998">
        <v>4</v>
      </c>
      <c r="K998" t="s">
        <v>88</v>
      </c>
      <c r="L998" t="s">
        <v>89</v>
      </c>
      <c r="M998">
        <v>3</v>
      </c>
      <c r="N998" t="s">
        <v>104</v>
      </c>
      <c r="O998">
        <v>30</v>
      </c>
      <c r="P998" t="s">
        <v>89</v>
      </c>
      <c r="Q998" t="s">
        <v>91</v>
      </c>
      <c r="R998">
        <v>1</v>
      </c>
      <c r="S998" t="s">
        <v>113</v>
      </c>
      <c r="T998">
        <v>1</v>
      </c>
      <c r="U998" t="s">
        <v>93</v>
      </c>
      <c r="V998" t="s">
        <v>94</v>
      </c>
      <c r="W998">
        <v>1</v>
      </c>
      <c r="X998">
        <v>0</v>
      </c>
    </row>
    <row r="999" spans="2:24" x14ac:dyDescent="0.3">
      <c r="B999">
        <v>995</v>
      </c>
      <c r="C999" t="s">
        <v>12</v>
      </c>
      <c r="D999">
        <v>12</v>
      </c>
      <c r="E999" t="s">
        <v>95</v>
      </c>
      <c r="F999" t="s">
        <v>107</v>
      </c>
      <c r="G999">
        <v>2390</v>
      </c>
      <c r="H999" t="s">
        <v>86</v>
      </c>
      <c r="I999" t="s">
        <v>87</v>
      </c>
      <c r="J999">
        <v>4</v>
      </c>
      <c r="K999" t="s">
        <v>88</v>
      </c>
      <c r="L999" t="s">
        <v>89</v>
      </c>
      <c r="M999">
        <v>3</v>
      </c>
      <c r="N999" t="s">
        <v>111</v>
      </c>
      <c r="O999">
        <v>50</v>
      </c>
      <c r="P999" t="s">
        <v>89</v>
      </c>
      <c r="Q999" t="s">
        <v>91</v>
      </c>
      <c r="R999">
        <v>1</v>
      </c>
      <c r="S999" t="s">
        <v>92</v>
      </c>
      <c r="T999">
        <v>1</v>
      </c>
      <c r="U999" t="s">
        <v>93</v>
      </c>
      <c r="V999" t="s">
        <v>94</v>
      </c>
      <c r="W999">
        <v>1</v>
      </c>
      <c r="X999">
        <v>0</v>
      </c>
    </row>
    <row r="1000" spans="2:24" x14ac:dyDescent="0.3">
      <c r="B1000">
        <v>996</v>
      </c>
      <c r="C1000" t="s">
        <v>12</v>
      </c>
      <c r="D1000">
        <v>12</v>
      </c>
      <c r="E1000" t="s">
        <v>95</v>
      </c>
      <c r="F1000" t="s">
        <v>102</v>
      </c>
      <c r="G1000">
        <v>1736</v>
      </c>
      <c r="H1000" t="s">
        <v>96</v>
      </c>
      <c r="I1000" t="s">
        <v>100</v>
      </c>
      <c r="J1000">
        <v>3</v>
      </c>
      <c r="K1000" t="s">
        <v>98</v>
      </c>
      <c r="L1000" t="s">
        <v>89</v>
      </c>
      <c r="M1000">
        <v>4</v>
      </c>
      <c r="N1000" t="s">
        <v>90</v>
      </c>
      <c r="O1000">
        <v>31</v>
      </c>
      <c r="P1000" t="s">
        <v>89</v>
      </c>
      <c r="Q1000" t="s">
        <v>91</v>
      </c>
      <c r="R1000">
        <v>1</v>
      </c>
      <c r="S1000" t="s">
        <v>101</v>
      </c>
      <c r="T1000">
        <v>1</v>
      </c>
      <c r="U1000" t="s">
        <v>89</v>
      </c>
      <c r="V1000" t="s">
        <v>94</v>
      </c>
      <c r="W1000">
        <v>1</v>
      </c>
      <c r="X1000">
        <v>0</v>
      </c>
    </row>
    <row r="1001" spans="2:24" x14ac:dyDescent="0.3">
      <c r="B1001">
        <v>997</v>
      </c>
      <c r="C1001" t="s">
        <v>8</v>
      </c>
      <c r="D1001">
        <v>30</v>
      </c>
      <c r="E1001" t="s">
        <v>95</v>
      </c>
      <c r="F1001" t="s">
        <v>110</v>
      </c>
      <c r="G1001">
        <v>3857</v>
      </c>
      <c r="H1001" t="s">
        <v>96</v>
      </c>
      <c r="I1001" t="s">
        <v>97</v>
      </c>
      <c r="J1001">
        <v>4</v>
      </c>
      <c r="K1001" t="s">
        <v>115</v>
      </c>
      <c r="L1001" t="s">
        <v>89</v>
      </c>
      <c r="M1001">
        <v>4</v>
      </c>
      <c r="N1001" t="s">
        <v>104</v>
      </c>
      <c r="O1001">
        <v>40</v>
      </c>
      <c r="P1001" t="s">
        <v>89</v>
      </c>
      <c r="Q1001" t="s">
        <v>91</v>
      </c>
      <c r="R1001">
        <v>1</v>
      </c>
      <c r="S1001" t="s">
        <v>113</v>
      </c>
      <c r="T1001">
        <v>1</v>
      </c>
      <c r="U1001" t="s">
        <v>93</v>
      </c>
      <c r="V1001" t="s">
        <v>94</v>
      </c>
      <c r="W1001">
        <v>1</v>
      </c>
      <c r="X1001">
        <v>0</v>
      </c>
    </row>
    <row r="1002" spans="2:24" x14ac:dyDescent="0.3">
      <c r="B1002">
        <v>998</v>
      </c>
      <c r="C1002" t="s">
        <v>12</v>
      </c>
      <c r="D1002">
        <v>12</v>
      </c>
      <c r="E1002" t="s">
        <v>95</v>
      </c>
      <c r="F1002" t="s">
        <v>85</v>
      </c>
      <c r="G1002">
        <v>804</v>
      </c>
      <c r="H1002" t="s">
        <v>96</v>
      </c>
      <c r="I1002" t="s">
        <v>87</v>
      </c>
      <c r="J1002">
        <v>4</v>
      </c>
      <c r="K1002" t="s">
        <v>88</v>
      </c>
      <c r="L1002" t="s">
        <v>89</v>
      </c>
      <c r="M1002">
        <v>4</v>
      </c>
      <c r="N1002" t="s">
        <v>111</v>
      </c>
      <c r="O1002">
        <v>38</v>
      </c>
      <c r="P1002" t="s">
        <v>89</v>
      </c>
      <c r="Q1002" t="s">
        <v>91</v>
      </c>
      <c r="R1002">
        <v>1</v>
      </c>
      <c r="S1002" t="s">
        <v>92</v>
      </c>
      <c r="T1002">
        <v>1</v>
      </c>
      <c r="U1002" t="s">
        <v>89</v>
      </c>
      <c r="V1002" t="s">
        <v>94</v>
      </c>
      <c r="W1002">
        <v>1</v>
      </c>
      <c r="X1002">
        <v>0</v>
      </c>
    </row>
    <row r="1003" spans="2:24" x14ac:dyDescent="0.3">
      <c r="B1003">
        <v>999</v>
      </c>
      <c r="C1003" t="s">
        <v>8</v>
      </c>
      <c r="D1003">
        <v>45</v>
      </c>
      <c r="E1003" t="s">
        <v>95</v>
      </c>
      <c r="F1003" t="s">
        <v>85</v>
      </c>
      <c r="G1003">
        <v>1845</v>
      </c>
      <c r="H1003" t="s">
        <v>96</v>
      </c>
      <c r="I1003" t="s">
        <v>97</v>
      </c>
      <c r="J1003">
        <v>4</v>
      </c>
      <c r="K1003" t="s">
        <v>88</v>
      </c>
      <c r="L1003" t="s">
        <v>89</v>
      </c>
      <c r="M1003">
        <v>4</v>
      </c>
      <c r="N1003" t="s">
        <v>108</v>
      </c>
      <c r="O1003">
        <v>23</v>
      </c>
      <c r="P1003" t="s">
        <v>89</v>
      </c>
      <c r="Q1003" t="s">
        <v>105</v>
      </c>
      <c r="R1003">
        <v>1</v>
      </c>
      <c r="S1003" t="s">
        <v>92</v>
      </c>
      <c r="T1003">
        <v>1</v>
      </c>
      <c r="U1003" t="s">
        <v>93</v>
      </c>
      <c r="V1003" t="s">
        <v>94</v>
      </c>
      <c r="W1003">
        <v>2</v>
      </c>
      <c r="X1003">
        <v>1</v>
      </c>
    </row>
    <row r="1004" spans="2:24" x14ac:dyDescent="0.3">
      <c r="B1004">
        <v>1000</v>
      </c>
      <c r="C1004" t="s">
        <v>10</v>
      </c>
      <c r="D1004">
        <v>45</v>
      </c>
      <c r="E1004" t="s">
        <v>84</v>
      </c>
      <c r="F1004" t="s">
        <v>110</v>
      </c>
      <c r="G1004">
        <v>4576</v>
      </c>
      <c r="H1004" t="s">
        <v>120</v>
      </c>
      <c r="I1004" t="s">
        <v>116</v>
      </c>
      <c r="J1004">
        <v>3</v>
      </c>
      <c r="K1004" t="s">
        <v>88</v>
      </c>
      <c r="L1004" t="s">
        <v>89</v>
      </c>
      <c r="M1004">
        <v>4</v>
      </c>
      <c r="N1004" t="s">
        <v>111</v>
      </c>
      <c r="O1004">
        <v>27</v>
      </c>
      <c r="P1004" t="s">
        <v>89</v>
      </c>
      <c r="Q1004" t="s">
        <v>91</v>
      </c>
      <c r="R1004">
        <v>1</v>
      </c>
      <c r="S1004" t="s">
        <v>92</v>
      </c>
      <c r="T1004">
        <v>1</v>
      </c>
      <c r="U1004" t="s">
        <v>89</v>
      </c>
      <c r="V1004" t="s">
        <v>94</v>
      </c>
      <c r="W1004">
        <v>1</v>
      </c>
      <c r="X1004">
        <v>0</v>
      </c>
    </row>
  </sheetData>
  <autoFilter ref="B4:X10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50"/>
  <sheetViews>
    <sheetView showGridLines="0" tabSelected="1" topLeftCell="A30" workbookViewId="0">
      <selection activeCell="C50" sqref="C50"/>
    </sheetView>
  </sheetViews>
  <sheetFormatPr defaultRowHeight="14.4" x14ac:dyDescent="0.3"/>
  <cols>
    <col min="1" max="1" width="3" customWidth="1"/>
    <col min="2" max="2" width="52.88671875" customWidth="1"/>
    <col min="3" max="3" width="40" customWidth="1"/>
    <col min="4" max="4" width="25.21875" bestFit="1" customWidth="1"/>
    <col min="5" max="5" width="14" customWidth="1"/>
    <col min="6" max="6" width="60" customWidth="1"/>
    <col min="7" max="7" width="90" customWidth="1"/>
  </cols>
  <sheetData>
    <row r="2" spans="2:7" x14ac:dyDescent="0.3">
      <c r="B2" s="14" t="s">
        <v>220</v>
      </c>
    </row>
    <row r="3" spans="2:7" x14ac:dyDescent="0.3">
      <c r="B3" s="15" t="s">
        <v>15</v>
      </c>
    </row>
    <row r="4" spans="2:7" x14ac:dyDescent="0.3">
      <c r="B4" s="15" t="s">
        <v>16</v>
      </c>
    </row>
    <row r="6" spans="2:7" ht="18" customHeight="1" x14ac:dyDescent="0.35">
      <c r="B6" s="1" t="s">
        <v>0</v>
      </c>
    </row>
    <row r="7" spans="2:7" x14ac:dyDescent="0.3">
      <c r="B7" t="s">
        <v>1</v>
      </c>
    </row>
    <row r="8" spans="2:7" x14ac:dyDescent="0.3"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</row>
    <row r="9" spans="2:7" x14ac:dyDescent="0.3">
      <c r="B9" t="s">
        <v>8</v>
      </c>
      <c r="C9">
        <f>COUNTIFS(Data!$C$5:$C$1004,"="&amp;$B9,Data!$X$5:$X$1004,0)</f>
        <v>139</v>
      </c>
      <c r="D9">
        <f>COUNTIFS(Data!$C$5:$C$1004,"="&amp;$B9,Data!$X$5:$X$1004,1)</f>
        <v>135</v>
      </c>
      <c r="E9">
        <f>C9+D9</f>
        <v>274</v>
      </c>
      <c r="F9" s="4">
        <f>D9/E9</f>
        <v>0.49270072992700731</v>
      </c>
      <c r="G9" t="s">
        <v>9</v>
      </c>
    </row>
    <row r="10" spans="2:7" x14ac:dyDescent="0.3">
      <c r="B10" t="s">
        <v>10</v>
      </c>
      <c r="C10">
        <f>COUNTIFS(Data!$C$5:$C$1004,"="&amp;$B10,Data!$X$5:$X$1004,0)</f>
        <v>164</v>
      </c>
      <c r="D10">
        <f>COUNTIFS(Data!$C$5:$C$1004,"="&amp;$B10,Data!$X$5:$X$1004,1)</f>
        <v>105</v>
      </c>
      <c r="E10">
        <f>C10+D10</f>
        <v>269</v>
      </c>
      <c r="F10" s="4">
        <f>D10/E10</f>
        <v>0.3903345724907063</v>
      </c>
    </row>
    <row r="11" spans="2:7" x14ac:dyDescent="0.3">
      <c r="B11" t="s">
        <v>11</v>
      </c>
      <c r="C11">
        <f>COUNTIFS(Data!$C$5:$C$1004,"="&amp;$B11,Data!$X$5:$X$1004,0)</f>
        <v>49</v>
      </c>
      <c r="D11">
        <f>COUNTIFS(Data!$C$5:$C$1004,"="&amp;$B11,Data!$X$5:$X$1004,1)</f>
        <v>14</v>
      </c>
      <c r="E11">
        <f>C11+D11</f>
        <v>63</v>
      </c>
      <c r="F11" s="4">
        <f>D11/E11</f>
        <v>0.22222222222222221</v>
      </c>
    </row>
    <row r="12" spans="2:7" x14ac:dyDescent="0.3">
      <c r="B12" t="s">
        <v>12</v>
      </c>
      <c r="C12">
        <f>COUNTIFS(Data!$C$5:$C$1004,"="&amp;$B12,Data!$X$5:$X$1004,0)</f>
        <v>348</v>
      </c>
      <c r="D12">
        <f>COUNTIFS(Data!$C$5:$C$1004,"="&amp;$B12,Data!$X$5:$X$1004,1)</f>
        <v>46</v>
      </c>
      <c r="E12">
        <f>C12+D12</f>
        <v>394</v>
      </c>
      <c r="F12" s="4">
        <f>D12/E12</f>
        <v>0.116751269035533</v>
      </c>
      <c r="G12" t="s">
        <v>13</v>
      </c>
    </row>
    <row r="13" spans="2:7" x14ac:dyDescent="0.3">
      <c r="B13" s="2" t="s">
        <v>14</v>
      </c>
      <c r="C13" s="2">
        <f>SUM(C9:C12)</f>
        <v>700</v>
      </c>
      <c r="D13" s="2">
        <f>SUM(D9:D12)</f>
        <v>300</v>
      </c>
      <c r="E13" s="2">
        <f>SUM(E9:E12)</f>
        <v>1000</v>
      </c>
      <c r="F13" s="5">
        <f>D13/E13</f>
        <v>0.3</v>
      </c>
    </row>
    <row r="15" spans="2:7" ht="15.6" x14ac:dyDescent="0.3">
      <c r="B15" s="6" t="s">
        <v>17</v>
      </c>
    </row>
    <row r="16" spans="2:7" x14ac:dyDescent="0.3">
      <c r="B16" t="s">
        <v>18</v>
      </c>
    </row>
    <row r="17" spans="2:6" x14ac:dyDescent="0.3">
      <c r="B17" s="7" t="s">
        <v>2</v>
      </c>
      <c r="C17" s="7" t="s">
        <v>19</v>
      </c>
      <c r="D17" s="7" t="s">
        <v>20</v>
      </c>
      <c r="E17" s="7" t="s">
        <v>5</v>
      </c>
      <c r="F17" s="12"/>
    </row>
    <row r="18" spans="2:6" x14ac:dyDescent="0.3">
      <c r="B18" t="str">
        <f>B9</f>
        <v>&lt; 0 DM</v>
      </c>
      <c r="C18" s="8">
        <f>$E9*C$13/$E$13</f>
        <v>191.8</v>
      </c>
      <c r="D18" s="8">
        <f>$E9*D$13/$E$13</f>
        <v>82.2</v>
      </c>
      <c r="E18">
        <f>C18+D18</f>
        <v>274</v>
      </c>
      <c r="F18" s="13"/>
    </row>
    <row r="19" spans="2:6" x14ac:dyDescent="0.3">
      <c r="B19" t="str">
        <f>B10</f>
        <v>0 to &lt; 200 DM</v>
      </c>
      <c r="C19" s="8">
        <f>$E10*C$13/$E$13</f>
        <v>188.3</v>
      </c>
      <c r="D19" s="8">
        <f>$E10*D$13/$E$13</f>
        <v>80.7</v>
      </c>
      <c r="E19">
        <f>C19+D19</f>
        <v>269</v>
      </c>
      <c r="F19" s="13"/>
    </row>
    <row r="20" spans="2:6" x14ac:dyDescent="0.3">
      <c r="B20" t="str">
        <f>B11</f>
        <v>&gt;= 200 DM or salary assignment</v>
      </c>
      <c r="C20" s="8">
        <f>$E11*C$13/$E$13</f>
        <v>44.1</v>
      </c>
      <c r="D20" s="8">
        <f>$E11*D$13/$E$13</f>
        <v>18.899999999999999</v>
      </c>
      <c r="E20">
        <f>C20+D20</f>
        <v>63</v>
      </c>
      <c r="F20" s="13"/>
    </row>
    <row r="21" spans="2:6" x14ac:dyDescent="0.3">
      <c r="B21" t="str">
        <f>B12</f>
        <v>no checking account</v>
      </c>
      <c r="C21" s="8">
        <f>$E12*C$13/$E$13</f>
        <v>275.8</v>
      </c>
      <c r="D21" s="8">
        <f>$E12*D$13/$E$13</f>
        <v>118.2</v>
      </c>
      <c r="E21">
        <f>C21+D21</f>
        <v>394</v>
      </c>
      <c r="F21" s="13"/>
    </row>
    <row r="22" spans="2:6" x14ac:dyDescent="0.3">
      <c r="B22" s="9" t="s">
        <v>14</v>
      </c>
      <c r="C22" s="9">
        <f>SUM(C18:C21)</f>
        <v>700</v>
      </c>
      <c r="D22" s="9">
        <f>SUM(D18:D21)</f>
        <v>300</v>
      </c>
      <c r="E22" s="9">
        <f>SUM(E18:E21)</f>
        <v>1000</v>
      </c>
      <c r="F22" t="s">
        <v>21</v>
      </c>
    </row>
    <row r="25" spans="2:6" ht="15.6" x14ac:dyDescent="0.3">
      <c r="B25" s="16" t="s">
        <v>221</v>
      </c>
    </row>
    <row r="26" spans="2:6" x14ac:dyDescent="0.3">
      <c r="B26" s="7" t="s">
        <v>22</v>
      </c>
      <c r="C26" s="7" t="s">
        <v>23</v>
      </c>
      <c r="D26" s="7" t="s">
        <v>24</v>
      </c>
      <c r="E26" s="7" t="s">
        <v>25</v>
      </c>
      <c r="F26" s="7" t="s">
        <v>7</v>
      </c>
    </row>
    <row r="27" spans="2:6" x14ac:dyDescent="0.3">
      <c r="B27" t="s">
        <v>26</v>
      </c>
      <c r="C27" t="s">
        <v>27</v>
      </c>
      <c r="D27" s="8">
        <f>MIN(C18:D21)</f>
        <v>18.899999999999999</v>
      </c>
      <c r="E27" s="10" t="str">
        <f>IF(D27&gt;=5,"Met","Not met")</f>
        <v>Met</v>
      </c>
      <c r="F27" t="s">
        <v>28</v>
      </c>
    </row>
    <row r="28" spans="2:6" x14ac:dyDescent="0.3">
      <c r="B28" t="s">
        <v>29</v>
      </c>
      <c r="C28" t="s">
        <v>30</v>
      </c>
      <c r="D28" s="11">
        <f>COUNTIF(C18:D21,"&lt;5")/COUNT(C18:D21)</f>
        <v>0</v>
      </c>
      <c r="E28" s="10" t="str">
        <f>IF(D28&lt;=0.2,"Met","Not met")</f>
        <v>Met</v>
      </c>
      <c r="F28" t="s">
        <v>31</v>
      </c>
    </row>
    <row r="29" spans="2:6" x14ac:dyDescent="0.3">
      <c r="B29" t="s">
        <v>32</v>
      </c>
      <c r="C29" t="s">
        <v>33</v>
      </c>
      <c r="D29" t="b">
        <f>AND(C13=C22,D13=D22,E13=E22)</f>
        <v>1</v>
      </c>
      <c r="E29" s="10" t="str">
        <f>IF(D29,"Met","Not met")</f>
        <v>Met</v>
      </c>
      <c r="F29" t="s">
        <v>34</v>
      </c>
    </row>
    <row r="30" spans="2:6" x14ac:dyDescent="0.3">
      <c r="B30" t="s">
        <v>35</v>
      </c>
      <c r="C30" t="s">
        <v>36</v>
      </c>
      <c r="D30" t="s">
        <v>37</v>
      </c>
      <c r="E30" s="10" t="s">
        <v>38</v>
      </c>
      <c r="F30" t="s">
        <v>39</v>
      </c>
    </row>
    <row r="31" spans="2:6" x14ac:dyDescent="0.3">
      <c r="B31" t="s">
        <v>40</v>
      </c>
      <c r="C31" t="s">
        <v>41</v>
      </c>
      <c r="D31" t="s">
        <v>42</v>
      </c>
      <c r="E31" s="10" t="s">
        <v>43</v>
      </c>
      <c r="F31" t="s">
        <v>44</v>
      </c>
    </row>
    <row r="33" spans="2:4" ht="15.6" x14ac:dyDescent="0.3">
      <c r="B33" s="16" t="s">
        <v>222</v>
      </c>
    </row>
    <row r="34" spans="2:4" x14ac:dyDescent="0.3">
      <c r="B34" s="3" t="s">
        <v>2</v>
      </c>
      <c r="C34" s="3" t="s">
        <v>3</v>
      </c>
      <c r="D34" s="3" t="s">
        <v>4</v>
      </c>
    </row>
    <row r="35" spans="2:4" x14ac:dyDescent="0.3">
      <c r="B35" t="s">
        <v>8</v>
      </c>
      <c r="C35">
        <f>(C9-C18)^2/C18</f>
        <v>14.535140771637126</v>
      </c>
      <c r="D35">
        <f>(D9-D18)^2/D18</f>
        <v>33.91532846715328</v>
      </c>
    </row>
    <row r="36" spans="2:4" x14ac:dyDescent="0.3">
      <c r="B36" t="s">
        <v>10</v>
      </c>
      <c r="C36">
        <f>(C10-C19)^2/C19</f>
        <v>3.1359001593202365</v>
      </c>
      <c r="D36">
        <f>(D10-D19)^2/D19</f>
        <v>7.3171003717472107</v>
      </c>
    </row>
    <row r="37" spans="2:4" x14ac:dyDescent="0.3">
      <c r="B37" t="s">
        <v>11</v>
      </c>
      <c r="C37">
        <f>(C11-C20)^2/C20</f>
        <v>0.54444444444444418</v>
      </c>
      <c r="D37">
        <f>(D11-D20)^2/D20</f>
        <v>1.2703703703703697</v>
      </c>
    </row>
    <row r="38" spans="2:4" x14ac:dyDescent="0.3">
      <c r="B38" t="s">
        <v>12</v>
      </c>
      <c r="C38">
        <f>(C12-C21)^2/C21</f>
        <v>18.900797679477876</v>
      </c>
      <c r="D38">
        <f>(D12-D21)^2/D21</f>
        <v>44.101861252115057</v>
      </c>
    </row>
    <row r="41" spans="2:4" x14ac:dyDescent="0.3">
      <c r="B41" s="17" t="s">
        <v>211</v>
      </c>
      <c r="C41" s="18">
        <f>SUM(C35:D38)</f>
        <v>123.72094351626559</v>
      </c>
    </row>
    <row r="42" spans="2:4" x14ac:dyDescent="0.3">
      <c r="B42" s="17" t="s">
        <v>212</v>
      </c>
      <c r="C42" s="18">
        <f>(4-1)*(2-1)</f>
        <v>3</v>
      </c>
    </row>
    <row r="43" spans="2:4" x14ac:dyDescent="0.3">
      <c r="B43" s="17" t="s">
        <v>213</v>
      </c>
      <c r="C43" s="18">
        <f>_xlfn.CHISQ.DIST.RT(C41, C42)</f>
        <v>1.2189020722893794E-26</v>
      </c>
    </row>
    <row r="44" spans="2:4" x14ac:dyDescent="0.3">
      <c r="B44" s="17" t="s">
        <v>214</v>
      </c>
      <c r="C44" s="18">
        <f>_xlfn.CHISQ.TEST(C9:D12, C18:D21)</f>
        <v>1.2189020722893794E-26</v>
      </c>
    </row>
    <row r="45" spans="2:4" x14ac:dyDescent="0.3">
      <c r="B45" s="17" t="s">
        <v>215</v>
      </c>
      <c r="C45" s="18">
        <f>_xlfn.CHISQ.INV.RT(0.05,3)</f>
        <v>7.8147279032511792</v>
      </c>
    </row>
    <row r="46" spans="2:4" x14ac:dyDescent="0.3">
      <c r="B46" s="17" t="s">
        <v>218</v>
      </c>
      <c r="C46" s="18">
        <f>SQRT(C41/(1000*(1)))</f>
        <v>0.35173988047457111</v>
      </c>
    </row>
    <row r="49" spans="2:3" ht="28.8" x14ac:dyDescent="0.3">
      <c r="B49" s="17" t="s">
        <v>216</v>
      </c>
      <c r="C49" s="19" t="s">
        <v>217</v>
      </c>
    </row>
    <row r="50" spans="2:3" ht="86.4" x14ac:dyDescent="0.3">
      <c r="B50" s="17" t="s">
        <v>219</v>
      </c>
      <c r="C50" s="19" t="s">
        <v>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1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4" width="19" customWidth="1"/>
    <col min="5" max="5" width="18" customWidth="1"/>
    <col min="6" max="6" width="12" customWidth="1"/>
    <col min="7" max="7" width="17" customWidth="1"/>
    <col min="8" max="8" width="12" customWidth="1"/>
    <col min="9" max="9" width="20" customWidth="1"/>
    <col min="10" max="10" width="24" customWidth="1"/>
    <col min="11" max="11" width="23" customWidth="1"/>
    <col min="12" max="12" width="17" customWidth="1"/>
    <col min="13" max="13" width="19" customWidth="1"/>
    <col min="14" max="15" width="12" customWidth="1"/>
    <col min="16" max="16" width="27" customWidth="1"/>
    <col min="17" max="17" width="12" customWidth="1"/>
    <col min="18" max="18" width="20" customWidth="1"/>
    <col min="19" max="19" width="12" customWidth="1"/>
    <col min="20" max="20" width="17" customWidth="1"/>
    <col min="21" max="21" width="13" customWidth="1"/>
    <col min="22" max="22" width="18" customWidth="1"/>
    <col min="23" max="23" width="12" customWidth="1"/>
  </cols>
  <sheetData>
    <row r="2" spans="2:23" ht="18" customHeight="1" x14ac:dyDescent="0.35">
      <c r="B2" s="1" t="s">
        <v>132</v>
      </c>
    </row>
    <row r="3" spans="2:23" x14ac:dyDescent="0.3">
      <c r="B3" t="s">
        <v>133</v>
      </c>
    </row>
    <row r="4" spans="2:23" x14ac:dyDescent="0.3">
      <c r="B4" s="3" t="s">
        <v>62</v>
      </c>
      <c r="C4" s="3" t="s">
        <v>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73</v>
      </c>
      <c r="O4" s="3" t="s">
        <v>74</v>
      </c>
      <c r="P4" s="3" t="s">
        <v>75</v>
      </c>
      <c r="Q4" s="3" t="s">
        <v>76</v>
      </c>
      <c r="R4" s="3" t="s">
        <v>77</v>
      </c>
      <c r="S4" s="3" t="s">
        <v>78</v>
      </c>
      <c r="T4" s="3" t="s">
        <v>79</v>
      </c>
      <c r="U4" s="3" t="s">
        <v>80</v>
      </c>
      <c r="V4" s="3" t="s">
        <v>81</v>
      </c>
      <c r="W4" s="3" t="s">
        <v>82</v>
      </c>
    </row>
    <row r="5" spans="2:23" x14ac:dyDescent="0.3">
      <c r="B5">
        <v>1</v>
      </c>
      <c r="C5" t="s">
        <v>134</v>
      </c>
      <c r="D5">
        <v>6</v>
      </c>
      <c r="E5" t="s">
        <v>135</v>
      </c>
      <c r="F5" t="s">
        <v>136</v>
      </c>
      <c r="G5">
        <v>1169</v>
      </c>
      <c r="H5" t="s">
        <v>137</v>
      </c>
      <c r="I5" t="s">
        <v>138</v>
      </c>
      <c r="J5">
        <v>4</v>
      </c>
      <c r="K5" t="s">
        <v>139</v>
      </c>
      <c r="L5" t="s">
        <v>140</v>
      </c>
      <c r="M5">
        <v>4</v>
      </c>
      <c r="N5" t="s">
        <v>141</v>
      </c>
      <c r="O5">
        <v>67</v>
      </c>
      <c r="P5" t="s">
        <v>142</v>
      </c>
      <c r="Q5" t="s">
        <v>143</v>
      </c>
      <c r="R5">
        <v>2</v>
      </c>
      <c r="S5" t="s">
        <v>144</v>
      </c>
      <c r="T5">
        <v>1</v>
      </c>
      <c r="U5" t="s">
        <v>145</v>
      </c>
      <c r="V5" t="s">
        <v>146</v>
      </c>
      <c r="W5">
        <v>1</v>
      </c>
    </row>
    <row r="6" spans="2:23" x14ac:dyDescent="0.3">
      <c r="B6">
        <v>2</v>
      </c>
      <c r="C6" t="s">
        <v>147</v>
      </c>
      <c r="D6">
        <v>48</v>
      </c>
      <c r="E6" t="s">
        <v>148</v>
      </c>
      <c r="F6" t="s">
        <v>136</v>
      </c>
      <c r="G6">
        <v>5951</v>
      </c>
      <c r="H6" t="s">
        <v>149</v>
      </c>
      <c r="I6" t="s">
        <v>150</v>
      </c>
      <c r="J6">
        <v>2</v>
      </c>
      <c r="K6" t="s">
        <v>151</v>
      </c>
      <c r="L6" t="s">
        <v>140</v>
      </c>
      <c r="M6">
        <v>2</v>
      </c>
      <c r="N6" t="s">
        <v>141</v>
      </c>
      <c r="O6">
        <v>22</v>
      </c>
      <c r="P6" t="s">
        <v>142</v>
      </c>
      <c r="Q6" t="s">
        <v>143</v>
      </c>
      <c r="R6">
        <v>1</v>
      </c>
      <c r="S6" t="s">
        <v>144</v>
      </c>
      <c r="T6">
        <v>1</v>
      </c>
      <c r="U6" t="s">
        <v>152</v>
      </c>
      <c r="V6" t="s">
        <v>146</v>
      </c>
      <c r="W6">
        <v>2</v>
      </c>
    </row>
    <row r="7" spans="2:23" x14ac:dyDescent="0.3">
      <c r="B7">
        <v>3</v>
      </c>
      <c r="C7" t="s">
        <v>153</v>
      </c>
      <c r="D7">
        <v>12</v>
      </c>
      <c r="E7" t="s">
        <v>135</v>
      </c>
      <c r="F7" t="s">
        <v>154</v>
      </c>
      <c r="G7">
        <v>2096</v>
      </c>
      <c r="H7" t="s">
        <v>149</v>
      </c>
      <c r="I7" t="s">
        <v>155</v>
      </c>
      <c r="J7">
        <v>2</v>
      </c>
      <c r="K7" t="s">
        <v>139</v>
      </c>
      <c r="L7" t="s">
        <v>140</v>
      </c>
      <c r="M7">
        <v>3</v>
      </c>
      <c r="N7" t="s">
        <v>141</v>
      </c>
      <c r="O7">
        <v>49</v>
      </c>
      <c r="P7" t="s">
        <v>142</v>
      </c>
      <c r="Q7" t="s">
        <v>143</v>
      </c>
      <c r="R7">
        <v>1</v>
      </c>
      <c r="S7" t="s">
        <v>156</v>
      </c>
      <c r="T7">
        <v>2</v>
      </c>
      <c r="U7" t="s">
        <v>152</v>
      </c>
      <c r="V7" t="s">
        <v>146</v>
      </c>
      <c r="W7">
        <v>1</v>
      </c>
    </row>
    <row r="8" spans="2:23" x14ac:dyDescent="0.3">
      <c r="B8">
        <v>4</v>
      </c>
      <c r="C8" t="s">
        <v>134</v>
      </c>
      <c r="D8">
        <v>42</v>
      </c>
      <c r="E8" t="s">
        <v>148</v>
      </c>
      <c r="F8" t="s">
        <v>157</v>
      </c>
      <c r="G8">
        <v>7882</v>
      </c>
      <c r="H8" t="s">
        <v>149</v>
      </c>
      <c r="I8" t="s">
        <v>155</v>
      </c>
      <c r="J8">
        <v>2</v>
      </c>
      <c r="K8" t="s">
        <v>139</v>
      </c>
      <c r="L8" t="s">
        <v>158</v>
      </c>
      <c r="M8">
        <v>4</v>
      </c>
      <c r="N8" t="s">
        <v>159</v>
      </c>
      <c r="O8">
        <v>45</v>
      </c>
      <c r="P8" t="s">
        <v>142</v>
      </c>
      <c r="Q8" t="s">
        <v>160</v>
      </c>
      <c r="R8">
        <v>1</v>
      </c>
      <c r="S8" t="s">
        <v>144</v>
      </c>
      <c r="T8">
        <v>2</v>
      </c>
      <c r="U8" t="s">
        <v>152</v>
      </c>
      <c r="V8" t="s">
        <v>146</v>
      </c>
      <c r="W8">
        <v>1</v>
      </c>
    </row>
    <row r="9" spans="2:23" x14ac:dyDescent="0.3">
      <c r="B9">
        <v>5</v>
      </c>
      <c r="C9" t="s">
        <v>134</v>
      </c>
      <c r="D9">
        <v>24</v>
      </c>
      <c r="E9" t="s">
        <v>161</v>
      </c>
      <c r="F9" t="s">
        <v>162</v>
      </c>
      <c r="G9">
        <v>4870</v>
      </c>
      <c r="H9" t="s">
        <v>149</v>
      </c>
      <c r="I9" t="s">
        <v>150</v>
      </c>
      <c r="J9">
        <v>3</v>
      </c>
      <c r="K9" t="s">
        <v>139</v>
      </c>
      <c r="L9" t="s">
        <v>140</v>
      </c>
      <c r="M9">
        <v>4</v>
      </c>
      <c r="N9" t="s">
        <v>163</v>
      </c>
      <c r="O9">
        <v>53</v>
      </c>
      <c r="P9" t="s">
        <v>142</v>
      </c>
      <c r="Q9" t="s">
        <v>160</v>
      </c>
      <c r="R9">
        <v>2</v>
      </c>
      <c r="S9" t="s">
        <v>144</v>
      </c>
      <c r="T9">
        <v>2</v>
      </c>
      <c r="U9" t="s">
        <v>152</v>
      </c>
      <c r="V9" t="s">
        <v>146</v>
      </c>
      <c r="W9">
        <v>2</v>
      </c>
    </row>
    <row r="10" spans="2:23" x14ac:dyDescent="0.3">
      <c r="B10">
        <v>6</v>
      </c>
      <c r="C10" t="s">
        <v>153</v>
      </c>
      <c r="D10">
        <v>36</v>
      </c>
      <c r="E10" t="s">
        <v>148</v>
      </c>
      <c r="F10" t="s">
        <v>154</v>
      </c>
      <c r="G10">
        <v>9055</v>
      </c>
      <c r="H10" t="s">
        <v>137</v>
      </c>
      <c r="I10" t="s">
        <v>150</v>
      </c>
      <c r="J10">
        <v>2</v>
      </c>
      <c r="K10" t="s">
        <v>139</v>
      </c>
      <c r="L10" t="s">
        <v>140</v>
      </c>
      <c r="M10">
        <v>4</v>
      </c>
      <c r="N10" t="s">
        <v>163</v>
      </c>
      <c r="O10">
        <v>35</v>
      </c>
      <c r="P10" t="s">
        <v>142</v>
      </c>
      <c r="Q10" t="s">
        <v>160</v>
      </c>
      <c r="R10">
        <v>1</v>
      </c>
      <c r="S10" t="s">
        <v>156</v>
      </c>
      <c r="T10">
        <v>2</v>
      </c>
      <c r="U10" t="s">
        <v>145</v>
      </c>
      <c r="V10" t="s">
        <v>146</v>
      </c>
      <c r="W10">
        <v>1</v>
      </c>
    </row>
    <row r="11" spans="2:23" x14ac:dyDescent="0.3">
      <c r="B11">
        <v>7</v>
      </c>
      <c r="C11" t="s">
        <v>153</v>
      </c>
      <c r="D11">
        <v>24</v>
      </c>
      <c r="E11" t="s">
        <v>148</v>
      </c>
      <c r="F11" t="s">
        <v>157</v>
      </c>
      <c r="G11">
        <v>2835</v>
      </c>
      <c r="H11" t="s">
        <v>164</v>
      </c>
      <c r="I11" t="s">
        <v>138</v>
      </c>
      <c r="J11">
        <v>3</v>
      </c>
      <c r="K11" t="s">
        <v>139</v>
      </c>
      <c r="L11" t="s">
        <v>140</v>
      </c>
      <c r="M11">
        <v>4</v>
      </c>
      <c r="N11" t="s">
        <v>159</v>
      </c>
      <c r="O11">
        <v>53</v>
      </c>
      <c r="P11" t="s">
        <v>142</v>
      </c>
      <c r="Q11" t="s">
        <v>143</v>
      </c>
      <c r="R11">
        <v>1</v>
      </c>
      <c r="S11" t="s">
        <v>144</v>
      </c>
      <c r="T11">
        <v>1</v>
      </c>
      <c r="U11" t="s">
        <v>152</v>
      </c>
      <c r="V11" t="s">
        <v>146</v>
      </c>
      <c r="W11">
        <v>1</v>
      </c>
    </row>
    <row r="12" spans="2:23" x14ac:dyDescent="0.3">
      <c r="B12">
        <v>8</v>
      </c>
      <c r="C12" t="s">
        <v>147</v>
      </c>
      <c r="D12">
        <v>36</v>
      </c>
      <c r="E12" t="s">
        <v>148</v>
      </c>
      <c r="F12" t="s">
        <v>165</v>
      </c>
      <c r="G12">
        <v>6948</v>
      </c>
      <c r="H12" t="s">
        <v>149</v>
      </c>
      <c r="I12" t="s">
        <v>150</v>
      </c>
      <c r="J12">
        <v>2</v>
      </c>
      <c r="K12" t="s">
        <v>139</v>
      </c>
      <c r="L12" t="s">
        <v>140</v>
      </c>
      <c r="M12">
        <v>2</v>
      </c>
      <c r="N12" t="s">
        <v>166</v>
      </c>
      <c r="O12">
        <v>35</v>
      </c>
      <c r="P12" t="s">
        <v>142</v>
      </c>
      <c r="Q12" t="s">
        <v>167</v>
      </c>
      <c r="R12">
        <v>1</v>
      </c>
      <c r="S12" t="s">
        <v>168</v>
      </c>
      <c r="T12">
        <v>1</v>
      </c>
      <c r="U12" t="s">
        <v>145</v>
      </c>
      <c r="V12" t="s">
        <v>146</v>
      </c>
      <c r="W12">
        <v>1</v>
      </c>
    </row>
    <row r="13" spans="2:23" x14ac:dyDescent="0.3">
      <c r="B13">
        <v>9</v>
      </c>
      <c r="C13" t="s">
        <v>153</v>
      </c>
      <c r="D13">
        <v>12</v>
      </c>
      <c r="E13" t="s">
        <v>148</v>
      </c>
      <c r="F13" t="s">
        <v>136</v>
      </c>
      <c r="G13">
        <v>3059</v>
      </c>
      <c r="H13" t="s">
        <v>169</v>
      </c>
      <c r="I13" t="s">
        <v>155</v>
      </c>
      <c r="J13">
        <v>2</v>
      </c>
      <c r="K13" t="s">
        <v>170</v>
      </c>
      <c r="L13" t="s">
        <v>140</v>
      </c>
      <c r="M13">
        <v>4</v>
      </c>
      <c r="N13" t="s">
        <v>141</v>
      </c>
      <c r="O13">
        <v>61</v>
      </c>
      <c r="P13" t="s">
        <v>142</v>
      </c>
      <c r="Q13" t="s">
        <v>143</v>
      </c>
      <c r="R13">
        <v>1</v>
      </c>
      <c r="S13" t="s">
        <v>156</v>
      </c>
      <c r="T13">
        <v>1</v>
      </c>
      <c r="U13" t="s">
        <v>152</v>
      </c>
      <c r="V13" t="s">
        <v>146</v>
      </c>
      <c r="W13">
        <v>1</v>
      </c>
    </row>
    <row r="14" spans="2:23" x14ac:dyDescent="0.3">
      <c r="B14">
        <v>10</v>
      </c>
      <c r="C14" t="s">
        <v>147</v>
      </c>
      <c r="D14">
        <v>30</v>
      </c>
      <c r="E14" t="s">
        <v>135</v>
      </c>
      <c r="F14" t="s">
        <v>162</v>
      </c>
      <c r="G14">
        <v>5234</v>
      </c>
      <c r="H14" t="s">
        <v>149</v>
      </c>
      <c r="I14" t="s">
        <v>171</v>
      </c>
      <c r="J14">
        <v>4</v>
      </c>
      <c r="K14" t="s">
        <v>172</v>
      </c>
      <c r="L14" t="s">
        <v>140</v>
      </c>
      <c r="M14">
        <v>2</v>
      </c>
      <c r="N14" t="s">
        <v>166</v>
      </c>
      <c r="O14">
        <v>28</v>
      </c>
      <c r="P14" t="s">
        <v>142</v>
      </c>
      <c r="Q14" t="s">
        <v>143</v>
      </c>
      <c r="R14">
        <v>2</v>
      </c>
      <c r="S14" t="s">
        <v>168</v>
      </c>
      <c r="T14">
        <v>1</v>
      </c>
      <c r="U14" t="s">
        <v>152</v>
      </c>
      <c r="V14" t="s">
        <v>146</v>
      </c>
      <c r="W14">
        <v>2</v>
      </c>
    </row>
    <row r="15" spans="2:23" x14ac:dyDescent="0.3">
      <c r="B15">
        <v>11</v>
      </c>
      <c r="C15" t="s">
        <v>147</v>
      </c>
      <c r="D15">
        <v>12</v>
      </c>
      <c r="E15" t="s">
        <v>148</v>
      </c>
      <c r="F15" t="s">
        <v>162</v>
      </c>
      <c r="G15">
        <v>1295</v>
      </c>
      <c r="H15" t="s">
        <v>149</v>
      </c>
      <c r="I15" t="s">
        <v>173</v>
      </c>
      <c r="J15">
        <v>3</v>
      </c>
      <c r="K15" t="s">
        <v>151</v>
      </c>
      <c r="L15" t="s">
        <v>140</v>
      </c>
      <c r="M15">
        <v>1</v>
      </c>
      <c r="N15" t="s">
        <v>166</v>
      </c>
      <c r="O15">
        <v>25</v>
      </c>
      <c r="P15" t="s">
        <v>142</v>
      </c>
      <c r="Q15" t="s">
        <v>167</v>
      </c>
      <c r="R15">
        <v>1</v>
      </c>
      <c r="S15" t="s">
        <v>144</v>
      </c>
      <c r="T15">
        <v>1</v>
      </c>
      <c r="U15" t="s">
        <v>152</v>
      </c>
      <c r="V15" t="s">
        <v>146</v>
      </c>
      <c r="W15">
        <v>2</v>
      </c>
    </row>
    <row r="16" spans="2:23" x14ac:dyDescent="0.3">
      <c r="B16">
        <v>12</v>
      </c>
      <c r="C16" t="s">
        <v>134</v>
      </c>
      <c r="D16">
        <v>48</v>
      </c>
      <c r="E16" t="s">
        <v>148</v>
      </c>
      <c r="F16" t="s">
        <v>174</v>
      </c>
      <c r="G16">
        <v>4308</v>
      </c>
      <c r="H16" t="s">
        <v>149</v>
      </c>
      <c r="I16" t="s">
        <v>173</v>
      </c>
      <c r="J16">
        <v>3</v>
      </c>
      <c r="K16" t="s">
        <v>151</v>
      </c>
      <c r="L16" t="s">
        <v>140</v>
      </c>
      <c r="M16">
        <v>4</v>
      </c>
      <c r="N16" t="s">
        <v>159</v>
      </c>
      <c r="O16">
        <v>24</v>
      </c>
      <c r="P16" t="s">
        <v>142</v>
      </c>
      <c r="Q16" t="s">
        <v>167</v>
      </c>
      <c r="R16">
        <v>1</v>
      </c>
      <c r="S16" t="s">
        <v>144</v>
      </c>
      <c r="T16">
        <v>1</v>
      </c>
      <c r="U16" t="s">
        <v>152</v>
      </c>
      <c r="V16" t="s">
        <v>146</v>
      </c>
      <c r="W16">
        <v>2</v>
      </c>
    </row>
    <row r="17" spans="2:23" x14ac:dyDescent="0.3">
      <c r="B17">
        <v>13</v>
      </c>
      <c r="C17" t="s">
        <v>147</v>
      </c>
      <c r="D17">
        <v>12</v>
      </c>
      <c r="E17" t="s">
        <v>148</v>
      </c>
      <c r="F17" t="s">
        <v>136</v>
      </c>
      <c r="G17">
        <v>1567</v>
      </c>
      <c r="H17" t="s">
        <v>149</v>
      </c>
      <c r="I17" t="s">
        <v>150</v>
      </c>
      <c r="J17">
        <v>1</v>
      </c>
      <c r="K17" t="s">
        <v>151</v>
      </c>
      <c r="L17" t="s">
        <v>140</v>
      </c>
      <c r="M17">
        <v>1</v>
      </c>
      <c r="N17" t="s">
        <v>166</v>
      </c>
      <c r="O17">
        <v>22</v>
      </c>
      <c r="P17" t="s">
        <v>142</v>
      </c>
      <c r="Q17" t="s">
        <v>143</v>
      </c>
      <c r="R17">
        <v>1</v>
      </c>
      <c r="S17" t="s">
        <v>144</v>
      </c>
      <c r="T17">
        <v>1</v>
      </c>
      <c r="U17" t="s">
        <v>145</v>
      </c>
      <c r="V17" t="s">
        <v>146</v>
      </c>
      <c r="W17">
        <v>1</v>
      </c>
    </row>
    <row r="18" spans="2:23" x14ac:dyDescent="0.3">
      <c r="B18">
        <v>14</v>
      </c>
      <c r="C18" t="s">
        <v>134</v>
      </c>
      <c r="D18">
        <v>24</v>
      </c>
      <c r="E18" t="s">
        <v>135</v>
      </c>
      <c r="F18" t="s">
        <v>162</v>
      </c>
      <c r="G18">
        <v>1199</v>
      </c>
      <c r="H18" t="s">
        <v>149</v>
      </c>
      <c r="I18" t="s">
        <v>138</v>
      </c>
      <c r="J18">
        <v>4</v>
      </c>
      <c r="K18" t="s">
        <v>139</v>
      </c>
      <c r="L18" t="s">
        <v>140</v>
      </c>
      <c r="M18">
        <v>4</v>
      </c>
      <c r="N18" t="s">
        <v>166</v>
      </c>
      <c r="O18">
        <v>60</v>
      </c>
      <c r="P18" t="s">
        <v>142</v>
      </c>
      <c r="Q18" t="s">
        <v>143</v>
      </c>
      <c r="R18">
        <v>2</v>
      </c>
      <c r="S18" t="s">
        <v>156</v>
      </c>
      <c r="T18">
        <v>1</v>
      </c>
      <c r="U18" t="s">
        <v>152</v>
      </c>
      <c r="V18" t="s">
        <v>146</v>
      </c>
      <c r="W18">
        <v>2</v>
      </c>
    </row>
    <row r="19" spans="2:23" x14ac:dyDescent="0.3">
      <c r="B19">
        <v>15</v>
      </c>
      <c r="C19" t="s">
        <v>134</v>
      </c>
      <c r="D19">
        <v>15</v>
      </c>
      <c r="E19" t="s">
        <v>148</v>
      </c>
      <c r="F19" t="s">
        <v>162</v>
      </c>
      <c r="G19">
        <v>1403</v>
      </c>
      <c r="H19" t="s">
        <v>149</v>
      </c>
      <c r="I19" t="s">
        <v>150</v>
      </c>
      <c r="J19">
        <v>2</v>
      </c>
      <c r="K19" t="s">
        <v>151</v>
      </c>
      <c r="L19" t="s">
        <v>140</v>
      </c>
      <c r="M19">
        <v>4</v>
      </c>
      <c r="N19" t="s">
        <v>166</v>
      </c>
      <c r="O19">
        <v>28</v>
      </c>
      <c r="P19" t="s">
        <v>142</v>
      </c>
      <c r="Q19" t="s">
        <v>167</v>
      </c>
      <c r="R19">
        <v>1</v>
      </c>
      <c r="S19" t="s">
        <v>144</v>
      </c>
      <c r="T19">
        <v>1</v>
      </c>
      <c r="U19" t="s">
        <v>152</v>
      </c>
      <c r="V19" t="s">
        <v>146</v>
      </c>
      <c r="W19">
        <v>1</v>
      </c>
    </row>
    <row r="20" spans="2:23" x14ac:dyDescent="0.3">
      <c r="B20">
        <v>16</v>
      </c>
      <c r="C20" t="s">
        <v>134</v>
      </c>
      <c r="D20">
        <v>24</v>
      </c>
      <c r="E20" t="s">
        <v>148</v>
      </c>
      <c r="F20" t="s">
        <v>136</v>
      </c>
      <c r="G20">
        <v>1282</v>
      </c>
      <c r="H20" t="s">
        <v>175</v>
      </c>
      <c r="I20" t="s">
        <v>150</v>
      </c>
      <c r="J20">
        <v>4</v>
      </c>
      <c r="K20" t="s">
        <v>151</v>
      </c>
      <c r="L20" t="s">
        <v>140</v>
      </c>
      <c r="M20">
        <v>2</v>
      </c>
      <c r="N20" t="s">
        <v>166</v>
      </c>
      <c r="O20">
        <v>32</v>
      </c>
      <c r="P20" t="s">
        <v>142</v>
      </c>
      <c r="Q20" t="s">
        <v>143</v>
      </c>
      <c r="R20">
        <v>1</v>
      </c>
      <c r="S20" t="s">
        <v>156</v>
      </c>
      <c r="T20">
        <v>1</v>
      </c>
      <c r="U20" t="s">
        <v>152</v>
      </c>
      <c r="V20" t="s">
        <v>146</v>
      </c>
      <c r="W20">
        <v>2</v>
      </c>
    </row>
    <row r="21" spans="2:23" x14ac:dyDescent="0.3">
      <c r="B21">
        <v>17</v>
      </c>
      <c r="C21" t="s">
        <v>153</v>
      </c>
      <c r="D21">
        <v>24</v>
      </c>
      <c r="E21" t="s">
        <v>135</v>
      </c>
      <c r="F21" t="s">
        <v>136</v>
      </c>
      <c r="G21">
        <v>2424</v>
      </c>
      <c r="H21" t="s">
        <v>137</v>
      </c>
      <c r="I21" t="s">
        <v>138</v>
      </c>
      <c r="J21">
        <v>4</v>
      </c>
      <c r="K21" t="s">
        <v>139</v>
      </c>
      <c r="L21" t="s">
        <v>140</v>
      </c>
      <c r="M21">
        <v>4</v>
      </c>
      <c r="N21" t="s">
        <v>159</v>
      </c>
      <c r="O21">
        <v>53</v>
      </c>
      <c r="P21" t="s">
        <v>142</v>
      </c>
      <c r="Q21" t="s">
        <v>143</v>
      </c>
      <c r="R21">
        <v>2</v>
      </c>
      <c r="S21" t="s">
        <v>144</v>
      </c>
      <c r="T21">
        <v>1</v>
      </c>
      <c r="U21" t="s">
        <v>152</v>
      </c>
      <c r="V21" t="s">
        <v>146</v>
      </c>
      <c r="W21">
        <v>1</v>
      </c>
    </row>
    <row r="22" spans="2:23" x14ac:dyDescent="0.3">
      <c r="B22">
        <v>18</v>
      </c>
      <c r="C22" t="s">
        <v>134</v>
      </c>
      <c r="D22">
        <v>30</v>
      </c>
      <c r="E22" t="s">
        <v>176</v>
      </c>
      <c r="F22" t="s">
        <v>174</v>
      </c>
      <c r="G22">
        <v>8072</v>
      </c>
      <c r="H22" t="s">
        <v>137</v>
      </c>
      <c r="I22" t="s">
        <v>173</v>
      </c>
      <c r="J22">
        <v>2</v>
      </c>
      <c r="K22" t="s">
        <v>139</v>
      </c>
      <c r="L22" t="s">
        <v>140</v>
      </c>
      <c r="M22">
        <v>3</v>
      </c>
      <c r="N22" t="s">
        <v>166</v>
      </c>
      <c r="O22">
        <v>25</v>
      </c>
      <c r="P22" t="s">
        <v>177</v>
      </c>
      <c r="Q22" t="s">
        <v>143</v>
      </c>
      <c r="R22">
        <v>3</v>
      </c>
      <c r="S22" t="s">
        <v>144</v>
      </c>
      <c r="T22">
        <v>1</v>
      </c>
      <c r="U22" t="s">
        <v>152</v>
      </c>
      <c r="V22" t="s">
        <v>146</v>
      </c>
      <c r="W22">
        <v>1</v>
      </c>
    </row>
    <row r="23" spans="2:23" x14ac:dyDescent="0.3">
      <c r="B23">
        <v>19</v>
      </c>
      <c r="C23" t="s">
        <v>147</v>
      </c>
      <c r="D23">
        <v>24</v>
      </c>
      <c r="E23" t="s">
        <v>148</v>
      </c>
      <c r="F23" t="s">
        <v>165</v>
      </c>
      <c r="G23">
        <v>12579</v>
      </c>
      <c r="H23" t="s">
        <v>149</v>
      </c>
      <c r="I23" t="s">
        <v>138</v>
      </c>
      <c r="J23">
        <v>4</v>
      </c>
      <c r="K23" t="s">
        <v>151</v>
      </c>
      <c r="L23" t="s">
        <v>140</v>
      </c>
      <c r="M23">
        <v>2</v>
      </c>
      <c r="N23" t="s">
        <v>163</v>
      </c>
      <c r="O23">
        <v>44</v>
      </c>
      <c r="P23" t="s">
        <v>142</v>
      </c>
      <c r="Q23" t="s">
        <v>160</v>
      </c>
      <c r="R23">
        <v>1</v>
      </c>
      <c r="S23" t="s">
        <v>168</v>
      </c>
      <c r="T23">
        <v>1</v>
      </c>
      <c r="U23" t="s">
        <v>145</v>
      </c>
      <c r="V23" t="s">
        <v>146</v>
      </c>
      <c r="W23">
        <v>2</v>
      </c>
    </row>
    <row r="24" spans="2:23" x14ac:dyDescent="0.3">
      <c r="B24">
        <v>20</v>
      </c>
      <c r="C24" t="s">
        <v>153</v>
      </c>
      <c r="D24">
        <v>24</v>
      </c>
      <c r="E24" t="s">
        <v>148</v>
      </c>
      <c r="F24" t="s">
        <v>136</v>
      </c>
      <c r="G24">
        <v>3430</v>
      </c>
      <c r="H24" t="s">
        <v>164</v>
      </c>
      <c r="I24" t="s">
        <v>138</v>
      </c>
      <c r="J24">
        <v>3</v>
      </c>
      <c r="K24" t="s">
        <v>139</v>
      </c>
      <c r="L24" t="s">
        <v>140</v>
      </c>
      <c r="M24">
        <v>2</v>
      </c>
      <c r="N24" t="s">
        <v>166</v>
      </c>
      <c r="O24">
        <v>31</v>
      </c>
      <c r="P24" t="s">
        <v>142</v>
      </c>
      <c r="Q24" t="s">
        <v>143</v>
      </c>
      <c r="R24">
        <v>1</v>
      </c>
      <c r="S24" t="s">
        <v>144</v>
      </c>
      <c r="T24">
        <v>2</v>
      </c>
      <c r="U24" t="s">
        <v>145</v>
      </c>
      <c r="V24" t="s">
        <v>146</v>
      </c>
      <c r="W24">
        <v>1</v>
      </c>
    </row>
    <row r="25" spans="2:23" x14ac:dyDescent="0.3">
      <c r="B25">
        <v>21</v>
      </c>
      <c r="C25" t="s">
        <v>153</v>
      </c>
      <c r="D25">
        <v>9</v>
      </c>
      <c r="E25" t="s">
        <v>135</v>
      </c>
      <c r="F25" t="s">
        <v>162</v>
      </c>
      <c r="G25">
        <v>2134</v>
      </c>
      <c r="H25" t="s">
        <v>149</v>
      </c>
      <c r="I25" t="s">
        <v>150</v>
      </c>
      <c r="J25">
        <v>4</v>
      </c>
      <c r="K25" t="s">
        <v>139</v>
      </c>
      <c r="L25" t="s">
        <v>140</v>
      </c>
      <c r="M25">
        <v>4</v>
      </c>
      <c r="N25" t="s">
        <v>166</v>
      </c>
      <c r="O25">
        <v>48</v>
      </c>
      <c r="P25" t="s">
        <v>142</v>
      </c>
      <c r="Q25" t="s">
        <v>143</v>
      </c>
      <c r="R25">
        <v>3</v>
      </c>
      <c r="S25" t="s">
        <v>144</v>
      </c>
      <c r="T25">
        <v>1</v>
      </c>
      <c r="U25" t="s">
        <v>145</v>
      </c>
      <c r="V25" t="s">
        <v>146</v>
      </c>
      <c r="W25">
        <v>1</v>
      </c>
    </row>
    <row r="26" spans="2:23" x14ac:dyDescent="0.3">
      <c r="B26">
        <v>22</v>
      </c>
      <c r="C26" t="s">
        <v>134</v>
      </c>
      <c r="D26">
        <v>6</v>
      </c>
      <c r="E26" t="s">
        <v>148</v>
      </c>
      <c r="F26" t="s">
        <v>136</v>
      </c>
      <c r="G26">
        <v>2647</v>
      </c>
      <c r="H26" t="s">
        <v>164</v>
      </c>
      <c r="I26" t="s">
        <v>150</v>
      </c>
      <c r="J26">
        <v>2</v>
      </c>
      <c r="K26" t="s">
        <v>139</v>
      </c>
      <c r="L26" t="s">
        <v>140</v>
      </c>
      <c r="M26">
        <v>3</v>
      </c>
      <c r="N26" t="s">
        <v>141</v>
      </c>
      <c r="O26">
        <v>44</v>
      </c>
      <c r="P26" t="s">
        <v>142</v>
      </c>
      <c r="Q26" t="s">
        <v>167</v>
      </c>
      <c r="R26">
        <v>1</v>
      </c>
      <c r="S26" t="s">
        <v>144</v>
      </c>
      <c r="T26">
        <v>2</v>
      </c>
      <c r="U26" t="s">
        <v>152</v>
      </c>
      <c r="V26" t="s">
        <v>146</v>
      </c>
      <c r="W26">
        <v>1</v>
      </c>
    </row>
    <row r="27" spans="2:23" x14ac:dyDescent="0.3">
      <c r="B27">
        <v>23</v>
      </c>
      <c r="C27" t="s">
        <v>134</v>
      </c>
      <c r="D27">
        <v>10</v>
      </c>
      <c r="E27" t="s">
        <v>135</v>
      </c>
      <c r="F27" t="s">
        <v>162</v>
      </c>
      <c r="G27">
        <v>2241</v>
      </c>
      <c r="H27" t="s">
        <v>149</v>
      </c>
      <c r="I27" t="s">
        <v>173</v>
      </c>
      <c r="J27">
        <v>1</v>
      </c>
      <c r="K27" t="s">
        <v>139</v>
      </c>
      <c r="L27" t="s">
        <v>140</v>
      </c>
      <c r="M27">
        <v>3</v>
      </c>
      <c r="N27" t="s">
        <v>141</v>
      </c>
      <c r="O27">
        <v>48</v>
      </c>
      <c r="P27" t="s">
        <v>142</v>
      </c>
      <c r="Q27" t="s">
        <v>167</v>
      </c>
      <c r="R27">
        <v>2</v>
      </c>
      <c r="S27" t="s">
        <v>156</v>
      </c>
      <c r="T27">
        <v>2</v>
      </c>
      <c r="U27" t="s">
        <v>152</v>
      </c>
      <c r="V27" t="s">
        <v>178</v>
      </c>
      <c r="W27">
        <v>1</v>
      </c>
    </row>
    <row r="28" spans="2:23" x14ac:dyDescent="0.3">
      <c r="B28">
        <v>24</v>
      </c>
      <c r="C28" t="s">
        <v>147</v>
      </c>
      <c r="D28">
        <v>12</v>
      </c>
      <c r="E28" t="s">
        <v>135</v>
      </c>
      <c r="F28" t="s">
        <v>165</v>
      </c>
      <c r="G28">
        <v>1804</v>
      </c>
      <c r="H28" t="s">
        <v>175</v>
      </c>
      <c r="I28" t="s">
        <v>173</v>
      </c>
      <c r="J28">
        <v>3</v>
      </c>
      <c r="K28" t="s">
        <v>139</v>
      </c>
      <c r="L28" t="s">
        <v>140</v>
      </c>
      <c r="M28">
        <v>4</v>
      </c>
      <c r="N28" t="s">
        <v>159</v>
      </c>
      <c r="O28">
        <v>44</v>
      </c>
      <c r="P28" t="s">
        <v>142</v>
      </c>
      <c r="Q28" t="s">
        <v>143</v>
      </c>
      <c r="R28">
        <v>1</v>
      </c>
      <c r="S28" t="s">
        <v>144</v>
      </c>
      <c r="T28">
        <v>1</v>
      </c>
      <c r="U28" t="s">
        <v>152</v>
      </c>
      <c r="V28" t="s">
        <v>146</v>
      </c>
      <c r="W28">
        <v>1</v>
      </c>
    </row>
    <row r="29" spans="2:23" x14ac:dyDescent="0.3">
      <c r="B29">
        <v>25</v>
      </c>
      <c r="C29" t="s">
        <v>153</v>
      </c>
      <c r="D29">
        <v>10</v>
      </c>
      <c r="E29" t="s">
        <v>135</v>
      </c>
      <c r="F29" t="s">
        <v>157</v>
      </c>
      <c r="G29">
        <v>2069</v>
      </c>
      <c r="H29" t="s">
        <v>137</v>
      </c>
      <c r="I29" t="s">
        <v>150</v>
      </c>
      <c r="J29">
        <v>2</v>
      </c>
      <c r="K29" t="s">
        <v>172</v>
      </c>
      <c r="L29" t="s">
        <v>140</v>
      </c>
      <c r="M29">
        <v>1</v>
      </c>
      <c r="N29" t="s">
        <v>166</v>
      </c>
      <c r="O29">
        <v>26</v>
      </c>
      <c r="P29" t="s">
        <v>142</v>
      </c>
      <c r="Q29" t="s">
        <v>143</v>
      </c>
      <c r="R29">
        <v>2</v>
      </c>
      <c r="S29" t="s">
        <v>144</v>
      </c>
      <c r="T29">
        <v>1</v>
      </c>
      <c r="U29" t="s">
        <v>152</v>
      </c>
      <c r="V29" t="s">
        <v>178</v>
      </c>
      <c r="W29">
        <v>1</v>
      </c>
    </row>
    <row r="30" spans="2:23" x14ac:dyDescent="0.3">
      <c r="B30">
        <v>26</v>
      </c>
      <c r="C30" t="s">
        <v>134</v>
      </c>
      <c r="D30">
        <v>6</v>
      </c>
      <c r="E30" t="s">
        <v>148</v>
      </c>
      <c r="F30" t="s">
        <v>157</v>
      </c>
      <c r="G30">
        <v>1374</v>
      </c>
      <c r="H30" t="s">
        <v>149</v>
      </c>
      <c r="I30" t="s">
        <v>150</v>
      </c>
      <c r="J30">
        <v>1</v>
      </c>
      <c r="K30" t="s">
        <v>139</v>
      </c>
      <c r="L30" t="s">
        <v>140</v>
      </c>
      <c r="M30">
        <v>2</v>
      </c>
      <c r="N30" t="s">
        <v>141</v>
      </c>
      <c r="O30">
        <v>36</v>
      </c>
      <c r="P30" t="s">
        <v>177</v>
      </c>
      <c r="Q30" t="s">
        <v>143</v>
      </c>
      <c r="R30">
        <v>1</v>
      </c>
      <c r="S30" t="s">
        <v>156</v>
      </c>
      <c r="T30">
        <v>1</v>
      </c>
      <c r="U30" t="s">
        <v>145</v>
      </c>
      <c r="V30" t="s">
        <v>146</v>
      </c>
      <c r="W30">
        <v>1</v>
      </c>
    </row>
    <row r="31" spans="2:23" x14ac:dyDescent="0.3">
      <c r="B31">
        <v>27</v>
      </c>
      <c r="C31" t="s">
        <v>153</v>
      </c>
      <c r="D31">
        <v>6</v>
      </c>
      <c r="E31" t="s">
        <v>176</v>
      </c>
      <c r="F31" t="s">
        <v>136</v>
      </c>
      <c r="G31">
        <v>426</v>
      </c>
      <c r="H31" t="s">
        <v>149</v>
      </c>
      <c r="I31" t="s">
        <v>138</v>
      </c>
      <c r="J31">
        <v>4</v>
      </c>
      <c r="K31" t="s">
        <v>172</v>
      </c>
      <c r="L31" t="s">
        <v>140</v>
      </c>
      <c r="M31">
        <v>4</v>
      </c>
      <c r="N31" t="s">
        <v>166</v>
      </c>
      <c r="O31">
        <v>39</v>
      </c>
      <c r="P31" t="s">
        <v>142</v>
      </c>
      <c r="Q31" t="s">
        <v>143</v>
      </c>
      <c r="R31">
        <v>1</v>
      </c>
      <c r="S31" t="s">
        <v>156</v>
      </c>
      <c r="T31">
        <v>1</v>
      </c>
      <c r="U31" t="s">
        <v>152</v>
      </c>
      <c r="V31" t="s">
        <v>146</v>
      </c>
      <c r="W31">
        <v>1</v>
      </c>
    </row>
    <row r="32" spans="2:23" x14ac:dyDescent="0.3">
      <c r="B32">
        <v>28</v>
      </c>
      <c r="C32" t="s">
        <v>179</v>
      </c>
      <c r="D32">
        <v>12</v>
      </c>
      <c r="E32" t="s">
        <v>180</v>
      </c>
      <c r="F32" t="s">
        <v>136</v>
      </c>
      <c r="G32">
        <v>409</v>
      </c>
      <c r="H32" t="s">
        <v>169</v>
      </c>
      <c r="I32" t="s">
        <v>150</v>
      </c>
      <c r="J32">
        <v>3</v>
      </c>
      <c r="K32" t="s">
        <v>151</v>
      </c>
      <c r="L32" t="s">
        <v>140</v>
      </c>
      <c r="M32">
        <v>3</v>
      </c>
      <c r="N32" t="s">
        <v>141</v>
      </c>
      <c r="O32">
        <v>42</v>
      </c>
      <c r="P32" t="s">
        <v>142</v>
      </c>
      <c r="Q32" t="s">
        <v>167</v>
      </c>
      <c r="R32">
        <v>2</v>
      </c>
      <c r="S32" t="s">
        <v>144</v>
      </c>
      <c r="T32">
        <v>1</v>
      </c>
      <c r="U32" t="s">
        <v>152</v>
      </c>
      <c r="V32" t="s">
        <v>146</v>
      </c>
      <c r="W32">
        <v>1</v>
      </c>
    </row>
    <row r="33" spans="2:23" x14ac:dyDescent="0.3">
      <c r="B33">
        <v>29</v>
      </c>
      <c r="C33" t="s">
        <v>147</v>
      </c>
      <c r="D33">
        <v>7</v>
      </c>
      <c r="E33" t="s">
        <v>148</v>
      </c>
      <c r="F33" t="s">
        <v>136</v>
      </c>
      <c r="G33">
        <v>2415</v>
      </c>
      <c r="H33" t="s">
        <v>149</v>
      </c>
      <c r="I33" t="s">
        <v>150</v>
      </c>
      <c r="J33">
        <v>3</v>
      </c>
      <c r="K33" t="s">
        <v>139</v>
      </c>
      <c r="L33" t="s">
        <v>158</v>
      </c>
      <c r="M33">
        <v>2</v>
      </c>
      <c r="N33" t="s">
        <v>141</v>
      </c>
      <c r="O33">
        <v>34</v>
      </c>
      <c r="P33" t="s">
        <v>142</v>
      </c>
      <c r="Q33" t="s">
        <v>143</v>
      </c>
      <c r="R33">
        <v>1</v>
      </c>
      <c r="S33" t="s">
        <v>144</v>
      </c>
      <c r="T33">
        <v>1</v>
      </c>
      <c r="U33" t="s">
        <v>152</v>
      </c>
      <c r="V33" t="s">
        <v>146</v>
      </c>
      <c r="W33">
        <v>1</v>
      </c>
    </row>
    <row r="34" spans="2:23" x14ac:dyDescent="0.3">
      <c r="B34">
        <v>30</v>
      </c>
      <c r="C34" t="s">
        <v>134</v>
      </c>
      <c r="D34">
        <v>60</v>
      </c>
      <c r="E34" t="s">
        <v>161</v>
      </c>
      <c r="F34" t="s">
        <v>174</v>
      </c>
      <c r="G34">
        <v>6836</v>
      </c>
      <c r="H34" t="s">
        <v>149</v>
      </c>
      <c r="I34" t="s">
        <v>138</v>
      </c>
      <c r="J34">
        <v>3</v>
      </c>
      <c r="K34" t="s">
        <v>139</v>
      </c>
      <c r="L34" t="s">
        <v>140</v>
      </c>
      <c r="M34">
        <v>4</v>
      </c>
      <c r="N34" t="s">
        <v>163</v>
      </c>
      <c r="O34">
        <v>63</v>
      </c>
      <c r="P34" t="s">
        <v>142</v>
      </c>
      <c r="Q34" t="s">
        <v>143</v>
      </c>
      <c r="R34">
        <v>2</v>
      </c>
      <c r="S34" t="s">
        <v>144</v>
      </c>
      <c r="T34">
        <v>1</v>
      </c>
      <c r="U34" t="s">
        <v>145</v>
      </c>
      <c r="V34" t="s">
        <v>146</v>
      </c>
      <c r="W34">
        <v>2</v>
      </c>
    </row>
    <row r="35" spans="2:23" x14ac:dyDescent="0.3">
      <c r="B35">
        <v>31</v>
      </c>
      <c r="C35" t="s">
        <v>147</v>
      </c>
      <c r="D35">
        <v>18</v>
      </c>
      <c r="E35" t="s">
        <v>148</v>
      </c>
      <c r="F35" t="s">
        <v>174</v>
      </c>
      <c r="G35">
        <v>1913</v>
      </c>
      <c r="H35" t="s">
        <v>169</v>
      </c>
      <c r="I35" t="s">
        <v>173</v>
      </c>
      <c r="J35">
        <v>3</v>
      </c>
      <c r="K35" t="s">
        <v>172</v>
      </c>
      <c r="L35" t="s">
        <v>140</v>
      </c>
      <c r="M35">
        <v>3</v>
      </c>
      <c r="N35" t="s">
        <v>141</v>
      </c>
      <c r="O35">
        <v>36</v>
      </c>
      <c r="P35" t="s">
        <v>177</v>
      </c>
      <c r="Q35" t="s">
        <v>143</v>
      </c>
      <c r="R35">
        <v>1</v>
      </c>
      <c r="S35" t="s">
        <v>144</v>
      </c>
      <c r="T35">
        <v>1</v>
      </c>
      <c r="U35" t="s">
        <v>145</v>
      </c>
      <c r="V35" t="s">
        <v>146</v>
      </c>
      <c r="W35">
        <v>1</v>
      </c>
    </row>
    <row r="36" spans="2:23" x14ac:dyDescent="0.3">
      <c r="B36">
        <v>32</v>
      </c>
      <c r="C36" t="s">
        <v>134</v>
      </c>
      <c r="D36">
        <v>24</v>
      </c>
      <c r="E36" t="s">
        <v>148</v>
      </c>
      <c r="F36" t="s">
        <v>157</v>
      </c>
      <c r="G36">
        <v>4020</v>
      </c>
      <c r="H36" t="s">
        <v>149</v>
      </c>
      <c r="I36" t="s">
        <v>150</v>
      </c>
      <c r="J36">
        <v>2</v>
      </c>
      <c r="K36" t="s">
        <v>139</v>
      </c>
      <c r="L36" t="s">
        <v>140</v>
      </c>
      <c r="M36">
        <v>2</v>
      </c>
      <c r="N36" t="s">
        <v>166</v>
      </c>
      <c r="O36">
        <v>27</v>
      </c>
      <c r="P36" t="s">
        <v>181</v>
      </c>
      <c r="Q36" t="s">
        <v>143</v>
      </c>
      <c r="R36">
        <v>1</v>
      </c>
      <c r="S36" t="s">
        <v>144</v>
      </c>
      <c r="T36">
        <v>1</v>
      </c>
      <c r="U36" t="s">
        <v>152</v>
      </c>
      <c r="V36" t="s">
        <v>146</v>
      </c>
      <c r="W36">
        <v>1</v>
      </c>
    </row>
    <row r="37" spans="2:23" x14ac:dyDescent="0.3">
      <c r="B37">
        <v>33</v>
      </c>
      <c r="C37" t="s">
        <v>147</v>
      </c>
      <c r="D37">
        <v>18</v>
      </c>
      <c r="E37" t="s">
        <v>148</v>
      </c>
      <c r="F37" t="s">
        <v>162</v>
      </c>
      <c r="G37">
        <v>5866</v>
      </c>
      <c r="H37" t="s">
        <v>175</v>
      </c>
      <c r="I37" t="s">
        <v>150</v>
      </c>
      <c r="J37">
        <v>2</v>
      </c>
      <c r="K37" t="s">
        <v>139</v>
      </c>
      <c r="L37" t="s">
        <v>140</v>
      </c>
      <c r="M37">
        <v>2</v>
      </c>
      <c r="N37" t="s">
        <v>166</v>
      </c>
      <c r="O37">
        <v>30</v>
      </c>
      <c r="P37" t="s">
        <v>142</v>
      </c>
      <c r="Q37" t="s">
        <v>143</v>
      </c>
      <c r="R37">
        <v>2</v>
      </c>
      <c r="S37" t="s">
        <v>144</v>
      </c>
      <c r="T37">
        <v>1</v>
      </c>
      <c r="U37" t="s">
        <v>145</v>
      </c>
      <c r="V37" t="s">
        <v>146</v>
      </c>
      <c r="W37">
        <v>1</v>
      </c>
    </row>
    <row r="38" spans="2:23" x14ac:dyDescent="0.3">
      <c r="B38">
        <v>34</v>
      </c>
      <c r="C38" t="s">
        <v>153</v>
      </c>
      <c r="D38">
        <v>12</v>
      </c>
      <c r="E38" t="s">
        <v>135</v>
      </c>
      <c r="F38" t="s">
        <v>174</v>
      </c>
      <c r="G38">
        <v>1264</v>
      </c>
      <c r="H38" t="s">
        <v>137</v>
      </c>
      <c r="I38" t="s">
        <v>138</v>
      </c>
      <c r="J38">
        <v>4</v>
      </c>
      <c r="K38" t="s">
        <v>139</v>
      </c>
      <c r="L38" t="s">
        <v>140</v>
      </c>
      <c r="M38">
        <v>4</v>
      </c>
      <c r="N38" t="s">
        <v>163</v>
      </c>
      <c r="O38">
        <v>57</v>
      </c>
      <c r="P38" t="s">
        <v>142</v>
      </c>
      <c r="Q38" t="s">
        <v>167</v>
      </c>
      <c r="R38">
        <v>1</v>
      </c>
      <c r="S38" t="s">
        <v>156</v>
      </c>
      <c r="T38">
        <v>1</v>
      </c>
      <c r="U38" t="s">
        <v>152</v>
      </c>
      <c r="V38" t="s">
        <v>146</v>
      </c>
      <c r="W38">
        <v>1</v>
      </c>
    </row>
    <row r="39" spans="2:23" x14ac:dyDescent="0.3">
      <c r="B39">
        <v>35</v>
      </c>
      <c r="C39" t="s">
        <v>179</v>
      </c>
      <c r="D39">
        <v>12</v>
      </c>
      <c r="E39" t="s">
        <v>148</v>
      </c>
      <c r="F39" t="s">
        <v>157</v>
      </c>
      <c r="G39">
        <v>1474</v>
      </c>
      <c r="H39" t="s">
        <v>149</v>
      </c>
      <c r="I39" t="s">
        <v>173</v>
      </c>
      <c r="J39">
        <v>4</v>
      </c>
      <c r="K39" t="s">
        <v>151</v>
      </c>
      <c r="L39" t="s">
        <v>140</v>
      </c>
      <c r="M39">
        <v>1</v>
      </c>
      <c r="N39" t="s">
        <v>159</v>
      </c>
      <c r="O39">
        <v>33</v>
      </c>
      <c r="P39" t="s">
        <v>177</v>
      </c>
      <c r="Q39" t="s">
        <v>143</v>
      </c>
      <c r="R39">
        <v>1</v>
      </c>
      <c r="S39" t="s">
        <v>168</v>
      </c>
      <c r="T39">
        <v>1</v>
      </c>
      <c r="U39" t="s">
        <v>145</v>
      </c>
      <c r="V39" t="s">
        <v>146</v>
      </c>
      <c r="W39">
        <v>1</v>
      </c>
    </row>
    <row r="40" spans="2:23" x14ac:dyDescent="0.3">
      <c r="B40">
        <v>36</v>
      </c>
      <c r="C40" t="s">
        <v>147</v>
      </c>
      <c r="D40">
        <v>45</v>
      </c>
      <c r="E40" t="s">
        <v>135</v>
      </c>
      <c r="F40" t="s">
        <v>136</v>
      </c>
      <c r="G40">
        <v>4746</v>
      </c>
      <c r="H40" t="s">
        <v>149</v>
      </c>
      <c r="I40" t="s">
        <v>173</v>
      </c>
      <c r="J40">
        <v>4</v>
      </c>
      <c r="K40" t="s">
        <v>139</v>
      </c>
      <c r="L40" t="s">
        <v>140</v>
      </c>
      <c r="M40">
        <v>2</v>
      </c>
      <c r="N40" t="s">
        <v>159</v>
      </c>
      <c r="O40">
        <v>25</v>
      </c>
      <c r="P40" t="s">
        <v>142</v>
      </c>
      <c r="Q40" t="s">
        <v>143</v>
      </c>
      <c r="R40">
        <v>2</v>
      </c>
      <c r="S40" t="s">
        <v>156</v>
      </c>
      <c r="T40">
        <v>1</v>
      </c>
      <c r="U40" t="s">
        <v>152</v>
      </c>
      <c r="V40" t="s">
        <v>146</v>
      </c>
      <c r="W40">
        <v>2</v>
      </c>
    </row>
    <row r="41" spans="2:23" x14ac:dyDescent="0.3">
      <c r="B41">
        <v>37</v>
      </c>
      <c r="C41" t="s">
        <v>153</v>
      </c>
      <c r="D41">
        <v>48</v>
      </c>
      <c r="E41" t="s">
        <v>135</v>
      </c>
      <c r="F41" t="s">
        <v>154</v>
      </c>
      <c r="G41">
        <v>6110</v>
      </c>
      <c r="H41" t="s">
        <v>149</v>
      </c>
      <c r="I41" t="s">
        <v>150</v>
      </c>
      <c r="J41">
        <v>1</v>
      </c>
      <c r="K41" t="s">
        <v>139</v>
      </c>
      <c r="L41" t="s">
        <v>140</v>
      </c>
      <c r="M41">
        <v>3</v>
      </c>
      <c r="N41" t="s">
        <v>163</v>
      </c>
      <c r="O41">
        <v>31</v>
      </c>
      <c r="P41" t="s">
        <v>177</v>
      </c>
      <c r="Q41" t="s">
        <v>160</v>
      </c>
      <c r="R41">
        <v>1</v>
      </c>
      <c r="S41" t="s">
        <v>144</v>
      </c>
      <c r="T41">
        <v>1</v>
      </c>
      <c r="U41" t="s">
        <v>145</v>
      </c>
      <c r="V41" t="s">
        <v>146</v>
      </c>
      <c r="W41">
        <v>1</v>
      </c>
    </row>
    <row r="42" spans="2:23" x14ac:dyDescent="0.3">
      <c r="B42">
        <v>38</v>
      </c>
      <c r="C42" t="s">
        <v>179</v>
      </c>
      <c r="D42">
        <v>18</v>
      </c>
      <c r="E42" t="s">
        <v>148</v>
      </c>
      <c r="F42" t="s">
        <v>136</v>
      </c>
      <c r="G42">
        <v>2100</v>
      </c>
      <c r="H42" t="s">
        <v>149</v>
      </c>
      <c r="I42" t="s">
        <v>150</v>
      </c>
      <c r="J42">
        <v>4</v>
      </c>
      <c r="K42" t="s">
        <v>139</v>
      </c>
      <c r="L42" t="s">
        <v>182</v>
      </c>
      <c r="M42">
        <v>2</v>
      </c>
      <c r="N42" t="s">
        <v>141</v>
      </c>
      <c r="O42">
        <v>37</v>
      </c>
      <c r="P42" t="s">
        <v>181</v>
      </c>
      <c r="Q42" t="s">
        <v>143</v>
      </c>
      <c r="R42">
        <v>1</v>
      </c>
      <c r="S42" t="s">
        <v>144</v>
      </c>
      <c r="T42">
        <v>1</v>
      </c>
      <c r="U42" t="s">
        <v>152</v>
      </c>
      <c r="V42" t="s">
        <v>146</v>
      </c>
      <c r="W42">
        <v>2</v>
      </c>
    </row>
    <row r="43" spans="2:23" x14ac:dyDescent="0.3">
      <c r="B43">
        <v>39</v>
      </c>
      <c r="C43" t="s">
        <v>179</v>
      </c>
      <c r="D43">
        <v>10</v>
      </c>
      <c r="E43" t="s">
        <v>148</v>
      </c>
      <c r="F43" t="s">
        <v>183</v>
      </c>
      <c r="G43">
        <v>1225</v>
      </c>
      <c r="H43" t="s">
        <v>149</v>
      </c>
      <c r="I43" t="s">
        <v>150</v>
      </c>
      <c r="J43">
        <v>2</v>
      </c>
      <c r="K43" t="s">
        <v>139</v>
      </c>
      <c r="L43" t="s">
        <v>140</v>
      </c>
      <c r="M43">
        <v>2</v>
      </c>
      <c r="N43" t="s">
        <v>166</v>
      </c>
      <c r="O43">
        <v>37</v>
      </c>
      <c r="P43" t="s">
        <v>142</v>
      </c>
      <c r="Q43" t="s">
        <v>143</v>
      </c>
      <c r="R43">
        <v>1</v>
      </c>
      <c r="S43" t="s">
        <v>144</v>
      </c>
      <c r="T43">
        <v>1</v>
      </c>
      <c r="U43" t="s">
        <v>145</v>
      </c>
      <c r="V43" t="s">
        <v>146</v>
      </c>
      <c r="W43">
        <v>1</v>
      </c>
    </row>
    <row r="44" spans="2:23" x14ac:dyDescent="0.3">
      <c r="B44">
        <v>40</v>
      </c>
      <c r="C44" t="s">
        <v>147</v>
      </c>
      <c r="D44">
        <v>9</v>
      </c>
      <c r="E44" t="s">
        <v>148</v>
      </c>
      <c r="F44" t="s">
        <v>136</v>
      </c>
      <c r="G44">
        <v>458</v>
      </c>
      <c r="H44" t="s">
        <v>149</v>
      </c>
      <c r="I44" t="s">
        <v>150</v>
      </c>
      <c r="J44">
        <v>4</v>
      </c>
      <c r="K44" t="s">
        <v>139</v>
      </c>
      <c r="L44" t="s">
        <v>140</v>
      </c>
      <c r="M44">
        <v>3</v>
      </c>
      <c r="N44" t="s">
        <v>141</v>
      </c>
      <c r="O44">
        <v>24</v>
      </c>
      <c r="P44" t="s">
        <v>142</v>
      </c>
      <c r="Q44" t="s">
        <v>143</v>
      </c>
      <c r="R44">
        <v>1</v>
      </c>
      <c r="S44" t="s">
        <v>144</v>
      </c>
      <c r="T44">
        <v>1</v>
      </c>
      <c r="U44" t="s">
        <v>152</v>
      </c>
      <c r="V44" t="s">
        <v>146</v>
      </c>
      <c r="W44">
        <v>1</v>
      </c>
    </row>
    <row r="45" spans="2:23" x14ac:dyDescent="0.3">
      <c r="B45">
        <v>41</v>
      </c>
      <c r="C45" t="s">
        <v>153</v>
      </c>
      <c r="D45">
        <v>30</v>
      </c>
      <c r="E45" t="s">
        <v>148</v>
      </c>
      <c r="F45" t="s">
        <v>136</v>
      </c>
      <c r="G45">
        <v>2333</v>
      </c>
      <c r="H45" t="s">
        <v>164</v>
      </c>
      <c r="I45" t="s">
        <v>138</v>
      </c>
      <c r="J45">
        <v>4</v>
      </c>
      <c r="K45" t="s">
        <v>139</v>
      </c>
      <c r="L45" t="s">
        <v>140</v>
      </c>
      <c r="M45">
        <v>2</v>
      </c>
      <c r="N45" t="s">
        <v>166</v>
      </c>
      <c r="O45">
        <v>30</v>
      </c>
      <c r="P45" t="s">
        <v>177</v>
      </c>
      <c r="Q45" t="s">
        <v>143</v>
      </c>
      <c r="R45">
        <v>1</v>
      </c>
      <c r="S45" t="s">
        <v>168</v>
      </c>
      <c r="T45">
        <v>1</v>
      </c>
      <c r="U45" t="s">
        <v>152</v>
      </c>
      <c r="V45" t="s">
        <v>146</v>
      </c>
      <c r="W45">
        <v>1</v>
      </c>
    </row>
    <row r="46" spans="2:23" x14ac:dyDescent="0.3">
      <c r="B46">
        <v>42</v>
      </c>
      <c r="C46" t="s">
        <v>147</v>
      </c>
      <c r="D46">
        <v>12</v>
      </c>
      <c r="E46" t="s">
        <v>148</v>
      </c>
      <c r="F46" t="s">
        <v>136</v>
      </c>
      <c r="G46">
        <v>1158</v>
      </c>
      <c r="H46" t="s">
        <v>164</v>
      </c>
      <c r="I46" t="s">
        <v>150</v>
      </c>
      <c r="J46">
        <v>3</v>
      </c>
      <c r="K46" t="s">
        <v>170</v>
      </c>
      <c r="L46" t="s">
        <v>140</v>
      </c>
      <c r="M46">
        <v>1</v>
      </c>
      <c r="N46" t="s">
        <v>166</v>
      </c>
      <c r="O46">
        <v>26</v>
      </c>
      <c r="P46" t="s">
        <v>142</v>
      </c>
      <c r="Q46" t="s">
        <v>143</v>
      </c>
      <c r="R46">
        <v>1</v>
      </c>
      <c r="S46" t="s">
        <v>144</v>
      </c>
      <c r="T46">
        <v>1</v>
      </c>
      <c r="U46" t="s">
        <v>145</v>
      </c>
      <c r="V46" t="s">
        <v>146</v>
      </c>
      <c r="W46">
        <v>1</v>
      </c>
    </row>
    <row r="47" spans="2:23" x14ac:dyDescent="0.3">
      <c r="B47">
        <v>43</v>
      </c>
      <c r="C47" t="s">
        <v>147</v>
      </c>
      <c r="D47">
        <v>18</v>
      </c>
      <c r="E47" t="s">
        <v>161</v>
      </c>
      <c r="F47" t="s">
        <v>184</v>
      </c>
      <c r="G47">
        <v>6204</v>
      </c>
      <c r="H47" t="s">
        <v>149</v>
      </c>
      <c r="I47" t="s">
        <v>150</v>
      </c>
      <c r="J47">
        <v>2</v>
      </c>
      <c r="K47" t="s">
        <v>139</v>
      </c>
      <c r="L47" t="s">
        <v>140</v>
      </c>
      <c r="M47">
        <v>4</v>
      </c>
      <c r="N47" t="s">
        <v>141</v>
      </c>
      <c r="O47">
        <v>44</v>
      </c>
      <c r="P47" t="s">
        <v>142</v>
      </c>
      <c r="Q47" t="s">
        <v>143</v>
      </c>
      <c r="R47">
        <v>1</v>
      </c>
      <c r="S47" t="s">
        <v>156</v>
      </c>
      <c r="T47">
        <v>2</v>
      </c>
      <c r="U47" t="s">
        <v>145</v>
      </c>
      <c r="V47" t="s">
        <v>146</v>
      </c>
      <c r="W47">
        <v>1</v>
      </c>
    </row>
    <row r="48" spans="2:23" x14ac:dyDescent="0.3">
      <c r="B48">
        <v>44</v>
      </c>
      <c r="C48" t="s">
        <v>134</v>
      </c>
      <c r="D48">
        <v>30</v>
      </c>
      <c r="E48" t="s">
        <v>135</v>
      </c>
      <c r="F48" t="s">
        <v>165</v>
      </c>
      <c r="G48">
        <v>6187</v>
      </c>
      <c r="H48" t="s">
        <v>175</v>
      </c>
      <c r="I48" t="s">
        <v>155</v>
      </c>
      <c r="J48">
        <v>1</v>
      </c>
      <c r="K48" t="s">
        <v>172</v>
      </c>
      <c r="L48" t="s">
        <v>140</v>
      </c>
      <c r="M48">
        <v>4</v>
      </c>
      <c r="N48" t="s">
        <v>166</v>
      </c>
      <c r="O48">
        <v>24</v>
      </c>
      <c r="P48" t="s">
        <v>142</v>
      </c>
      <c r="Q48" t="s">
        <v>167</v>
      </c>
      <c r="R48">
        <v>2</v>
      </c>
      <c r="S48" t="s">
        <v>144</v>
      </c>
      <c r="T48">
        <v>1</v>
      </c>
      <c r="U48" t="s">
        <v>152</v>
      </c>
      <c r="V48" t="s">
        <v>146</v>
      </c>
      <c r="W48">
        <v>1</v>
      </c>
    </row>
    <row r="49" spans="2:23" x14ac:dyDescent="0.3">
      <c r="B49">
        <v>45</v>
      </c>
      <c r="C49" t="s">
        <v>134</v>
      </c>
      <c r="D49">
        <v>48</v>
      </c>
      <c r="E49" t="s">
        <v>135</v>
      </c>
      <c r="F49" t="s">
        <v>165</v>
      </c>
      <c r="G49">
        <v>6143</v>
      </c>
      <c r="H49" t="s">
        <v>149</v>
      </c>
      <c r="I49" t="s">
        <v>138</v>
      </c>
      <c r="J49">
        <v>4</v>
      </c>
      <c r="K49" t="s">
        <v>151</v>
      </c>
      <c r="L49" t="s">
        <v>140</v>
      </c>
      <c r="M49">
        <v>4</v>
      </c>
      <c r="N49" t="s">
        <v>163</v>
      </c>
      <c r="O49">
        <v>58</v>
      </c>
      <c r="P49" t="s">
        <v>181</v>
      </c>
      <c r="Q49" t="s">
        <v>160</v>
      </c>
      <c r="R49">
        <v>2</v>
      </c>
      <c r="S49" t="s">
        <v>156</v>
      </c>
      <c r="T49">
        <v>1</v>
      </c>
      <c r="U49" t="s">
        <v>152</v>
      </c>
      <c r="V49" t="s">
        <v>146</v>
      </c>
      <c r="W49">
        <v>2</v>
      </c>
    </row>
    <row r="50" spans="2:23" x14ac:dyDescent="0.3">
      <c r="B50">
        <v>46</v>
      </c>
      <c r="C50" t="s">
        <v>153</v>
      </c>
      <c r="D50">
        <v>11</v>
      </c>
      <c r="E50" t="s">
        <v>135</v>
      </c>
      <c r="F50" t="s">
        <v>162</v>
      </c>
      <c r="G50">
        <v>1393</v>
      </c>
      <c r="H50" t="s">
        <v>149</v>
      </c>
      <c r="I50" t="s">
        <v>173</v>
      </c>
      <c r="J50">
        <v>4</v>
      </c>
      <c r="K50" t="s">
        <v>151</v>
      </c>
      <c r="L50" t="s">
        <v>140</v>
      </c>
      <c r="M50">
        <v>4</v>
      </c>
      <c r="N50" t="s">
        <v>166</v>
      </c>
      <c r="O50">
        <v>35</v>
      </c>
      <c r="P50" t="s">
        <v>142</v>
      </c>
      <c r="Q50" t="s">
        <v>143</v>
      </c>
      <c r="R50">
        <v>2</v>
      </c>
      <c r="S50" t="s">
        <v>168</v>
      </c>
      <c r="T50">
        <v>1</v>
      </c>
      <c r="U50" t="s">
        <v>152</v>
      </c>
      <c r="V50" t="s">
        <v>146</v>
      </c>
      <c r="W50">
        <v>1</v>
      </c>
    </row>
    <row r="51" spans="2:23" x14ac:dyDescent="0.3">
      <c r="B51">
        <v>47</v>
      </c>
      <c r="C51" t="s">
        <v>153</v>
      </c>
      <c r="D51">
        <v>36</v>
      </c>
      <c r="E51" t="s">
        <v>148</v>
      </c>
      <c r="F51" t="s">
        <v>136</v>
      </c>
      <c r="G51">
        <v>2299</v>
      </c>
      <c r="H51" t="s">
        <v>164</v>
      </c>
      <c r="I51" t="s">
        <v>138</v>
      </c>
      <c r="J51">
        <v>4</v>
      </c>
      <c r="K51" t="s">
        <v>139</v>
      </c>
      <c r="L51" t="s">
        <v>140</v>
      </c>
      <c r="M51">
        <v>4</v>
      </c>
      <c r="N51" t="s">
        <v>166</v>
      </c>
      <c r="O51">
        <v>39</v>
      </c>
      <c r="P51" t="s">
        <v>142</v>
      </c>
      <c r="Q51" t="s">
        <v>143</v>
      </c>
      <c r="R51">
        <v>1</v>
      </c>
      <c r="S51" t="s">
        <v>144</v>
      </c>
      <c r="T51">
        <v>1</v>
      </c>
      <c r="U51" t="s">
        <v>152</v>
      </c>
      <c r="V51" t="s">
        <v>146</v>
      </c>
      <c r="W51">
        <v>1</v>
      </c>
    </row>
    <row r="52" spans="2:23" x14ac:dyDescent="0.3">
      <c r="B52">
        <v>48</v>
      </c>
      <c r="C52" t="s">
        <v>134</v>
      </c>
      <c r="D52">
        <v>6</v>
      </c>
      <c r="E52" t="s">
        <v>148</v>
      </c>
      <c r="F52" t="s">
        <v>165</v>
      </c>
      <c r="G52">
        <v>1352</v>
      </c>
      <c r="H52" t="s">
        <v>164</v>
      </c>
      <c r="I52" t="s">
        <v>171</v>
      </c>
      <c r="J52">
        <v>1</v>
      </c>
      <c r="K52" t="s">
        <v>151</v>
      </c>
      <c r="L52" t="s">
        <v>140</v>
      </c>
      <c r="M52">
        <v>2</v>
      </c>
      <c r="N52" t="s">
        <v>159</v>
      </c>
      <c r="O52">
        <v>23</v>
      </c>
      <c r="P52" t="s">
        <v>142</v>
      </c>
      <c r="Q52" t="s">
        <v>167</v>
      </c>
      <c r="R52">
        <v>1</v>
      </c>
      <c r="S52" t="s">
        <v>185</v>
      </c>
      <c r="T52">
        <v>1</v>
      </c>
      <c r="U52" t="s">
        <v>145</v>
      </c>
      <c r="V52" t="s">
        <v>146</v>
      </c>
      <c r="W52">
        <v>1</v>
      </c>
    </row>
    <row r="53" spans="2:23" x14ac:dyDescent="0.3">
      <c r="B53">
        <v>49</v>
      </c>
      <c r="C53" t="s">
        <v>153</v>
      </c>
      <c r="D53">
        <v>11</v>
      </c>
      <c r="E53" t="s">
        <v>135</v>
      </c>
      <c r="F53" t="s">
        <v>162</v>
      </c>
      <c r="G53">
        <v>7228</v>
      </c>
      <c r="H53" t="s">
        <v>149</v>
      </c>
      <c r="I53" t="s">
        <v>150</v>
      </c>
      <c r="J53">
        <v>1</v>
      </c>
      <c r="K53" t="s">
        <v>139</v>
      </c>
      <c r="L53" t="s">
        <v>140</v>
      </c>
      <c r="M53">
        <v>4</v>
      </c>
      <c r="N53" t="s">
        <v>159</v>
      </c>
      <c r="O53">
        <v>39</v>
      </c>
      <c r="P53" t="s">
        <v>142</v>
      </c>
      <c r="Q53" t="s">
        <v>143</v>
      </c>
      <c r="R53">
        <v>2</v>
      </c>
      <c r="S53" t="s">
        <v>156</v>
      </c>
      <c r="T53">
        <v>1</v>
      </c>
      <c r="U53" t="s">
        <v>152</v>
      </c>
      <c r="V53" t="s">
        <v>146</v>
      </c>
      <c r="W53">
        <v>1</v>
      </c>
    </row>
    <row r="54" spans="2:23" x14ac:dyDescent="0.3">
      <c r="B54">
        <v>50</v>
      </c>
      <c r="C54" t="s">
        <v>153</v>
      </c>
      <c r="D54">
        <v>12</v>
      </c>
      <c r="E54" t="s">
        <v>148</v>
      </c>
      <c r="F54" t="s">
        <v>136</v>
      </c>
      <c r="G54">
        <v>2073</v>
      </c>
      <c r="H54" t="s">
        <v>175</v>
      </c>
      <c r="I54" t="s">
        <v>150</v>
      </c>
      <c r="J54">
        <v>4</v>
      </c>
      <c r="K54" t="s">
        <v>151</v>
      </c>
      <c r="L54" t="s">
        <v>182</v>
      </c>
      <c r="M54">
        <v>2</v>
      </c>
      <c r="N54" t="s">
        <v>141</v>
      </c>
      <c r="O54">
        <v>28</v>
      </c>
      <c r="P54" t="s">
        <v>142</v>
      </c>
      <c r="Q54" t="s">
        <v>143</v>
      </c>
      <c r="R54">
        <v>1</v>
      </c>
      <c r="S54" t="s">
        <v>144</v>
      </c>
      <c r="T54">
        <v>1</v>
      </c>
      <c r="U54" t="s">
        <v>152</v>
      </c>
      <c r="V54" t="s">
        <v>146</v>
      </c>
      <c r="W54">
        <v>1</v>
      </c>
    </row>
    <row r="55" spans="2:23" x14ac:dyDescent="0.3">
      <c r="B55">
        <v>51</v>
      </c>
      <c r="C55" t="s">
        <v>147</v>
      </c>
      <c r="D55">
        <v>24</v>
      </c>
      <c r="E55" t="s">
        <v>161</v>
      </c>
      <c r="F55" t="s">
        <v>157</v>
      </c>
      <c r="G55">
        <v>2333</v>
      </c>
      <c r="H55" t="s">
        <v>137</v>
      </c>
      <c r="I55" t="s">
        <v>173</v>
      </c>
      <c r="J55">
        <v>4</v>
      </c>
      <c r="K55" t="s">
        <v>139</v>
      </c>
      <c r="L55" t="s">
        <v>140</v>
      </c>
      <c r="M55">
        <v>2</v>
      </c>
      <c r="N55" t="s">
        <v>159</v>
      </c>
      <c r="O55">
        <v>29</v>
      </c>
      <c r="P55" t="s">
        <v>177</v>
      </c>
      <c r="Q55" t="s">
        <v>143</v>
      </c>
      <c r="R55">
        <v>1</v>
      </c>
      <c r="S55" t="s">
        <v>156</v>
      </c>
      <c r="T55">
        <v>1</v>
      </c>
      <c r="U55" t="s">
        <v>152</v>
      </c>
      <c r="V55" t="s">
        <v>146</v>
      </c>
      <c r="W55">
        <v>1</v>
      </c>
    </row>
    <row r="56" spans="2:23" x14ac:dyDescent="0.3">
      <c r="B56">
        <v>52</v>
      </c>
      <c r="C56" t="s">
        <v>147</v>
      </c>
      <c r="D56">
        <v>27</v>
      </c>
      <c r="E56" t="s">
        <v>161</v>
      </c>
      <c r="F56" t="s">
        <v>165</v>
      </c>
      <c r="G56">
        <v>5965</v>
      </c>
      <c r="H56" t="s">
        <v>149</v>
      </c>
      <c r="I56" t="s">
        <v>138</v>
      </c>
      <c r="J56">
        <v>1</v>
      </c>
      <c r="K56" t="s">
        <v>139</v>
      </c>
      <c r="L56" t="s">
        <v>140</v>
      </c>
      <c r="M56">
        <v>2</v>
      </c>
      <c r="N56" t="s">
        <v>166</v>
      </c>
      <c r="O56">
        <v>30</v>
      </c>
      <c r="P56" t="s">
        <v>142</v>
      </c>
      <c r="Q56" t="s">
        <v>143</v>
      </c>
      <c r="R56">
        <v>2</v>
      </c>
      <c r="S56" t="s">
        <v>168</v>
      </c>
      <c r="T56">
        <v>1</v>
      </c>
      <c r="U56" t="s">
        <v>145</v>
      </c>
      <c r="V56" t="s">
        <v>146</v>
      </c>
      <c r="W56">
        <v>1</v>
      </c>
    </row>
    <row r="57" spans="2:23" x14ac:dyDescent="0.3">
      <c r="B57">
        <v>53</v>
      </c>
      <c r="C57" t="s">
        <v>153</v>
      </c>
      <c r="D57">
        <v>12</v>
      </c>
      <c r="E57" t="s">
        <v>148</v>
      </c>
      <c r="F57" t="s">
        <v>136</v>
      </c>
      <c r="G57">
        <v>1262</v>
      </c>
      <c r="H57" t="s">
        <v>149</v>
      </c>
      <c r="I57" t="s">
        <v>150</v>
      </c>
      <c r="J57">
        <v>3</v>
      </c>
      <c r="K57" t="s">
        <v>139</v>
      </c>
      <c r="L57" t="s">
        <v>140</v>
      </c>
      <c r="M57">
        <v>2</v>
      </c>
      <c r="N57" t="s">
        <v>166</v>
      </c>
      <c r="O57">
        <v>25</v>
      </c>
      <c r="P57" t="s">
        <v>142</v>
      </c>
      <c r="Q57" t="s">
        <v>143</v>
      </c>
      <c r="R57">
        <v>1</v>
      </c>
      <c r="S57" t="s">
        <v>144</v>
      </c>
      <c r="T57">
        <v>1</v>
      </c>
      <c r="U57" t="s">
        <v>152</v>
      </c>
      <c r="V57" t="s">
        <v>146</v>
      </c>
      <c r="W57">
        <v>1</v>
      </c>
    </row>
    <row r="58" spans="2:23" x14ac:dyDescent="0.3">
      <c r="B58">
        <v>54</v>
      </c>
      <c r="C58" t="s">
        <v>153</v>
      </c>
      <c r="D58">
        <v>18</v>
      </c>
      <c r="E58" t="s">
        <v>148</v>
      </c>
      <c r="F58" t="s">
        <v>165</v>
      </c>
      <c r="G58">
        <v>3378</v>
      </c>
      <c r="H58" t="s">
        <v>137</v>
      </c>
      <c r="I58" t="s">
        <v>150</v>
      </c>
      <c r="J58">
        <v>2</v>
      </c>
      <c r="K58" t="s">
        <v>139</v>
      </c>
      <c r="L58" t="s">
        <v>140</v>
      </c>
      <c r="M58">
        <v>1</v>
      </c>
      <c r="N58" t="s">
        <v>159</v>
      </c>
      <c r="O58">
        <v>31</v>
      </c>
      <c r="P58" t="s">
        <v>142</v>
      </c>
      <c r="Q58" t="s">
        <v>143</v>
      </c>
      <c r="R58">
        <v>1</v>
      </c>
      <c r="S58" t="s">
        <v>144</v>
      </c>
      <c r="T58">
        <v>1</v>
      </c>
      <c r="U58" t="s">
        <v>145</v>
      </c>
      <c r="V58" t="s">
        <v>146</v>
      </c>
      <c r="W58">
        <v>1</v>
      </c>
    </row>
    <row r="59" spans="2:23" x14ac:dyDescent="0.3">
      <c r="B59">
        <v>55</v>
      </c>
      <c r="C59" t="s">
        <v>147</v>
      </c>
      <c r="D59">
        <v>36</v>
      </c>
      <c r="E59" t="s">
        <v>161</v>
      </c>
      <c r="F59" t="s">
        <v>162</v>
      </c>
      <c r="G59">
        <v>2225</v>
      </c>
      <c r="H59" t="s">
        <v>149</v>
      </c>
      <c r="I59" t="s">
        <v>138</v>
      </c>
      <c r="J59">
        <v>4</v>
      </c>
      <c r="K59" t="s">
        <v>139</v>
      </c>
      <c r="L59" t="s">
        <v>140</v>
      </c>
      <c r="M59">
        <v>4</v>
      </c>
      <c r="N59" t="s">
        <v>163</v>
      </c>
      <c r="O59">
        <v>57</v>
      </c>
      <c r="P59" t="s">
        <v>177</v>
      </c>
      <c r="Q59" t="s">
        <v>160</v>
      </c>
      <c r="R59">
        <v>2</v>
      </c>
      <c r="S59" t="s">
        <v>144</v>
      </c>
      <c r="T59">
        <v>1</v>
      </c>
      <c r="U59" t="s">
        <v>145</v>
      </c>
      <c r="V59" t="s">
        <v>146</v>
      </c>
      <c r="W59">
        <v>2</v>
      </c>
    </row>
    <row r="60" spans="2:23" x14ac:dyDescent="0.3">
      <c r="B60">
        <v>56</v>
      </c>
      <c r="C60" t="s">
        <v>153</v>
      </c>
      <c r="D60">
        <v>6</v>
      </c>
      <c r="E60" t="s">
        <v>180</v>
      </c>
      <c r="F60" t="s">
        <v>162</v>
      </c>
      <c r="G60">
        <v>783</v>
      </c>
      <c r="H60" t="s">
        <v>137</v>
      </c>
      <c r="I60" t="s">
        <v>150</v>
      </c>
      <c r="J60">
        <v>1</v>
      </c>
      <c r="K60" t="s">
        <v>139</v>
      </c>
      <c r="L60" t="s">
        <v>158</v>
      </c>
      <c r="M60">
        <v>2</v>
      </c>
      <c r="N60" t="s">
        <v>141</v>
      </c>
      <c r="O60">
        <v>26</v>
      </c>
      <c r="P60" t="s">
        <v>181</v>
      </c>
      <c r="Q60" t="s">
        <v>143</v>
      </c>
      <c r="R60">
        <v>1</v>
      </c>
      <c r="S60" t="s">
        <v>156</v>
      </c>
      <c r="T60">
        <v>2</v>
      </c>
      <c r="U60" t="s">
        <v>152</v>
      </c>
      <c r="V60" t="s">
        <v>146</v>
      </c>
      <c r="W60">
        <v>1</v>
      </c>
    </row>
    <row r="61" spans="2:23" x14ac:dyDescent="0.3">
      <c r="B61">
        <v>57</v>
      </c>
      <c r="C61" t="s">
        <v>147</v>
      </c>
      <c r="D61">
        <v>12</v>
      </c>
      <c r="E61" t="s">
        <v>148</v>
      </c>
      <c r="F61" t="s">
        <v>136</v>
      </c>
      <c r="G61">
        <v>6468</v>
      </c>
      <c r="H61" t="s">
        <v>137</v>
      </c>
      <c r="I61" t="s">
        <v>171</v>
      </c>
      <c r="J61">
        <v>2</v>
      </c>
      <c r="K61" t="s">
        <v>139</v>
      </c>
      <c r="L61" t="s">
        <v>140</v>
      </c>
      <c r="M61">
        <v>1</v>
      </c>
      <c r="N61" t="s">
        <v>163</v>
      </c>
      <c r="O61">
        <v>52</v>
      </c>
      <c r="P61" t="s">
        <v>142</v>
      </c>
      <c r="Q61" t="s">
        <v>143</v>
      </c>
      <c r="R61">
        <v>1</v>
      </c>
      <c r="S61" t="s">
        <v>168</v>
      </c>
      <c r="T61">
        <v>1</v>
      </c>
      <c r="U61" t="s">
        <v>145</v>
      </c>
      <c r="V61" t="s">
        <v>146</v>
      </c>
      <c r="W61">
        <v>2</v>
      </c>
    </row>
    <row r="62" spans="2:23" x14ac:dyDescent="0.3">
      <c r="B62">
        <v>58</v>
      </c>
      <c r="C62" t="s">
        <v>153</v>
      </c>
      <c r="D62">
        <v>36</v>
      </c>
      <c r="E62" t="s">
        <v>135</v>
      </c>
      <c r="F62" t="s">
        <v>136</v>
      </c>
      <c r="G62">
        <v>9566</v>
      </c>
      <c r="H62" t="s">
        <v>149</v>
      </c>
      <c r="I62" t="s">
        <v>150</v>
      </c>
      <c r="J62">
        <v>2</v>
      </c>
      <c r="K62" t="s">
        <v>151</v>
      </c>
      <c r="L62" t="s">
        <v>140</v>
      </c>
      <c r="M62">
        <v>2</v>
      </c>
      <c r="N62" t="s">
        <v>166</v>
      </c>
      <c r="O62">
        <v>31</v>
      </c>
      <c r="P62" t="s">
        <v>181</v>
      </c>
      <c r="Q62" t="s">
        <v>143</v>
      </c>
      <c r="R62">
        <v>2</v>
      </c>
      <c r="S62" t="s">
        <v>144</v>
      </c>
      <c r="T62">
        <v>1</v>
      </c>
      <c r="U62" t="s">
        <v>152</v>
      </c>
      <c r="V62" t="s">
        <v>146</v>
      </c>
      <c r="W62">
        <v>1</v>
      </c>
    </row>
    <row r="63" spans="2:23" x14ac:dyDescent="0.3">
      <c r="B63">
        <v>59</v>
      </c>
      <c r="C63" t="s">
        <v>179</v>
      </c>
      <c r="D63">
        <v>18</v>
      </c>
      <c r="E63" t="s">
        <v>148</v>
      </c>
      <c r="F63" t="s">
        <v>162</v>
      </c>
      <c r="G63">
        <v>1961</v>
      </c>
      <c r="H63" t="s">
        <v>149</v>
      </c>
      <c r="I63" t="s">
        <v>138</v>
      </c>
      <c r="J63">
        <v>3</v>
      </c>
      <c r="K63" t="s">
        <v>151</v>
      </c>
      <c r="L63" t="s">
        <v>140</v>
      </c>
      <c r="M63">
        <v>2</v>
      </c>
      <c r="N63" t="s">
        <v>166</v>
      </c>
      <c r="O63">
        <v>23</v>
      </c>
      <c r="P63" t="s">
        <v>142</v>
      </c>
      <c r="Q63" t="s">
        <v>143</v>
      </c>
      <c r="R63">
        <v>1</v>
      </c>
      <c r="S63" t="s">
        <v>168</v>
      </c>
      <c r="T63">
        <v>1</v>
      </c>
      <c r="U63" t="s">
        <v>152</v>
      </c>
      <c r="V63" t="s">
        <v>146</v>
      </c>
      <c r="W63">
        <v>1</v>
      </c>
    </row>
    <row r="64" spans="2:23" x14ac:dyDescent="0.3">
      <c r="B64">
        <v>60</v>
      </c>
      <c r="C64" t="s">
        <v>134</v>
      </c>
      <c r="D64">
        <v>36</v>
      </c>
      <c r="E64" t="s">
        <v>135</v>
      </c>
      <c r="F64" t="s">
        <v>157</v>
      </c>
      <c r="G64">
        <v>6229</v>
      </c>
      <c r="H64" t="s">
        <v>149</v>
      </c>
      <c r="I64" t="s">
        <v>173</v>
      </c>
      <c r="J64">
        <v>4</v>
      </c>
      <c r="K64" t="s">
        <v>151</v>
      </c>
      <c r="L64" t="s">
        <v>182</v>
      </c>
      <c r="M64">
        <v>4</v>
      </c>
      <c r="N64" t="s">
        <v>163</v>
      </c>
      <c r="O64">
        <v>23</v>
      </c>
      <c r="P64" t="s">
        <v>142</v>
      </c>
      <c r="Q64" t="s">
        <v>167</v>
      </c>
      <c r="R64">
        <v>2</v>
      </c>
      <c r="S64" t="s">
        <v>156</v>
      </c>
      <c r="T64">
        <v>1</v>
      </c>
      <c r="U64" t="s">
        <v>145</v>
      </c>
      <c r="V64" t="s">
        <v>146</v>
      </c>
      <c r="W64">
        <v>2</v>
      </c>
    </row>
    <row r="65" spans="2:23" x14ac:dyDescent="0.3">
      <c r="B65">
        <v>61</v>
      </c>
      <c r="C65" t="s">
        <v>147</v>
      </c>
      <c r="D65">
        <v>9</v>
      </c>
      <c r="E65" t="s">
        <v>148</v>
      </c>
      <c r="F65" t="s">
        <v>174</v>
      </c>
      <c r="G65">
        <v>1391</v>
      </c>
      <c r="H65" t="s">
        <v>149</v>
      </c>
      <c r="I65" t="s">
        <v>150</v>
      </c>
      <c r="J65">
        <v>2</v>
      </c>
      <c r="K65" t="s">
        <v>172</v>
      </c>
      <c r="L65" t="s">
        <v>140</v>
      </c>
      <c r="M65">
        <v>1</v>
      </c>
      <c r="N65" t="s">
        <v>141</v>
      </c>
      <c r="O65">
        <v>27</v>
      </c>
      <c r="P65" t="s">
        <v>177</v>
      </c>
      <c r="Q65" t="s">
        <v>143</v>
      </c>
      <c r="R65">
        <v>1</v>
      </c>
      <c r="S65" t="s">
        <v>144</v>
      </c>
      <c r="T65">
        <v>1</v>
      </c>
      <c r="U65" t="s">
        <v>145</v>
      </c>
      <c r="V65" t="s">
        <v>146</v>
      </c>
      <c r="W65">
        <v>1</v>
      </c>
    </row>
    <row r="66" spans="2:23" x14ac:dyDescent="0.3">
      <c r="B66">
        <v>62</v>
      </c>
      <c r="C66" t="s">
        <v>147</v>
      </c>
      <c r="D66">
        <v>15</v>
      </c>
      <c r="E66" t="s">
        <v>135</v>
      </c>
      <c r="F66" t="s">
        <v>136</v>
      </c>
      <c r="G66">
        <v>1537</v>
      </c>
      <c r="H66" t="s">
        <v>137</v>
      </c>
      <c r="I66" t="s">
        <v>138</v>
      </c>
      <c r="J66">
        <v>4</v>
      </c>
      <c r="K66" t="s">
        <v>139</v>
      </c>
      <c r="L66" t="s">
        <v>158</v>
      </c>
      <c r="M66">
        <v>4</v>
      </c>
      <c r="N66" t="s">
        <v>141</v>
      </c>
      <c r="O66">
        <v>50</v>
      </c>
      <c r="P66" t="s">
        <v>142</v>
      </c>
      <c r="Q66" t="s">
        <v>143</v>
      </c>
      <c r="R66">
        <v>2</v>
      </c>
      <c r="S66" t="s">
        <v>144</v>
      </c>
      <c r="T66">
        <v>1</v>
      </c>
      <c r="U66" t="s">
        <v>145</v>
      </c>
      <c r="V66" t="s">
        <v>146</v>
      </c>
      <c r="W66">
        <v>1</v>
      </c>
    </row>
    <row r="67" spans="2:23" x14ac:dyDescent="0.3">
      <c r="B67">
        <v>63</v>
      </c>
      <c r="C67" t="s">
        <v>147</v>
      </c>
      <c r="D67">
        <v>36</v>
      </c>
      <c r="E67" t="s">
        <v>176</v>
      </c>
      <c r="F67" t="s">
        <v>174</v>
      </c>
      <c r="G67">
        <v>1953</v>
      </c>
      <c r="H67" t="s">
        <v>149</v>
      </c>
      <c r="I67" t="s">
        <v>138</v>
      </c>
      <c r="J67">
        <v>4</v>
      </c>
      <c r="K67" t="s">
        <v>139</v>
      </c>
      <c r="L67" t="s">
        <v>140</v>
      </c>
      <c r="M67">
        <v>4</v>
      </c>
      <c r="N67" t="s">
        <v>163</v>
      </c>
      <c r="O67">
        <v>61</v>
      </c>
      <c r="P67" t="s">
        <v>142</v>
      </c>
      <c r="Q67" t="s">
        <v>160</v>
      </c>
      <c r="R67">
        <v>1</v>
      </c>
      <c r="S67" t="s">
        <v>168</v>
      </c>
      <c r="T67">
        <v>1</v>
      </c>
      <c r="U67" t="s">
        <v>145</v>
      </c>
      <c r="V67" t="s">
        <v>146</v>
      </c>
      <c r="W67">
        <v>2</v>
      </c>
    </row>
    <row r="68" spans="2:23" x14ac:dyDescent="0.3">
      <c r="B68">
        <v>64</v>
      </c>
      <c r="C68" t="s">
        <v>147</v>
      </c>
      <c r="D68">
        <v>48</v>
      </c>
      <c r="E68" t="s">
        <v>176</v>
      </c>
      <c r="F68" t="s">
        <v>174</v>
      </c>
      <c r="G68">
        <v>14421</v>
      </c>
      <c r="H68" t="s">
        <v>149</v>
      </c>
      <c r="I68" t="s">
        <v>150</v>
      </c>
      <c r="J68">
        <v>2</v>
      </c>
      <c r="K68" t="s">
        <v>139</v>
      </c>
      <c r="L68" t="s">
        <v>140</v>
      </c>
      <c r="M68">
        <v>2</v>
      </c>
      <c r="N68" t="s">
        <v>166</v>
      </c>
      <c r="O68">
        <v>25</v>
      </c>
      <c r="P68" t="s">
        <v>142</v>
      </c>
      <c r="Q68" t="s">
        <v>143</v>
      </c>
      <c r="R68">
        <v>1</v>
      </c>
      <c r="S68" t="s">
        <v>144</v>
      </c>
      <c r="T68">
        <v>1</v>
      </c>
      <c r="U68" t="s">
        <v>145</v>
      </c>
      <c r="V68" t="s">
        <v>146</v>
      </c>
      <c r="W68">
        <v>2</v>
      </c>
    </row>
    <row r="69" spans="2:23" x14ac:dyDescent="0.3">
      <c r="B69">
        <v>65</v>
      </c>
      <c r="C69" t="s">
        <v>153</v>
      </c>
      <c r="D69">
        <v>24</v>
      </c>
      <c r="E69" t="s">
        <v>148</v>
      </c>
      <c r="F69" t="s">
        <v>136</v>
      </c>
      <c r="G69">
        <v>3181</v>
      </c>
      <c r="H69" t="s">
        <v>149</v>
      </c>
      <c r="I69" t="s">
        <v>173</v>
      </c>
      <c r="J69">
        <v>4</v>
      </c>
      <c r="K69" t="s">
        <v>151</v>
      </c>
      <c r="L69" t="s">
        <v>140</v>
      </c>
      <c r="M69">
        <v>4</v>
      </c>
      <c r="N69" t="s">
        <v>159</v>
      </c>
      <c r="O69">
        <v>26</v>
      </c>
      <c r="P69" t="s">
        <v>142</v>
      </c>
      <c r="Q69" t="s">
        <v>143</v>
      </c>
      <c r="R69">
        <v>1</v>
      </c>
      <c r="S69" t="s">
        <v>144</v>
      </c>
      <c r="T69">
        <v>1</v>
      </c>
      <c r="U69" t="s">
        <v>145</v>
      </c>
      <c r="V69" t="s">
        <v>146</v>
      </c>
      <c r="W69">
        <v>1</v>
      </c>
    </row>
    <row r="70" spans="2:23" x14ac:dyDescent="0.3">
      <c r="B70">
        <v>66</v>
      </c>
      <c r="C70" t="s">
        <v>153</v>
      </c>
      <c r="D70">
        <v>27</v>
      </c>
      <c r="E70" t="s">
        <v>148</v>
      </c>
      <c r="F70" t="s">
        <v>184</v>
      </c>
      <c r="G70">
        <v>5190</v>
      </c>
      <c r="H70" t="s">
        <v>137</v>
      </c>
      <c r="I70" t="s">
        <v>138</v>
      </c>
      <c r="J70">
        <v>4</v>
      </c>
      <c r="K70" t="s">
        <v>139</v>
      </c>
      <c r="L70" t="s">
        <v>140</v>
      </c>
      <c r="M70">
        <v>4</v>
      </c>
      <c r="N70" t="s">
        <v>159</v>
      </c>
      <c r="O70">
        <v>48</v>
      </c>
      <c r="P70" t="s">
        <v>142</v>
      </c>
      <c r="Q70" t="s">
        <v>143</v>
      </c>
      <c r="R70">
        <v>4</v>
      </c>
      <c r="S70" t="s">
        <v>144</v>
      </c>
      <c r="T70">
        <v>2</v>
      </c>
      <c r="U70" t="s">
        <v>145</v>
      </c>
      <c r="V70" t="s">
        <v>146</v>
      </c>
      <c r="W70">
        <v>1</v>
      </c>
    </row>
    <row r="71" spans="2:23" x14ac:dyDescent="0.3">
      <c r="B71">
        <v>67</v>
      </c>
      <c r="C71" t="s">
        <v>153</v>
      </c>
      <c r="D71">
        <v>12</v>
      </c>
      <c r="E71" t="s">
        <v>148</v>
      </c>
      <c r="F71" t="s">
        <v>136</v>
      </c>
      <c r="G71">
        <v>2171</v>
      </c>
      <c r="H71" t="s">
        <v>149</v>
      </c>
      <c r="I71" t="s">
        <v>173</v>
      </c>
      <c r="J71">
        <v>2</v>
      </c>
      <c r="K71" t="s">
        <v>151</v>
      </c>
      <c r="L71" t="s">
        <v>140</v>
      </c>
      <c r="M71">
        <v>2</v>
      </c>
      <c r="N71" t="s">
        <v>166</v>
      </c>
      <c r="O71">
        <v>29</v>
      </c>
      <c r="P71" t="s">
        <v>177</v>
      </c>
      <c r="Q71" t="s">
        <v>143</v>
      </c>
      <c r="R71">
        <v>1</v>
      </c>
      <c r="S71" t="s">
        <v>144</v>
      </c>
      <c r="T71">
        <v>1</v>
      </c>
      <c r="U71" t="s">
        <v>152</v>
      </c>
      <c r="V71" t="s">
        <v>146</v>
      </c>
      <c r="W71">
        <v>1</v>
      </c>
    </row>
    <row r="72" spans="2:23" x14ac:dyDescent="0.3">
      <c r="B72">
        <v>68</v>
      </c>
      <c r="C72" t="s">
        <v>147</v>
      </c>
      <c r="D72">
        <v>12</v>
      </c>
      <c r="E72" t="s">
        <v>148</v>
      </c>
      <c r="F72" t="s">
        <v>162</v>
      </c>
      <c r="G72">
        <v>1007</v>
      </c>
      <c r="H72" t="s">
        <v>169</v>
      </c>
      <c r="I72" t="s">
        <v>150</v>
      </c>
      <c r="J72">
        <v>4</v>
      </c>
      <c r="K72" t="s">
        <v>172</v>
      </c>
      <c r="L72" t="s">
        <v>140</v>
      </c>
      <c r="M72">
        <v>1</v>
      </c>
      <c r="N72" t="s">
        <v>141</v>
      </c>
      <c r="O72">
        <v>22</v>
      </c>
      <c r="P72" t="s">
        <v>142</v>
      </c>
      <c r="Q72" t="s">
        <v>143</v>
      </c>
      <c r="R72">
        <v>1</v>
      </c>
      <c r="S72" t="s">
        <v>144</v>
      </c>
      <c r="T72">
        <v>1</v>
      </c>
      <c r="U72" t="s">
        <v>152</v>
      </c>
      <c r="V72" t="s">
        <v>146</v>
      </c>
      <c r="W72">
        <v>1</v>
      </c>
    </row>
    <row r="73" spans="2:23" x14ac:dyDescent="0.3">
      <c r="B73">
        <v>69</v>
      </c>
      <c r="C73" t="s">
        <v>153</v>
      </c>
      <c r="D73">
        <v>36</v>
      </c>
      <c r="E73" t="s">
        <v>148</v>
      </c>
      <c r="F73" t="s">
        <v>154</v>
      </c>
      <c r="G73">
        <v>1819</v>
      </c>
      <c r="H73" t="s">
        <v>149</v>
      </c>
      <c r="I73" t="s">
        <v>150</v>
      </c>
      <c r="J73">
        <v>4</v>
      </c>
      <c r="K73" t="s">
        <v>139</v>
      </c>
      <c r="L73" t="s">
        <v>140</v>
      </c>
      <c r="M73">
        <v>4</v>
      </c>
      <c r="N73" t="s">
        <v>163</v>
      </c>
      <c r="O73">
        <v>37</v>
      </c>
      <c r="P73" t="s">
        <v>181</v>
      </c>
      <c r="Q73" t="s">
        <v>160</v>
      </c>
      <c r="R73">
        <v>1</v>
      </c>
      <c r="S73" t="s">
        <v>144</v>
      </c>
      <c r="T73">
        <v>1</v>
      </c>
      <c r="U73" t="s">
        <v>145</v>
      </c>
      <c r="V73" t="s">
        <v>146</v>
      </c>
      <c r="W73">
        <v>2</v>
      </c>
    </row>
    <row r="74" spans="2:23" x14ac:dyDescent="0.3">
      <c r="B74">
        <v>70</v>
      </c>
      <c r="C74" t="s">
        <v>153</v>
      </c>
      <c r="D74">
        <v>36</v>
      </c>
      <c r="E74" t="s">
        <v>148</v>
      </c>
      <c r="F74" t="s">
        <v>136</v>
      </c>
      <c r="G74">
        <v>2394</v>
      </c>
      <c r="H74" t="s">
        <v>137</v>
      </c>
      <c r="I74" t="s">
        <v>150</v>
      </c>
      <c r="J74">
        <v>4</v>
      </c>
      <c r="K74" t="s">
        <v>151</v>
      </c>
      <c r="L74" t="s">
        <v>140</v>
      </c>
      <c r="M74">
        <v>4</v>
      </c>
      <c r="N74" t="s">
        <v>166</v>
      </c>
      <c r="O74">
        <v>25</v>
      </c>
      <c r="P74" t="s">
        <v>142</v>
      </c>
      <c r="Q74" t="s">
        <v>143</v>
      </c>
      <c r="R74">
        <v>1</v>
      </c>
      <c r="S74" t="s">
        <v>144</v>
      </c>
      <c r="T74">
        <v>1</v>
      </c>
      <c r="U74" t="s">
        <v>152</v>
      </c>
      <c r="V74" t="s">
        <v>146</v>
      </c>
      <c r="W74">
        <v>1</v>
      </c>
    </row>
    <row r="75" spans="2:23" x14ac:dyDescent="0.3">
      <c r="B75">
        <v>71</v>
      </c>
      <c r="C75" t="s">
        <v>153</v>
      </c>
      <c r="D75">
        <v>36</v>
      </c>
      <c r="E75" t="s">
        <v>148</v>
      </c>
      <c r="F75" t="s">
        <v>165</v>
      </c>
      <c r="G75">
        <v>8133</v>
      </c>
      <c r="H75" t="s">
        <v>149</v>
      </c>
      <c r="I75" t="s">
        <v>150</v>
      </c>
      <c r="J75">
        <v>1</v>
      </c>
      <c r="K75" t="s">
        <v>151</v>
      </c>
      <c r="L75" t="s">
        <v>140</v>
      </c>
      <c r="M75">
        <v>2</v>
      </c>
      <c r="N75" t="s">
        <v>159</v>
      </c>
      <c r="O75">
        <v>30</v>
      </c>
      <c r="P75" t="s">
        <v>177</v>
      </c>
      <c r="Q75" t="s">
        <v>143</v>
      </c>
      <c r="R75">
        <v>1</v>
      </c>
      <c r="S75" t="s">
        <v>144</v>
      </c>
      <c r="T75">
        <v>1</v>
      </c>
      <c r="U75" t="s">
        <v>152</v>
      </c>
      <c r="V75" t="s">
        <v>146</v>
      </c>
      <c r="W75">
        <v>1</v>
      </c>
    </row>
    <row r="76" spans="2:23" x14ac:dyDescent="0.3">
      <c r="B76">
        <v>72</v>
      </c>
      <c r="C76" t="s">
        <v>153</v>
      </c>
      <c r="D76">
        <v>7</v>
      </c>
      <c r="E76" t="s">
        <v>135</v>
      </c>
      <c r="F76" t="s">
        <v>136</v>
      </c>
      <c r="G76">
        <v>730</v>
      </c>
      <c r="H76" t="s">
        <v>137</v>
      </c>
      <c r="I76" t="s">
        <v>138</v>
      </c>
      <c r="J76">
        <v>4</v>
      </c>
      <c r="K76" t="s">
        <v>139</v>
      </c>
      <c r="L76" t="s">
        <v>140</v>
      </c>
      <c r="M76">
        <v>2</v>
      </c>
      <c r="N76" t="s">
        <v>159</v>
      </c>
      <c r="O76">
        <v>46</v>
      </c>
      <c r="P76" t="s">
        <v>142</v>
      </c>
      <c r="Q76" t="s">
        <v>167</v>
      </c>
      <c r="R76">
        <v>2</v>
      </c>
      <c r="S76" t="s">
        <v>156</v>
      </c>
      <c r="T76">
        <v>1</v>
      </c>
      <c r="U76" t="s">
        <v>145</v>
      </c>
      <c r="V76" t="s">
        <v>146</v>
      </c>
      <c r="W76">
        <v>1</v>
      </c>
    </row>
    <row r="77" spans="2:23" x14ac:dyDescent="0.3">
      <c r="B77">
        <v>73</v>
      </c>
      <c r="C77" t="s">
        <v>134</v>
      </c>
      <c r="D77">
        <v>8</v>
      </c>
      <c r="E77" t="s">
        <v>135</v>
      </c>
      <c r="F77" t="s">
        <v>186</v>
      </c>
      <c r="G77">
        <v>1164</v>
      </c>
      <c r="H77" t="s">
        <v>149</v>
      </c>
      <c r="I77" t="s">
        <v>138</v>
      </c>
      <c r="J77">
        <v>3</v>
      </c>
      <c r="K77" t="s">
        <v>139</v>
      </c>
      <c r="L77" t="s">
        <v>140</v>
      </c>
      <c r="M77">
        <v>4</v>
      </c>
      <c r="N77" t="s">
        <v>163</v>
      </c>
      <c r="O77">
        <v>51</v>
      </c>
      <c r="P77" t="s">
        <v>177</v>
      </c>
      <c r="Q77" t="s">
        <v>160</v>
      </c>
      <c r="R77">
        <v>2</v>
      </c>
      <c r="S77" t="s">
        <v>168</v>
      </c>
      <c r="T77">
        <v>2</v>
      </c>
      <c r="U77" t="s">
        <v>145</v>
      </c>
      <c r="V77" t="s">
        <v>146</v>
      </c>
      <c r="W77">
        <v>1</v>
      </c>
    </row>
    <row r="78" spans="2:23" x14ac:dyDescent="0.3">
      <c r="B78">
        <v>74</v>
      </c>
      <c r="C78" t="s">
        <v>147</v>
      </c>
      <c r="D78">
        <v>42</v>
      </c>
      <c r="E78" t="s">
        <v>135</v>
      </c>
      <c r="F78" t="s">
        <v>174</v>
      </c>
      <c r="G78">
        <v>5954</v>
      </c>
      <c r="H78" t="s">
        <v>149</v>
      </c>
      <c r="I78" t="s">
        <v>155</v>
      </c>
      <c r="J78">
        <v>2</v>
      </c>
      <c r="K78" t="s">
        <v>151</v>
      </c>
      <c r="L78" t="s">
        <v>140</v>
      </c>
      <c r="M78">
        <v>1</v>
      </c>
      <c r="N78" t="s">
        <v>141</v>
      </c>
      <c r="O78">
        <v>41</v>
      </c>
      <c r="P78" t="s">
        <v>177</v>
      </c>
      <c r="Q78" t="s">
        <v>143</v>
      </c>
      <c r="R78">
        <v>2</v>
      </c>
      <c r="S78" t="s">
        <v>156</v>
      </c>
      <c r="T78">
        <v>1</v>
      </c>
      <c r="U78" t="s">
        <v>152</v>
      </c>
      <c r="V78" t="s">
        <v>146</v>
      </c>
      <c r="W78">
        <v>1</v>
      </c>
    </row>
    <row r="79" spans="2:23" x14ac:dyDescent="0.3">
      <c r="B79">
        <v>75</v>
      </c>
      <c r="C79" t="s">
        <v>134</v>
      </c>
      <c r="D79">
        <v>36</v>
      </c>
      <c r="E79" t="s">
        <v>148</v>
      </c>
      <c r="F79" t="s">
        <v>154</v>
      </c>
      <c r="G79">
        <v>1977</v>
      </c>
      <c r="H79" t="s">
        <v>137</v>
      </c>
      <c r="I79" t="s">
        <v>138</v>
      </c>
      <c r="J79">
        <v>4</v>
      </c>
      <c r="K79" t="s">
        <v>139</v>
      </c>
      <c r="L79" t="s">
        <v>140</v>
      </c>
      <c r="M79">
        <v>4</v>
      </c>
      <c r="N79" t="s">
        <v>163</v>
      </c>
      <c r="O79">
        <v>40</v>
      </c>
      <c r="P79" t="s">
        <v>142</v>
      </c>
      <c r="Q79" t="s">
        <v>143</v>
      </c>
      <c r="R79">
        <v>1</v>
      </c>
      <c r="S79" t="s">
        <v>168</v>
      </c>
      <c r="T79">
        <v>1</v>
      </c>
      <c r="U79" t="s">
        <v>145</v>
      </c>
      <c r="V79" t="s">
        <v>146</v>
      </c>
      <c r="W79">
        <v>2</v>
      </c>
    </row>
    <row r="80" spans="2:23" x14ac:dyDescent="0.3">
      <c r="B80">
        <v>76</v>
      </c>
      <c r="C80" t="s">
        <v>134</v>
      </c>
      <c r="D80">
        <v>12</v>
      </c>
      <c r="E80" t="s">
        <v>135</v>
      </c>
      <c r="F80" t="s">
        <v>165</v>
      </c>
      <c r="G80">
        <v>1526</v>
      </c>
      <c r="H80" t="s">
        <v>149</v>
      </c>
      <c r="I80" t="s">
        <v>138</v>
      </c>
      <c r="J80">
        <v>4</v>
      </c>
      <c r="K80" t="s">
        <v>139</v>
      </c>
      <c r="L80" t="s">
        <v>140</v>
      </c>
      <c r="M80">
        <v>4</v>
      </c>
      <c r="N80" t="s">
        <v>163</v>
      </c>
      <c r="O80">
        <v>66</v>
      </c>
      <c r="P80" t="s">
        <v>142</v>
      </c>
      <c r="Q80" t="s">
        <v>160</v>
      </c>
      <c r="R80">
        <v>2</v>
      </c>
      <c r="S80" t="s">
        <v>168</v>
      </c>
      <c r="T80">
        <v>1</v>
      </c>
      <c r="U80" t="s">
        <v>152</v>
      </c>
      <c r="V80" t="s">
        <v>146</v>
      </c>
      <c r="W80">
        <v>1</v>
      </c>
    </row>
    <row r="81" spans="2:23" x14ac:dyDescent="0.3">
      <c r="B81">
        <v>77</v>
      </c>
      <c r="C81" t="s">
        <v>134</v>
      </c>
      <c r="D81">
        <v>42</v>
      </c>
      <c r="E81" t="s">
        <v>148</v>
      </c>
      <c r="F81" t="s">
        <v>136</v>
      </c>
      <c r="G81">
        <v>3965</v>
      </c>
      <c r="H81" t="s">
        <v>149</v>
      </c>
      <c r="I81" t="s">
        <v>173</v>
      </c>
      <c r="J81">
        <v>4</v>
      </c>
      <c r="K81" t="s">
        <v>139</v>
      </c>
      <c r="L81" t="s">
        <v>140</v>
      </c>
      <c r="M81">
        <v>3</v>
      </c>
      <c r="N81" t="s">
        <v>166</v>
      </c>
      <c r="O81">
        <v>34</v>
      </c>
      <c r="P81" t="s">
        <v>142</v>
      </c>
      <c r="Q81" t="s">
        <v>143</v>
      </c>
      <c r="R81">
        <v>1</v>
      </c>
      <c r="S81" t="s">
        <v>144</v>
      </c>
      <c r="T81">
        <v>1</v>
      </c>
      <c r="U81" t="s">
        <v>152</v>
      </c>
      <c r="V81" t="s">
        <v>146</v>
      </c>
      <c r="W81">
        <v>2</v>
      </c>
    </row>
    <row r="82" spans="2:23" x14ac:dyDescent="0.3">
      <c r="B82">
        <v>78</v>
      </c>
      <c r="C82" t="s">
        <v>147</v>
      </c>
      <c r="D82">
        <v>11</v>
      </c>
      <c r="E82" t="s">
        <v>161</v>
      </c>
      <c r="F82" t="s">
        <v>136</v>
      </c>
      <c r="G82">
        <v>4771</v>
      </c>
      <c r="H82" t="s">
        <v>149</v>
      </c>
      <c r="I82" t="s">
        <v>155</v>
      </c>
      <c r="J82">
        <v>2</v>
      </c>
      <c r="K82" t="s">
        <v>139</v>
      </c>
      <c r="L82" t="s">
        <v>140</v>
      </c>
      <c r="M82">
        <v>4</v>
      </c>
      <c r="N82" t="s">
        <v>159</v>
      </c>
      <c r="O82">
        <v>51</v>
      </c>
      <c r="P82" t="s">
        <v>142</v>
      </c>
      <c r="Q82" t="s">
        <v>143</v>
      </c>
      <c r="R82">
        <v>1</v>
      </c>
      <c r="S82" t="s">
        <v>144</v>
      </c>
      <c r="T82">
        <v>1</v>
      </c>
      <c r="U82" t="s">
        <v>152</v>
      </c>
      <c r="V82" t="s">
        <v>146</v>
      </c>
      <c r="W82">
        <v>1</v>
      </c>
    </row>
    <row r="83" spans="2:23" x14ac:dyDescent="0.3">
      <c r="B83">
        <v>79</v>
      </c>
      <c r="C83" t="s">
        <v>153</v>
      </c>
      <c r="D83">
        <v>54</v>
      </c>
      <c r="E83" t="s">
        <v>176</v>
      </c>
      <c r="F83" t="s">
        <v>165</v>
      </c>
      <c r="G83">
        <v>9436</v>
      </c>
      <c r="H83" t="s">
        <v>137</v>
      </c>
      <c r="I83" t="s">
        <v>150</v>
      </c>
      <c r="J83">
        <v>2</v>
      </c>
      <c r="K83" t="s">
        <v>139</v>
      </c>
      <c r="L83" t="s">
        <v>140</v>
      </c>
      <c r="M83">
        <v>2</v>
      </c>
      <c r="N83" t="s">
        <v>159</v>
      </c>
      <c r="O83">
        <v>39</v>
      </c>
      <c r="P83" t="s">
        <v>142</v>
      </c>
      <c r="Q83" t="s">
        <v>143</v>
      </c>
      <c r="R83">
        <v>1</v>
      </c>
      <c r="S83" t="s">
        <v>156</v>
      </c>
      <c r="T83">
        <v>2</v>
      </c>
      <c r="U83" t="s">
        <v>152</v>
      </c>
      <c r="V83" t="s">
        <v>146</v>
      </c>
      <c r="W83">
        <v>1</v>
      </c>
    </row>
    <row r="84" spans="2:23" x14ac:dyDescent="0.3">
      <c r="B84">
        <v>80</v>
      </c>
      <c r="C84" t="s">
        <v>147</v>
      </c>
      <c r="D84">
        <v>30</v>
      </c>
      <c r="E84" t="s">
        <v>148</v>
      </c>
      <c r="F84" t="s">
        <v>157</v>
      </c>
      <c r="G84">
        <v>3832</v>
      </c>
      <c r="H84" t="s">
        <v>149</v>
      </c>
      <c r="I84" t="s">
        <v>173</v>
      </c>
      <c r="J84">
        <v>2</v>
      </c>
      <c r="K84" t="s">
        <v>172</v>
      </c>
      <c r="L84" t="s">
        <v>140</v>
      </c>
      <c r="M84">
        <v>1</v>
      </c>
      <c r="N84" t="s">
        <v>159</v>
      </c>
      <c r="O84">
        <v>22</v>
      </c>
      <c r="P84" t="s">
        <v>142</v>
      </c>
      <c r="Q84" t="s">
        <v>143</v>
      </c>
      <c r="R84">
        <v>1</v>
      </c>
      <c r="S84" t="s">
        <v>144</v>
      </c>
      <c r="T84">
        <v>1</v>
      </c>
      <c r="U84" t="s">
        <v>152</v>
      </c>
      <c r="V84" t="s">
        <v>146</v>
      </c>
      <c r="W84">
        <v>1</v>
      </c>
    </row>
    <row r="85" spans="2:23" x14ac:dyDescent="0.3">
      <c r="B85">
        <v>81</v>
      </c>
      <c r="C85" t="s">
        <v>153</v>
      </c>
      <c r="D85">
        <v>24</v>
      </c>
      <c r="E85" t="s">
        <v>148</v>
      </c>
      <c r="F85" t="s">
        <v>136</v>
      </c>
      <c r="G85">
        <v>5943</v>
      </c>
      <c r="H85" t="s">
        <v>137</v>
      </c>
      <c r="I85" t="s">
        <v>173</v>
      </c>
      <c r="J85">
        <v>1</v>
      </c>
      <c r="K85" t="s">
        <v>151</v>
      </c>
      <c r="L85" t="s">
        <v>140</v>
      </c>
      <c r="M85">
        <v>1</v>
      </c>
      <c r="N85" t="s">
        <v>166</v>
      </c>
      <c r="O85">
        <v>44</v>
      </c>
      <c r="P85" t="s">
        <v>142</v>
      </c>
      <c r="Q85" t="s">
        <v>143</v>
      </c>
      <c r="R85">
        <v>2</v>
      </c>
      <c r="S85" t="s">
        <v>144</v>
      </c>
      <c r="T85">
        <v>1</v>
      </c>
      <c r="U85" t="s">
        <v>145</v>
      </c>
      <c r="V85" t="s">
        <v>146</v>
      </c>
      <c r="W85">
        <v>2</v>
      </c>
    </row>
    <row r="86" spans="2:23" x14ac:dyDescent="0.3">
      <c r="B86">
        <v>82</v>
      </c>
      <c r="C86" t="s">
        <v>153</v>
      </c>
      <c r="D86">
        <v>15</v>
      </c>
      <c r="E86" t="s">
        <v>148</v>
      </c>
      <c r="F86" t="s">
        <v>136</v>
      </c>
      <c r="G86">
        <v>1213</v>
      </c>
      <c r="H86" t="s">
        <v>164</v>
      </c>
      <c r="I86" t="s">
        <v>138</v>
      </c>
      <c r="J86">
        <v>4</v>
      </c>
      <c r="K86" t="s">
        <v>139</v>
      </c>
      <c r="L86" t="s">
        <v>140</v>
      </c>
      <c r="M86">
        <v>3</v>
      </c>
      <c r="N86" t="s">
        <v>159</v>
      </c>
      <c r="O86">
        <v>47</v>
      </c>
      <c r="P86" t="s">
        <v>181</v>
      </c>
      <c r="Q86" t="s">
        <v>143</v>
      </c>
      <c r="R86">
        <v>1</v>
      </c>
      <c r="S86" t="s">
        <v>144</v>
      </c>
      <c r="T86">
        <v>1</v>
      </c>
      <c r="U86" t="s">
        <v>145</v>
      </c>
      <c r="V86" t="s">
        <v>146</v>
      </c>
      <c r="W86">
        <v>1</v>
      </c>
    </row>
    <row r="87" spans="2:23" x14ac:dyDescent="0.3">
      <c r="B87">
        <v>83</v>
      </c>
      <c r="C87" t="s">
        <v>153</v>
      </c>
      <c r="D87">
        <v>18</v>
      </c>
      <c r="E87" t="s">
        <v>148</v>
      </c>
      <c r="F87" t="s">
        <v>174</v>
      </c>
      <c r="G87">
        <v>1568</v>
      </c>
      <c r="H87" t="s">
        <v>175</v>
      </c>
      <c r="I87" t="s">
        <v>150</v>
      </c>
      <c r="J87">
        <v>3</v>
      </c>
      <c r="K87" t="s">
        <v>151</v>
      </c>
      <c r="L87" t="s">
        <v>140</v>
      </c>
      <c r="M87">
        <v>4</v>
      </c>
      <c r="N87" t="s">
        <v>159</v>
      </c>
      <c r="O87">
        <v>24</v>
      </c>
      <c r="P87" t="s">
        <v>142</v>
      </c>
      <c r="Q87" t="s">
        <v>167</v>
      </c>
      <c r="R87">
        <v>1</v>
      </c>
      <c r="S87" t="s">
        <v>156</v>
      </c>
      <c r="T87">
        <v>1</v>
      </c>
      <c r="U87" t="s">
        <v>152</v>
      </c>
      <c r="V87" t="s">
        <v>146</v>
      </c>
      <c r="W87">
        <v>1</v>
      </c>
    </row>
    <row r="88" spans="2:23" x14ac:dyDescent="0.3">
      <c r="B88">
        <v>84</v>
      </c>
      <c r="C88" t="s">
        <v>134</v>
      </c>
      <c r="D88">
        <v>24</v>
      </c>
      <c r="E88" t="s">
        <v>148</v>
      </c>
      <c r="F88" t="s">
        <v>186</v>
      </c>
      <c r="G88">
        <v>1755</v>
      </c>
      <c r="H88" t="s">
        <v>149</v>
      </c>
      <c r="I88" t="s">
        <v>138</v>
      </c>
      <c r="J88">
        <v>4</v>
      </c>
      <c r="K88" t="s">
        <v>151</v>
      </c>
      <c r="L88" t="s">
        <v>158</v>
      </c>
      <c r="M88">
        <v>4</v>
      </c>
      <c r="N88" t="s">
        <v>141</v>
      </c>
      <c r="O88">
        <v>58</v>
      </c>
      <c r="P88" t="s">
        <v>142</v>
      </c>
      <c r="Q88" t="s">
        <v>143</v>
      </c>
      <c r="R88">
        <v>1</v>
      </c>
      <c r="S88" t="s">
        <v>156</v>
      </c>
      <c r="T88">
        <v>1</v>
      </c>
      <c r="U88" t="s">
        <v>145</v>
      </c>
      <c r="V88" t="s">
        <v>146</v>
      </c>
      <c r="W88">
        <v>1</v>
      </c>
    </row>
    <row r="89" spans="2:23" x14ac:dyDescent="0.3">
      <c r="B89">
        <v>85</v>
      </c>
      <c r="C89" t="s">
        <v>134</v>
      </c>
      <c r="D89">
        <v>10</v>
      </c>
      <c r="E89" t="s">
        <v>148</v>
      </c>
      <c r="F89" t="s">
        <v>136</v>
      </c>
      <c r="G89">
        <v>2315</v>
      </c>
      <c r="H89" t="s">
        <v>149</v>
      </c>
      <c r="I89" t="s">
        <v>138</v>
      </c>
      <c r="J89">
        <v>3</v>
      </c>
      <c r="K89" t="s">
        <v>139</v>
      </c>
      <c r="L89" t="s">
        <v>140</v>
      </c>
      <c r="M89">
        <v>4</v>
      </c>
      <c r="N89" t="s">
        <v>141</v>
      </c>
      <c r="O89">
        <v>52</v>
      </c>
      <c r="P89" t="s">
        <v>142</v>
      </c>
      <c r="Q89" t="s">
        <v>143</v>
      </c>
      <c r="R89">
        <v>1</v>
      </c>
      <c r="S89" t="s">
        <v>156</v>
      </c>
      <c r="T89">
        <v>1</v>
      </c>
      <c r="U89" t="s">
        <v>152</v>
      </c>
      <c r="V89" t="s">
        <v>146</v>
      </c>
      <c r="W89">
        <v>1</v>
      </c>
    </row>
    <row r="90" spans="2:23" x14ac:dyDescent="0.3">
      <c r="B90">
        <v>86</v>
      </c>
      <c r="C90" t="s">
        <v>153</v>
      </c>
      <c r="D90">
        <v>12</v>
      </c>
      <c r="E90" t="s">
        <v>135</v>
      </c>
      <c r="F90" t="s">
        <v>174</v>
      </c>
      <c r="G90">
        <v>1412</v>
      </c>
      <c r="H90" t="s">
        <v>149</v>
      </c>
      <c r="I90" t="s">
        <v>150</v>
      </c>
      <c r="J90">
        <v>4</v>
      </c>
      <c r="K90" t="s">
        <v>151</v>
      </c>
      <c r="L90" t="s">
        <v>158</v>
      </c>
      <c r="M90">
        <v>2</v>
      </c>
      <c r="N90" t="s">
        <v>141</v>
      </c>
      <c r="O90">
        <v>29</v>
      </c>
      <c r="P90" t="s">
        <v>142</v>
      </c>
      <c r="Q90" t="s">
        <v>143</v>
      </c>
      <c r="R90">
        <v>2</v>
      </c>
      <c r="S90" t="s">
        <v>168</v>
      </c>
      <c r="T90">
        <v>1</v>
      </c>
      <c r="U90" t="s">
        <v>145</v>
      </c>
      <c r="V90" t="s">
        <v>146</v>
      </c>
      <c r="W90">
        <v>1</v>
      </c>
    </row>
    <row r="91" spans="2:23" x14ac:dyDescent="0.3">
      <c r="B91">
        <v>87</v>
      </c>
      <c r="C91" t="s">
        <v>147</v>
      </c>
      <c r="D91">
        <v>18</v>
      </c>
      <c r="E91" t="s">
        <v>135</v>
      </c>
      <c r="F91" t="s">
        <v>157</v>
      </c>
      <c r="G91">
        <v>1295</v>
      </c>
      <c r="H91" t="s">
        <v>149</v>
      </c>
      <c r="I91" t="s">
        <v>173</v>
      </c>
      <c r="J91">
        <v>4</v>
      </c>
      <c r="K91" t="s">
        <v>151</v>
      </c>
      <c r="L91" t="s">
        <v>140</v>
      </c>
      <c r="M91">
        <v>1</v>
      </c>
      <c r="N91" t="s">
        <v>159</v>
      </c>
      <c r="O91">
        <v>27</v>
      </c>
      <c r="P91" t="s">
        <v>142</v>
      </c>
      <c r="Q91" t="s">
        <v>143</v>
      </c>
      <c r="R91">
        <v>2</v>
      </c>
      <c r="S91" t="s">
        <v>144</v>
      </c>
      <c r="T91">
        <v>1</v>
      </c>
      <c r="U91" t="s">
        <v>152</v>
      </c>
      <c r="V91" t="s">
        <v>146</v>
      </c>
      <c r="W91">
        <v>1</v>
      </c>
    </row>
    <row r="92" spans="2:23" x14ac:dyDescent="0.3">
      <c r="B92">
        <v>88</v>
      </c>
      <c r="C92" t="s">
        <v>147</v>
      </c>
      <c r="D92">
        <v>36</v>
      </c>
      <c r="E92" t="s">
        <v>148</v>
      </c>
      <c r="F92" t="s">
        <v>154</v>
      </c>
      <c r="G92">
        <v>12612</v>
      </c>
      <c r="H92" t="s">
        <v>175</v>
      </c>
      <c r="I92" t="s">
        <v>150</v>
      </c>
      <c r="J92">
        <v>1</v>
      </c>
      <c r="K92" t="s">
        <v>139</v>
      </c>
      <c r="L92" t="s">
        <v>140</v>
      </c>
      <c r="M92">
        <v>4</v>
      </c>
      <c r="N92" t="s">
        <v>163</v>
      </c>
      <c r="O92">
        <v>47</v>
      </c>
      <c r="P92" t="s">
        <v>142</v>
      </c>
      <c r="Q92" t="s">
        <v>160</v>
      </c>
      <c r="R92">
        <v>1</v>
      </c>
      <c r="S92" t="s">
        <v>144</v>
      </c>
      <c r="T92">
        <v>2</v>
      </c>
      <c r="U92" t="s">
        <v>145</v>
      </c>
      <c r="V92" t="s">
        <v>146</v>
      </c>
      <c r="W92">
        <v>2</v>
      </c>
    </row>
    <row r="93" spans="2:23" x14ac:dyDescent="0.3">
      <c r="B93">
        <v>89</v>
      </c>
      <c r="C93" t="s">
        <v>134</v>
      </c>
      <c r="D93">
        <v>18</v>
      </c>
      <c r="E93" t="s">
        <v>148</v>
      </c>
      <c r="F93" t="s">
        <v>162</v>
      </c>
      <c r="G93">
        <v>2249</v>
      </c>
      <c r="H93" t="s">
        <v>175</v>
      </c>
      <c r="I93" t="s">
        <v>155</v>
      </c>
      <c r="J93">
        <v>4</v>
      </c>
      <c r="K93" t="s">
        <v>139</v>
      </c>
      <c r="L93" t="s">
        <v>140</v>
      </c>
      <c r="M93">
        <v>3</v>
      </c>
      <c r="N93" t="s">
        <v>166</v>
      </c>
      <c r="O93">
        <v>30</v>
      </c>
      <c r="P93" t="s">
        <v>142</v>
      </c>
      <c r="Q93" t="s">
        <v>143</v>
      </c>
      <c r="R93">
        <v>1</v>
      </c>
      <c r="S93" t="s">
        <v>168</v>
      </c>
      <c r="T93">
        <v>2</v>
      </c>
      <c r="U93" t="s">
        <v>145</v>
      </c>
      <c r="V93" t="s">
        <v>146</v>
      </c>
      <c r="W93">
        <v>1</v>
      </c>
    </row>
    <row r="94" spans="2:23" x14ac:dyDescent="0.3">
      <c r="B94">
        <v>90</v>
      </c>
      <c r="C94" t="s">
        <v>134</v>
      </c>
      <c r="D94">
        <v>12</v>
      </c>
      <c r="E94" t="s">
        <v>176</v>
      </c>
      <c r="F94" t="s">
        <v>184</v>
      </c>
      <c r="G94">
        <v>1108</v>
      </c>
      <c r="H94" t="s">
        <v>149</v>
      </c>
      <c r="I94" t="s">
        <v>155</v>
      </c>
      <c r="J94">
        <v>4</v>
      </c>
      <c r="K94" t="s">
        <v>139</v>
      </c>
      <c r="L94" t="s">
        <v>140</v>
      </c>
      <c r="M94">
        <v>3</v>
      </c>
      <c r="N94" t="s">
        <v>141</v>
      </c>
      <c r="O94">
        <v>28</v>
      </c>
      <c r="P94" t="s">
        <v>142</v>
      </c>
      <c r="Q94" t="s">
        <v>143</v>
      </c>
      <c r="R94">
        <v>2</v>
      </c>
      <c r="S94" t="s">
        <v>144</v>
      </c>
      <c r="T94">
        <v>1</v>
      </c>
      <c r="U94" t="s">
        <v>152</v>
      </c>
      <c r="V94" t="s">
        <v>146</v>
      </c>
      <c r="W94">
        <v>2</v>
      </c>
    </row>
    <row r="95" spans="2:23" x14ac:dyDescent="0.3">
      <c r="B95">
        <v>91</v>
      </c>
      <c r="C95" t="s">
        <v>153</v>
      </c>
      <c r="D95">
        <v>12</v>
      </c>
      <c r="E95" t="s">
        <v>135</v>
      </c>
      <c r="F95" t="s">
        <v>136</v>
      </c>
      <c r="G95">
        <v>618</v>
      </c>
      <c r="H95" t="s">
        <v>149</v>
      </c>
      <c r="I95" t="s">
        <v>138</v>
      </c>
      <c r="J95">
        <v>4</v>
      </c>
      <c r="K95" t="s">
        <v>139</v>
      </c>
      <c r="L95" t="s">
        <v>140</v>
      </c>
      <c r="M95">
        <v>4</v>
      </c>
      <c r="N95" t="s">
        <v>141</v>
      </c>
      <c r="O95">
        <v>56</v>
      </c>
      <c r="P95" t="s">
        <v>142</v>
      </c>
      <c r="Q95" t="s">
        <v>143</v>
      </c>
      <c r="R95">
        <v>1</v>
      </c>
      <c r="S95" t="s">
        <v>144</v>
      </c>
      <c r="T95">
        <v>1</v>
      </c>
      <c r="U95" t="s">
        <v>152</v>
      </c>
      <c r="V95" t="s">
        <v>146</v>
      </c>
      <c r="W95">
        <v>1</v>
      </c>
    </row>
    <row r="96" spans="2:23" x14ac:dyDescent="0.3">
      <c r="B96">
        <v>92</v>
      </c>
      <c r="C96" t="s">
        <v>134</v>
      </c>
      <c r="D96">
        <v>12</v>
      </c>
      <c r="E96" t="s">
        <v>135</v>
      </c>
      <c r="F96" t="s">
        <v>165</v>
      </c>
      <c r="G96">
        <v>1409</v>
      </c>
      <c r="H96" t="s">
        <v>149</v>
      </c>
      <c r="I96" t="s">
        <v>138</v>
      </c>
      <c r="J96">
        <v>4</v>
      </c>
      <c r="K96" t="s">
        <v>139</v>
      </c>
      <c r="L96" t="s">
        <v>140</v>
      </c>
      <c r="M96">
        <v>3</v>
      </c>
      <c r="N96" t="s">
        <v>141</v>
      </c>
      <c r="O96">
        <v>54</v>
      </c>
      <c r="P96" t="s">
        <v>142</v>
      </c>
      <c r="Q96" t="s">
        <v>143</v>
      </c>
      <c r="R96">
        <v>1</v>
      </c>
      <c r="S96" t="s">
        <v>144</v>
      </c>
      <c r="T96">
        <v>1</v>
      </c>
      <c r="U96" t="s">
        <v>152</v>
      </c>
      <c r="V96" t="s">
        <v>146</v>
      </c>
      <c r="W96">
        <v>1</v>
      </c>
    </row>
    <row r="97" spans="2:23" x14ac:dyDescent="0.3">
      <c r="B97">
        <v>93</v>
      </c>
      <c r="C97" t="s">
        <v>153</v>
      </c>
      <c r="D97">
        <v>12</v>
      </c>
      <c r="E97" t="s">
        <v>135</v>
      </c>
      <c r="F97" t="s">
        <v>136</v>
      </c>
      <c r="G97">
        <v>797</v>
      </c>
      <c r="H97" t="s">
        <v>137</v>
      </c>
      <c r="I97" t="s">
        <v>138</v>
      </c>
      <c r="J97">
        <v>4</v>
      </c>
      <c r="K97" t="s">
        <v>151</v>
      </c>
      <c r="L97" t="s">
        <v>140</v>
      </c>
      <c r="M97">
        <v>3</v>
      </c>
      <c r="N97" t="s">
        <v>159</v>
      </c>
      <c r="O97">
        <v>33</v>
      </c>
      <c r="P97" t="s">
        <v>177</v>
      </c>
      <c r="Q97" t="s">
        <v>143</v>
      </c>
      <c r="R97">
        <v>1</v>
      </c>
      <c r="S97" t="s">
        <v>156</v>
      </c>
      <c r="T97">
        <v>2</v>
      </c>
      <c r="U97" t="s">
        <v>152</v>
      </c>
      <c r="V97" t="s">
        <v>146</v>
      </c>
      <c r="W97">
        <v>2</v>
      </c>
    </row>
    <row r="98" spans="2:23" x14ac:dyDescent="0.3">
      <c r="B98">
        <v>94</v>
      </c>
      <c r="C98" t="s">
        <v>179</v>
      </c>
      <c r="D98">
        <v>24</v>
      </c>
      <c r="E98" t="s">
        <v>135</v>
      </c>
      <c r="F98" t="s">
        <v>157</v>
      </c>
      <c r="G98">
        <v>3617</v>
      </c>
      <c r="H98" t="s">
        <v>137</v>
      </c>
      <c r="I98" t="s">
        <v>138</v>
      </c>
      <c r="J98">
        <v>4</v>
      </c>
      <c r="K98" t="s">
        <v>139</v>
      </c>
      <c r="L98" t="s">
        <v>182</v>
      </c>
      <c r="M98">
        <v>4</v>
      </c>
      <c r="N98" t="s">
        <v>163</v>
      </c>
      <c r="O98">
        <v>20</v>
      </c>
      <c r="P98" t="s">
        <v>142</v>
      </c>
      <c r="Q98" t="s">
        <v>167</v>
      </c>
      <c r="R98">
        <v>2</v>
      </c>
      <c r="S98" t="s">
        <v>144</v>
      </c>
      <c r="T98">
        <v>1</v>
      </c>
      <c r="U98" t="s">
        <v>152</v>
      </c>
      <c r="V98" t="s">
        <v>146</v>
      </c>
      <c r="W98">
        <v>1</v>
      </c>
    </row>
    <row r="99" spans="2:23" x14ac:dyDescent="0.3">
      <c r="B99">
        <v>95</v>
      </c>
      <c r="C99" t="s">
        <v>147</v>
      </c>
      <c r="D99">
        <v>12</v>
      </c>
      <c r="E99" t="s">
        <v>148</v>
      </c>
      <c r="F99" t="s">
        <v>162</v>
      </c>
      <c r="G99">
        <v>1318</v>
      </c>
      <c r="H99" t="s">
        <v>169</v>
      </c>
      <c r="I99" t="s">
        <v>138</v>
      </c>
      <c r="J99">
        <v>4</v>
      </c>
      <c r="K99" t="s">
        <v>139</v>
      </c>
      <c r="L99" t="s">
        <v>140</v>
      </c>
      <c r="M99">
        <v>4</v>
      </c>
      <c r="N99" t="s">
        <v>141</v>
      </c>
      <c r="O99">
        <v>54</v>
      </c>
      <c r="P99" t="s">
        <v>142</v>
      </c>
      <c r="Q99" t="s">
        <v>143</v>
      </c>
      <c r="R99">
        <v>1</v>
      </c>
      <c r="S99" t="s">
        <v>144</v>
      </c>
      <c r="T99">
        <v>1</v>
      </c>
      <c r="U99" t="s">
        <v>145</v>
      </c>
      <c r="V99" t="s">
        <v>146</v>
      </c>
      <c r="W99">
        <v>1</v>
      </c>
    </row>
    <row r="100" spans="2:23" x14ac:dyDescent="0.3">
      <c r="B100">
        <v>96</v>
      </c>
      <c r="C100" t="s">
        <v>147</v>
      </c>
      <c r="D100">
        <v>54</v>
      </c>
      <c r="E100" t="s">
        <v>176</v>
      </c>
      <c r="F100" t="s">
        <v>174</v>
      </c>
      <c r="G100">
        <v>15945</v>
      </c>
      <c r="H100" t="s">
        <v>149</v>
      </c>
      <c r="I100" t="s">
        <v>173</v>
      </c>
      <c r="J100">
        <v>3</v>
      </c>
      <c r="K100" t="s">
        <v>139</v>
      </c>
      <c r="L100" t="s">
        <v>140</v>
      </c>
      <c r="M100">
        <v>4</v>
      </c>
      <c r="N100" t="s">
        <v>163</v>
      </c>
      <c r="O100">
        <v>58</v>
      </c>
      <c r="P100" t="s">
        <v>142</v>
      </c>
      <c r="Q100" t="s">
        <v>167</v>
      </c>
      <c r="R100">
        <v>1</v>
      </c>
      <c r="S100" t="s">
        <v>144</v>
      </c>
      <c r="T100">
        <v>1</v>
      </c>
      <c r="U100" t="s">
        <v>145</v>
      </c>
      <c r="V100" t="s">
        <v>146</v>
      </c>
      <c r="W100">
        <v>2</v>
      </c>
    </row>
    <row r="101" spans="2:23" x14ac:dyDescent="0.3">
      <c r="B101">
        <v>97</v>
      </c>
      <c r="C101" t="s">
        <v>153</v>
      </c>
      <c r="D101">
        <v>12</v>
      </c>
      <c r="E101" t="s">
        <v>135</v>
      </c>
      <c r="F101" t="s">
        <v>154</v>
      </c>
      <c r="G101">
        <v>2012</v>
      </c>
      <c r="H101" t="s">
        <v>137</v>
      </c>
      <c r="I101" t="s">
        <v>155</v>
      </c>
      <c r="J101">
        <v>4</v>
      </c>
      <c r="K101" t="s">
        <v>151</v>
      </c>
      <c r="L101" t="s">
        <v>140</v>
      </c>
      <c r="M101">
        <v>2</v>
      </c>
      <c r="N101" t="s">
        <v>166</v>
      </c>
      <c r="O101">
        <v>61</v>
      </c>
      <c r="P101" t="s">
        <v>142</v>
      </c>
      <c r="Q101" t="s">
        <v>143</v>
      </c>
      <c r="R101">
        <v>1</v>
      </c>
      <c r="S101" t="s">
        <v>144</v>
      </c>
      <c r="T101">
        <v>1</v>
      </c>
      <c r="U101" t="s">
        <v>152</v>
      </c>
      <c r="V101" t="s">
        <v>146</v>
      </c>
      <c r="W101">
        <v>1</v>
      </c>
    </row>
    <row r="102" spans="2:23" x14ac:dyDescent="0.3">
      <c r="B102">
        <v>98</v>
      </c>
      <c r="C102" t="s">
        <v>147</v>
      </c>
      <c r="D102">
        <v>18</v>
      </c>
      <c r="E102" t="s">
        <v>148</v>
      </c>
      <c r="F102" t="s">
        <v>174</v>
      </c>
      <c r="G102">
        <v>2622</v>
      </c>
      <c r="H102" t="s">
        <v>175</v>
      </c>
      <c r="I102" t="s">
        <v>150</v>
      </c>
      <c r="J102">
        <v>4</v>
      </c>
      <c r="K102" t="s">
        <v>139</v>
      </c>
      <c r="L102" t="s">
        <v>140</v>
      </c>
      <c r="M102">
        <v>4</v>
      </c>
      <c r="N102" t="s">
        <v>166</v>
      </c>
      <c r="O102">
        <v>34</v>
      </c>
      <c r="P102" t="s">
        <v>142</v>
      </c>
      <c r="Q102" t="s">
        <v>143</v>
      </c>
      <c r="R102">
        <v>1</v>
      </c>
      <c r="S102" t="s">
        <v>144</v>
      </c>
      <c r="T102">
        <v>1</v>
      </c>
      <c r="U102" t="s">
        <v>152</v>
      </c>
      <c r="V102" t="s">
        <v>146</v>
      </c>
      <c r="W102">
        <v>1</v>
      </c>
    </row>
    <row r="103" spans="2:23" x14ac:dyDescent="0.3">
      <c r="B103">
        <v>99</v>
      </c>
      <c r="C103" t="s">
        <v>147</v>
      </c>
      <c r="D103">
        <v>36</v>
      </c>
      <c r="E103" t="s">
        <v>135</v>
      </c>
      <c r="F103" t="s">
        <v>136</v>
      </c>
      <c r="G103">
        <v>2337</v>
      </c>
      <c r="H103" t="s">
        <v>149</v>
      </c>
      <c r="I103" t="s">
        <v>138</v>
      </c>
      <c r="J103">
        <v>4</v>
      </c>
      <c r="K103" t="s">
        <v>139</v>
      </c>
      <c r="L103" t="s">
        <v>140</v>
      </c>
      <c r="M103">
        <v>4</v>
      </c>
      <c r="N103" t="s">
        <v>141</v>
      </c>
      <c r="O103">
        <v>36</v>
      </c>
      <c r="P103" t="s">
        <v>142</v>
      </c>
      <c r="Q103" t="s">
        <v>143</v>
      </c>
      <c r="R103">
        <v>1</v>
      </c>
      <c r="S103" t="s">
        <v>144</v>
      </c>
      <c r="T103">
        <v>1</v>
      </c>
      <c r="U103" t="s">
        <v>152</v>
      </c>
      <c r="V103" t="s">
        <v>146</v>
      </c>
      <c r="W103">
        <v>1</v>
      </c>
    </row>
    <row r="104" spans="2:23" x14ac:dyDescent="0.3">
      <c r="B104">
        <v>100</v>
      </c>
      <c r="C104" t="s">
        <v>147</v>
      </c>
      <c r="D104">
        <v>20</v>
      </c>
      <c r="E104" t="s">
        <v>161</v>
      </c>
      <c r="F104" t="s">
        <v>165</v>
      </c>
      <c r="G104">
        <v>7057</v>
      </c>
      <c r="H104" t="s">
        <v>137</v>
      </c>
      <c r="I104" t="s">
        <v>155</v>
      </c>
      <c r="J104">
        <v>3</v>
      </c>
      <c r="K104" t="s">
        <v>139</v>
      </c>
      <c r="L104" t="s">
        <v>140</v>
      </c>
      <c r="M104">
        <v>4</v>
      </c>
      <c r="N104" t="s">
        <v>159</v>
      </c>
      <c r="O104">
        <v>36</v>
      </c>
      <c r="P104" t="s">
        <v>177</v>
      </c>
      <c r="Q104" t="s">
        <v>167</v>
      </c>
      <c r="R104">
        <v>2</v>
      </c>
      <c r="S104" t="s">
        <v>168</v>
      </c>
      <c r="T104">
        <v>2</v>
      </c>
      <c r="U104" t="s">
        <v>145</v>
      </c>
      <c r="V104" t="s">
        <v>146</v>
      </c>
      <c r="W104">
        <v>1</v>
      </c>
    </row>
    <row r="105" spans="2:23" x14ac:dyDescent="0.3">
      <c r="B105">
        <v>101</v>
      </c>
      <c r="C105" t="s">
        <v>153</v>
      </c>
      <c r="D105">
        <v>24</v>
      </c>
      <c r="E105" t="s">
        <v>148</v>
      </c>
      <c r="F105" t="s">
        <v>162</v>
      </c>
      <c r="G105">
        <v>1469</v>
      </c>
      <c r="H105" t="s">
        <v>175</v>
      </c>
      <c r="I105" t="s">
        <v>138</v>
      </c>
      <c r="J105">
        <v>4</v>
      </c>
      <c r="K105" t="s">
        <v>172</v>
      </c>
      <c r="L105" t="s">
        <v>140</v>
      </c>
      <c r="M105">
        <v>4</v>
      </c>
      <c r="N105" t="s">
        <v>141</v>
      </c>
      <c r="O105">
        <v>41</v>
      </c>
      <c r="P105" t="s">
        <v>142</v>
      </c>
      <c r="Q105" t="s">
        <v>167</v>
      </c>
      <c r="R105">
        <v>1</v>
      </c>
      <c r="S105" t="s">
        <v>156</v>
      </c>
      <c r="T105">
        <v>1</v>
      </c>
      <c r="U105" t="s">
        <v>152</v>
      </c>
      <c r="V105" t="s">
        <v>146</v>
      </c>
      <c r="W105">
        <v>1</v>
      </c>
    </row>
    <row r="106" spans="2:23" x14ac:dyDescent="0.3">
      <c r="B106">
        <v>102</v>
      </c>
      <c r="C106" t="s">
        <v>147</v>
      </c>
      <c r="D106">
        <v>36</v>
      </c>
      <c r="E106" t="s">
        <v>148</v>
      </c>
      <c r="F106" t="s">
        <v>136</v>
      </c>
      <c r="G106">
        <v>2323</v>
      </c>
      <c r="H106" t="s">
        <v>149</v>
      </c>
      <c r="I106" t="s">
        <v>155</v>
      </c>
      <c r="J106">
        <v>4</v>
      </c>
      <c r="K106" t="s">
        <v>139</v>
      </c>
      <c r="L106" t="s">
        <v>140</v>
      </c>
      <c r="M106">
        <v>4</v>
      </c>
      <c r="N106" t="s">
        <v>166</v>
      </c>
      <c r="O106">
        <v>24</v>
      </c>
      <c r="P106" t="s">
        <v>142</v>
      </c>
      <c r="Q106" t="s">
        <v>167</v>
      </c>
      <c r="R106">
        <v>1</v>
      </c>
      <c r="S106" t="s">
        <v>144</v>
      </c>
      <c r="T106">
        <v>1</v>
      </c>
      <c r="U106" t="s">
        <v>152</v>
      </c>
      <c r="V106" t="s">
        <v>146</v>
      </c>
      <c r="W106">
        <v>1</v>
      </c>
    </row>
    <row r="107" spans="2:23" x14ac:dyDescent="0.3">
      <c r="B107">
        <v>103</v>
      </c>
      <c r="C107" t="s">
        <v>153</v>
      </c>
      <c r="D107">
        <v>6</v>
      </c>
      <c r="E107" t="s">
        <v>161</v>
      </c>
      <c r="F107" t="s">
        <v>136</v>
      </c>
      <c r="G107">
        <v>932</v>
      </c>
      <c r="H107" t="s">
        <v>149</v>
      </c>
      <c r="I107" t="s">
        <v>150</v>
      </c>
      <c r="J107">
        <v>3</v>
      </c>
      <c r="K107" t="s">
        <v>151</v>
      </c>
      <c r="L107" t="s">
        <v>140</v>
      </c>
      <c r="M107">
        <v>2</v>
      </c>
      <c r="N107" t="s">
        <v>141</v>
      </c>
      <c r="O107">
        <v>24</v>
      </c>
      <c r="P107" t="s">
        <v>142</v>
      </c>
      <c r="Q107" t="s">
        <v>143</v>
      </c>
      <c r="R107">
        <v>1</v>
      </c>
      <c r="S107" t="s">
        <v>144</v>
      </c>
      <c r="T107">
        <v>1</v>
      </c>
      <c r="U107" t="s">
        <v>152</v>
      </c>
      <c r="V107" t="s">
        <v>146</v>
      </c>
      <c r="W107">
        <v>1</v>
      </c>
    </row>
    <row r="108" spans="2:23" x14ac:dyDescent="0.3">
      <c r="B108">
        <v>104</v>
      </c>
      <c r="C108" t="s">
        <v>147</v>
      </c>
      <c r="D108">
        <v>9</v>
      </c>
      <c r="E108" t="s">
        <v>135</v>
      </c>
      <c r="F108" t="s">
        <v>157</v>
      </c>
      <c r="G108">
        <v>1919</v>
      </c>
      <c r="H108" t="s">
        <v>149</v>
      </c>
      <c r="I108" t="s">
        <v>155</v>
      </c>
      <c r="J108">
        <v>4</v>
      </c>
      <c r="K108" t="s">
        <v>139</v>
      </c>
      <c r="L108" t="s">
        <v>140</v>
      </c>
      <c r="M108">
        <v>3</v>
      </c>
      <c r="N108" t="s">
        <v>166</v>
      </c>
      <c r="O108">
        <v>35</v>
      </c>
      <c r="P108" t="s">
        <v>142</v>
      </c>
      <c r="Q108" t="s">
        <v>167</v>
      </c>
      <c r="R108">
        <v>1</v>
      </c>
      <c r="S108" t="s">
        <v>144</v>
      </c>
      <c r="T108">
        <v>1</v>
      </c>
      <c r="U108" t="s">
        <v>145</v>
      </c>
      <c r="V108" t="s">
        <v>146</v>
      </c>
      <c r="W108">
        <v>1</v>
      </c>
    </row>
    <row r="109" spans="2:23" x14ac:dyDescent="0.3">
      <c r="B109">
        <v>105</v>
      </c>
      <c r="C109" t="s">
        <v>153</v>
      </c>
      <c r="D109">
        <v>12</v>
      </c>
      <c r="E109" t="s">
        <v>148</v>
      </c>
      <c r="F109" t="s">
        <v>165</v>
      </c>
      <c r="G109">
        <v>2445</v>
      </c>
      <c r="H109" t="s">
        <v>137</v>
      </c>
      <c r="I109" t="s">
        <v>173</v>
      </c>
      <c r="J109">
        <v>2</v>
      </c>
      <c r="K109" t="s">
        <v>172</v>
      </c>
      <c r="L109" t="s">
        <v>140</v>
      </c>
      <c r="M109">
        <v>4</v>
      </c>
      <c r="N109" t="s">
        <v>166</v>
      </c>
      <c r="O109">
        <v>26</v>
      </c>
      <c r="P109" t="s">
        <v>142</v>
      </c>
      <c r="Q109" t="s">
        <v>167</v>
      </c>
      <c r="R109">
        <v>1</v>
      </c>
      <c r="S109" t="s">
        <v>144</v>
      </c>
      <c r="T109">
        <v>1</v>
      </c>
      <c r="U109" t="s">
        <v>145</v>
      </c>
      <c r="V109" t="s">
        <v>146</v>
      </c>
      <c r="W109">
        <v>1</v>
      </c>
    </row>
    <row r="110" spans="2:23" x14ac:dyDescent="0.3">
      <c r="B110">
        <v>106</v>
      </c>
      <c r="C110" t="s">
        <v>147</v>
      </c>
      <c r="D110">
        <v>24</v>
      </c>
      <c r="E110" t="s">
        <v>135</v>
      </c>
      <c r="F110" t="s">
        <v>186</v>
      </c>
      <c r="G110">
        <v>11938</v>
      </c>
      <c r="H110" t="s">
        <v>149</v>
      </c>
      <c r="I110" t="s">
        <v>150</v>
      </c>
      <c r="J110">
        <v>2</v>
      </c>
      <c r="K110" t="s">
        <v>139</v>
      </c>
      <c r="L110" t="s">
        <v>182</v>
      </c>
      <c r="M110">
        <v>3</v>
      </c>
      <c r="N110" t="s">
        <v>166</v>
      </c>
      <c r="O110">
        <v>39</v>
      </c>
      <c r="P110" t="s">
        <v>142</v>
      </c>
      <c r="Q110" t="s">
        <v>143</v>
      </c>
      <c r="R110">
        <v>2</v>
      </c>
      <c r="S110" t="s">
        <v>168</v>
      </c>
      <c r="T110">
        <v>2</v>
      </c>
      <c r="U110" t="s">
        <v>145</v>
      </c>
      <c r="V110" t="s">
        <v>146</v>
      </c>
      <c r="W110">
        <v>2</v>
      </c>
    </row>
    <row r="111" spans="2:23" x14ac:dyDescent="0.3">
      <c r="B111">
        <v>107</v>
      </c>
      <c r="C111" t="s">
        <v>153</v>
      </c>
      <c r="D111">
        <v>18</v>
      </c>
      <c r="E111" t="s">
        <v>180</v>
      </c>
      <c r="F111" t="s">
        <v>162</v>
      </c>
      <c r="G111">
        <v>6458</v>
      </c>
      <c r="H111" t="s">
        <v>149</v>
      </c>
      <c r="I111" t="s">
        <v>138</v>
      </c>
      <c r="J111">
        <v>2</v>
      </c>
      <c r="K111" t="s">
        <v>139</v>
      </c>
      <c r="L111" t="s">
        <v>140</v>
      </c>
      <c r="M111">
        <v>4</v>
      </c>
      <c r="N111" t="s">
        <v>163</v>
      </c>
      <c r="O111">
        <v>39</v>
      </c>
      <c r="P111" t="s">
        <v>177</v>
      </c>
      <c r="Q111" t="s">
        <v>143</v>
      </c>
      <c r="R111">
        <v>2</v>
      </c>
      <c r="S111" t="s">
        <v>168</v>
      </c>
      <c r="T111">
        <v>2</v>
      </c>
      <c r="U111" t="s">
        <v>145</v>
      </c>
      <c r="V111" t="s">
        <v>146</v>
      </c>
      <c r="W111">
        <v>2</v>
      </c>
    </row>
    <row r="112" spans="2:23" x14ac:dyDescent="0.3">
      <c r="B112">
        <v>108</v>
      </c>
      <c r="C112" t="s">
        <v>147</v>
      </c>
      <c r="D112">
        <v>12</v>
      </c>
      <c r="E112" t="s">
        <v>148</v>
      </c>
      <c r="F112" t="s">
        <v>162</v>
      </c>
      <c r="G112">
        <v>6078</v>
      </c>
      <c r="H112" t="s">
        <v>149</v>
      </c>
      <c r="I112" t="s">
        <v>155</v>
      </c>
      <c r="J112">
        <v>2</v>
      </c>
      <c r="K112" t="s">
        <v>139</v>
      </c>
      <c r="L112" t="s">
        <v>140</v>
      </c>
      <c r="M112">
        <v>2</v>
      </c>
      <c r="N112" t="s">
        <v>166</v>
      </c>
      <c r="O112">
        <v>32</v>
      </c>
      <c r="P112" t="s">
        <v>142</v>
      </c>
      <c r="Q112" t="s">
        <v>143</v>
      </c>
      <c r="R112">
        <v>1</v>
      </c>
      <c r="S112" t="s">
        <v>144</v>
      </c>
      <c r="T112">
        <v>1</v>
      </c>
      <c r="U112" t="s">
        <v>152</v>
      </c>
      <c r="V112" t="s">
        <v>146</v>
      </c>
      <c r="W112">
        <v>1</v>
      </c>
    </row>
    <row r="113" spans="2:23" x14ac:dyDescent="0.3">
      <c r="B113">
        <v>109</v>
      </c>
      <c r="C113" t="s">
        <v>134</v>
      </c>
      <c r="D113">
        <v>24</v>
      </c>
      <c r="E113" t="s">
        <v>148</v>
      </c>
      <c r="F113" t="s">
        <v>157</v>
      </c>
      <c r="G113">
        <v>7721</v>
      </c>
      <c r="H113" t="s">
        <v>137</v>
      </c>
      <c r="I113" t="s">
        <v>173</v>
      </c>
      <c r="J113">
        <v>1</v>
      </c>
      <c r="K113" t="s">
        <v>151</v>
      </c>
      <c r="L113" t="s">
        <v>140</v>
      </c>
      <c r="M113">
        <v>2</v>
      </c>
      <c r="N113" t="s">
        <v>159</v>
      </c>
      <c r="O113">
        <v>30</v>
      </c>
      <c r="P113" t="s">
        <v>142</v>
      </c>
      <c r="Q113" t="s">
        <v>143</v>
      </c>
      <c r="R113">
        <v>1</v>
      </c>
      <c r="S113" t="s">
        <v>144</v>
      </c>
      <c r="T113">
        <v>1</v>
      </c>
      <c r="U113" t="s">
        <v>145</v>
      </c>
      <c r="V113" t="s">
        <v>178</v>
      </c>
      <c r="W113">
        <v>1</v>
      </c>
    </row>
    <row r="114" spans="2:23" x14ac:dyDescent="0.3">
      <c r="B114">
        <v>110</v>
      </c>
      <c r="C114" t="s">
        <v>147</v>
      </c>
      <c r="D114">
        <v>14</v>
      </c>
      <c r="E114" t="s">
        <v>148</v>
      </c>
      <c r="F114" t="s">
        <v>174</v>
      </c>
      <c r="G114">
        <v>1410</v>
      </c>
      <c r="H114" t="s">
        <v>164</v>
      </c>
      <c r="I114" t="s">
        <v>138</v>
      </c>
      <c r="J114">
        <v>1</v>
      </c>
      <c r="K114" t="s">
        <v>172</v>
      </c>
      <c r="L114" t="s">
        <v>140</v>
      </c>
      <c r="M114">
        <v>2</v>
      </c>
      <c r="N114" t="s">
        <v>141</v>
      </c>
      <c r="O114">
        <v>35</v>
      </c>
      <c r="P114" t="s">
        <v>142</v>
      </c>
      <c r="Q114" t="s">
        <v>143</v>
      </c>
      <c r="R114">
        <v>1</v>
      </c>
      <c r="S114" t="s">
        <v>144</v>
      </c>
      <c r="T114">
        <v>1</v>
      </c>
      <c r="U114" t="s">
        <v>145</v>
      </c>
      <c r="V114" t="s">
        <v>146</v>
      </c>
      <c r="W114">
        <v>1</v>
      </c>
    </row>
    <row r="115" spans="2:23" x14ac:dyDescent="0.3">
      <c r="B115">
        <v>111</v>
      </c>
      <c r="C115" t="s">
        <v>147</v>
      </c>
      <c r="D115">
        <v>6</v>
      </c>
      <c r="E115" t="s">
        <v>161</v>
      </c>
      <c r="F115" t="s">
        <v>174</v>
      </c>
      <c r="G115">
        <v>1449</v>
      </c>
      <c r="H115" t="s">
        <v>175</v>
      </c>
      <c r="I115" t="s">
        <v>138</v>
      </c>
      <c r="J115">
        <v>1</v>
      </c>
      <c r="K115" t="s">
        <v>170</v>
      </c>
      <c r="L115" t="s">
        <v>140</v>
      </c>
      <c r="M115">
        <v>2</v>
      </c>
      <c r="N115" t="s">
        <v>166</v>
      </c>
      <c r="O115">
        <v>31</v>
      </c>
      <c r="P115" t="s">
        <v>177</v>
      </c>
      <c r="Q115" t="s">
        <v>143</v>
      </c>
      <c r="R115">
        <v>2</v>
      </c>
      <c r="S115" t="s">
        <v>144</v>
      </c>
      <c r="T115">
        <v>2</v>
      </c>
      <c r="U115" t="s">
        <v>152</v>
      </c>
      <c r="V115" t="s">
        <v>146</v>
      </c>
      <c r="W115">
        <v>1</v>
      </c>
    </row>
    <row r="116" spans="2:23" x14ac:dyDescent="0.3">
      <c r="B116">
        <v>112</v>
      </c>
      <c r="C116" t="s">
        <v>179</v>
      </c>
      <c r="D116">
        <v>15</v>
      </c>
      <c r="E116" t="s">
        <v>148</v>
      </c>
      <c r="F116" t="s">
        <v>154</v>
      </c>
      <c r="G116">
        <v>392</v>
      </c>
      <c r="H116" t="s">
        <v>149</v>
      </c>
      <c r="I116" t="s">
        <v>173</v>
      </c>
      <c r="J116">
        <v>4</v>
      </c>
      <c r="K116" t="s">
        <v>151</v>
      </c>
      <c r="L116" t="s">
        <v>140</v>
      </c>
      <c r="M116">
        <v>4</v>
      </c>
      <c r="N116" t="s">
        <v>159</v>
      </c>
      <c r="O116">
        <v>23</v>
      </c>
      <c r="P116" t="s">
        <v>142</v>
      </c>
      <c r="Q116" t="s">
        <v>167</v>
      </c>
      <c r="R116">
        <v>1</v>
      </c>
      <c r="S116" t="s">
        <v>144</v>
      </c>
      <c r="T116">
        <v>1</v>
      </c>
      <c r="U116" t="s">
        <v>145</v>
      </c>
      <c r="V116" t="s">
        <v>146</v>
      </c>
      <c r="W116">
        <v>1</v>
      </c>
    </row>
    <row r="117" spans="2:23" x14ac:dyDescent="0.3">
      <c r="B117">
        <v>113</v>
      </c>
      <c r="C117" t="s">
        <v>147</v>
      </c>
      <c r="D117">
        <v>18</v>
      </c>
      <c r="E117" t="s">
        <v>148</v>
      </c>
      <c r="F117" t="s">
        <v>162</v>
      </c>
      <c r="G117">
        <v>6260</v>
      </c>
      <c r="H117" t="s">
        <v>149</v>
      </c>
      <c r="I117" t="s">
        <v>155</v>
      </c>
      <c r="J117">
        <v>3</v>
      </c>
      <c r="K117" t="s">
        <v>139</v>
      </c>
      <c r="L117" t="s">
        <v>140</v>
      </c>
      <c r="M117">
        <v>3</v>
      </c>
      <c r="N117" t="s">
        <v>141</v>
      </c>
      <c r="O117">
        <v>28</v>
      </c>
      <c r="P117" t="s">
        <v>142</v>
      </c>
      <c r="Q117" t="s">
        <v>167</v>
      </c>
      <c r="R117">
        <v>1</v>
      </c>
      <c r="S117" t="s">
        <v>156</v>
      </c>
      <c r="T117">
        <v>1</v>
      </c>
      <c r="U117" t="s">
        <v>152</v>
      </c>
      <c r="V117" t="s">
        <v>146</v>
      </c>
      <c r="W117">
        <v>1</v>
      </c>
    </row>
    <row r="118" spans="2:23" x14ac:dyDescent="0.3">
      <c r="B118">
        <v>114</v>
      </c>
      <c r="C118" t="s">
        <v>153</v>
      </c>
      <c r="D118">
        <v>36</v>
      </c>
      <c r="E118" t="s">
        <v>135</v>
      </c>
      <c r="F118" t="s">
        <v>162</v>
      </c>
      <c r="G118">
        <v>7855</v>
      </c>
      <c r="H118" t="s">
        <v>149</v>
      </c>
      <c r="I118" t="s">
        <v>150</v>
      </c>
      <c r="J118">
        <v>4</v>
      </c>
      <c r="K118" t="s">
        <v>151</v>
      </c>
      <c r="L118" t="s">
        <v>140</v>
      </c>
      <c r="M118">
        <v>2</v>
      </c>
      <c r="N118" t="s">
        <v>141</v>
      </c>
      <c r="O118">
        <v>25</v>
      </c>
      <c r="P118" t="s">
        <v>181</v>
      </c>
      <c r="Q118" t="s">
        <v>143</v>
      </c>
      <c r="R118">
        <v>2</v>
      </c>
      <c r="S118" t="s">
        <v>144</v>
      </c>
      <c r="T118">
        <v>1</v>
      </c>
      <c r="U118" t="s">
        <v>145</v>
      </c>
      <c r="V118" t="s">
        <v>146</v>
      </c>
      <c r="W118">
        <v>2</v>
      </c>
    </row>
    <row r="119" spans="2:23" x14ac:dyDescent="0.3">
      <c r="B119">
        <v>115</v>
      </c>
      <c r="C119" t="s">
        <v>134</v>
      </c>
      <c r="D119">
        <v>12</v>
      </c>
      <c r="E119" t="s">
        <v>148</v>
      </c>
      <c r="F119" t="s">
        <v>136</v>
      </c>
      <c r="G119">
        <v>1680</v>
      </c>
      <c r="H119" t="s">
        <v>164</v>
      </c>
      <c r="I119" t="s">
        <v>138</v>
      </c>
      <c r="J119">
        <v>3</v>
      </c>
      <c r="K119" t="s">
        <v>172</v>
      </c>
      <c r="L119" t="s">
        <v>140</v>
      </c>
      <c r="M119">
        <v>1</v>
      </c>
      <c r="N119" t="s">
        <v>141</v>
      </c>
      <c r="O119">
        <v>35</v>
      </c>
      <c r="P119" t="s">
        <v>142</v>
      </c>
      <c r="Q119" t="s">
        <v>143</v>
      </c>
      <c r="R119">
        <v>1</v>
      </c>
      <c r="S119" t="s">
        <v>144</v>
      </c>
      <c r="T119">
        <v>1</v>
      </c>
      <c r="U119" t="s">
        <v>152</v>
      </c>
      <c r="V119" t="s">
        <v>146</v>
      </c>
      <c r="W119">
        <v>1</v>
      </c>
    </row>
    <row r="120" spans="2:23" x14ac:dyDescent="0.3">
      <c r="B120">
        <v>116</v>
      </c>
      <c r="C120" t="s">
        <v>153</v>
      </c>
      <c r="D120">
        <v>48</v>
      </c>
      <c r="E120" t="s">
        <v>135</v>
      </c>
      <c r="F120" t="s">
        <v>136</v>
      </c>
      <c r="G120">
        <v>3578</v>
      </c>
      <c r="H120" t="s">
        <v>137</v>
      </c>
      <c r="I120" t="s">
        <v>138</v>
      </c>
      <c r="J120">
        <v>4</v>
      </c>
      <c r="K120" t="s">
        <v>139</v>
      </c>
      <c r="L120" t="s">
        <v>140</v>
      </c>
      <c r="M120">
        <v>1</v>
      </c>
      <c r="N120" t="s">
        <v>141</v>
      </c>
      <c r="O120">
        <v>47</v>
      </c>
      <c r="P120" t="s">
        <v>142</v>
      </c>
      <c r="Q120" t="s">
        <v>143</v>
      </c>
      <c r="R120">
        <v>1</v>
      </c>
      <c r="S120" t="s">
        <v>144</v>
      </c>
      <c r="T120">
        <v>1</v>
      </c>
      <c r="U120" t="s">
        <v>145</v>
      </c>
      <c r="V120" t="s">
        <v>146</v>
      </c>
      <c r="W120">
        <v>1</v>
      </c>
    </row>
    <row r="121" spans="2:23" x14ac:dyDescent="0.3">
      <c r="B121">
        <v>117</v>
      </c>
      <c r="C121" t="s">
        <v>134</v>
      </c>
      <c r="D121">
        <v>42</v>
      </c>
      <c r="E121" t="s">
        <v>148</v>
      </c>
      <c r="F121" t="s">
        <v>136</v>
      </c>
      <c r="G121">
        <v>7174</v>
      </c>
      <c r="H121" t="s">
        <v>137</v>
      </c>
      <c r="I121" t="s">
        <v>155</v>
      </c>
      <c r="J121">
        <v>4</v>
      </c>
      <c r="K121" t="s">
        <v>151</v>
      </c>
      <c r="L121" t="s">
        <v>140</v>
      </c>
      <c r="M121">
        <v>3</v>
      </c>
      <c r="N121" t="s">
        <v>166</v>
      </c>
      <c r="O121">
        <v>30</v>
      </c>
      <c r="P121" t="s">
        <v>142</v>
      </c>
      <c r="Q121" t="s">
        <v>143</v>
      </c>
      <c r="R121">
        <v>1</v>
      </c>
      <c r="S121" t="s">
        <v>168</v>
      </c>
      <c r="T121">
        <v>1</v>
      </c>
      <c r="U121" t="s">
        <v>145</v>
      </c>
      <c r="V121" t="s">
        <v>146</v>
      </c>
      <c r="W121">
        <v>2</v>
      </c>
    </row>
    <row r="122" spans="2:23" x14ac:dyDescent="0.3">
      <c r="B122">
        <v>118</v>
      </c>
      <c r="C122" t="s">
        <v>134</v>
      </c>
      <c r="D122">
        <v>10</v>
      </c>
      <c r="E122" t="s">
        <v>135</v>
      </c>
      <c r="F122" t="s">
        <v>157</v>
      </c>
      <c r="G122">
        <v>2132</v>
      </c>
      <c r="H122" t="s">
        <v>137</v>
      </c>
      <c r="I122" t="s">
        <v>173</v>
      </c>
      <c r="J122">
        <v>2</v>
      </c>
      <c r="K122" t="s">
        <v>151</v>
      </c>
      <c r="L122" t="s">
        <v>182</v>
      </c>
      <c r="M122">
        <v>3</v>
      </c>
      <c r="N122" t="s">
        <v>141</v>
      </c>
      <c r="O122">
        <v>27</v>
      </c>
      <c r="P122" t="s">
        <v>142</v>
      </c>
      <c r="Q122" t="s">
        <v>167</v>
      </c>
      <c r="R122">
        <v>2</v>
      </c>
      <c r="S122" t="s">
        <v>144</v>
      </c>
      <c r="T122">
        <v>1</v>
      </c>
      <c r="U122" t="s">
        <v>152</v>
      </c>
      <c r="V122" t="s">
        <v>178</v>
      </c>
      <c r="W122">
        <v>1</v>
      </c>
    </row>
    <row r="123" spans="2:23" x14ac:dyDescent="0.3">
      <c r="B123">
        <v>119</v>
      </c>
      <c r="C123" t="s">
        <v>134</v>
      </c>
      <c r="D123">
        <v>33</v>
      </c>
      <c r="E123" t="s">
        <v>135</v>
      </c>
      <c r="F123" t="s">
        <v>157</v>
      </c>
      <c r="G123">
        <v>4281</v>
      </c>
      <c r="H123" t="s">
        <v>164</v>
      </c>
      <c r="I123" t="s">
        <v>150</v>
      </c>
      <c r="J123">
        <v>1</v>
      </c>
      <c r="K123" t="s">
        <v>151</v>
      </c>
      <c r="L123" t="s">
        <v>140</v>
      </c>
      <c r="M123">
        <v>4</v>
      </c>
      <c r="N123" t="s">
        <v>166</v>
      </c>
      <c r="O123">
        <v>23</v>
      </c>
      <c r="P123" t="s">
        <v>142</v>
      </c>
      <c r="Q123" t="s">
        <v>143</v>
      </c>
      <c r="R123">
        <v>2</v>
      </c>
      <c r="S123" t="s">
        <v>144</v>
      </c>
      <c r="T123">
        <v>1</v>
      </c>
      <c r="U123" t="s">
        <v>152</v>
      </c>
      <c r="V123" t="s">
        <v>146</v>
      </c>
      <c r="W123">
        <v>2</v>
      </c>
    </row>
    <row r="124" spans="2:23" x14ac:dyDescent="0.3">
      <c r="B124">
        <v>120</v>
      </c>
      <c r="C124" t="s">
        <v>147</v>
      </c>
      <c r="D124">
        <v>12</v>
      </c>
      <c r="E124" t="s">
        <v>135</v>
      </c>
      <c r="F124" t="s">
        <v>162</v>
      </c>
      <c r="G124">
        <v>2366</v>
      </c>
      <c r="H124" t="s">
        <v>164</v>
      </c>
      <c r="I124" t="s">
        <v>155</v>
      </c>
      <c r="J124">
        <v>3</v>
      </c>
      <c r="K124" t="s">
        <v>170</v>
      </c>
      <c r="L124" t="s">
        <v>140</v>
      </c>
      <c r="M124">
        <v>3</v>
      </c>
      <c r="N124" t="s">
        <v>166</v>
      </c>
      <c r="O124">
        <v>36</v>
      </c>
      <c r="P124" t="s">
        <v>142</v>
      </c>
      <c r="Q124" t="s">
        <v>143</v>
      </c>
      <c r="R124">
        <v>1</v>
      </c>
      <c r="S124" t="s">
        <v>168</v>
      </c>
      <c r="T124">
        <v>1</v>
      </c>
      <c r="U124" t="s">
        <v>145</v>
      </c>
      <c r="V124" t="s">
        <v>146</v>
      </c>
      <c r="W124">
        <v>1</v>
      </c>
    </row>
    <row r="125" spans="2:23" x14ac:dyDescent="0.3">
      <c r="B125">
        <v>121</v>
      </c>
      <c r="C125" t="s">
        <v>134</v>
      </c>
      <c r="D125">
        <v>21</v>
      </c>
      <c r="E125" t="s">
        <v>148</v>
      </c>
      <c r="F125" t="s">
        <v>136</v>
      </c>
      <c r="G125">
        <v>1835</v>
      </c>
      <c r="H125" t="s">
        <v>149</v>
      </c>
      <c r="I125" t="s">
        <v>150</v>
      </c>
      <c r="J125">
        <v>3</v>
      </c>
      <c r="K125" t="s">
        <v>151</v>
      </c>
      <c r="L125" t="s">
        <v>140</v>
      </c>
      <c r="M125">
        <v>2</v>
      </c>
      <c r="N125" t="s">
        <v>141</v>
      </c>
      <c r="O125">
        <v>25</v>
      </c>
      <c r="P125" t="s">
        <v>142</v>
      </c>
      <c r="Q125" t="s">
        <v>143</v>
      </c>
      <c r="R125">
        <v>2</v>
      </c>
      <c r="S125" t="s">
        <v>144</v>
      </c>
      <c r="T125">
        <v>1</v>
      </c>
      <c r="U125" t="s">
        <v>145</v>
      </c>
      <c r="V125" t="s">
        <v>146</v>
      </c>
      <c r="W125">
        <v>2</v>
      </c>
    </row>
    <row r="126" spans="2:23" x14ac:dyDescent="0.3">
      <c r="B126">
        <v>122</v>
      </c>
      <c r="C126" t="s">
        <v>153</v>
      </c>
      <c r="D126">
        <v>24</v>
      </c>
      <c r="E126" t="s">
        <v>135</v>
      </c>
      <c r="F126" t="s">
        <v>165</v>
      </c>
      <c r="G126">
        <v>3868</v>
      </c>
      <c r="H126" t="s">
        <v>149</v>
      </c>
      <c r="I126" t="s">
        <v>138</v>
      </c>
      <c r="J126">
        <v>4</v>
      </c>
      <c r="K126" t="s">
        <v>151</v>
      </c>
      <c r="L126" t="s">
        <v>140</v>
      </c>
      <c r="M126">
        <v>2</v>
      </c>
      <c r="N126" t="s">
        <v>166</v>
      </c>
      <c r="O126">
        <v>41</v>
      </c>
      <c r="P126" t="s">
        <v>142</v>
      </c>
      <c r="Q126" t="s">
        <v>167</v>
      </c>
      <c r="R126">
        <v>2</v>
      </c>
      <c r="S126" t="s">
        <v>168</v>
      </c>
      <c r="T126">
        <v>1</v>
      </c>
      <c r="U126" t="s">
        <v>145</v>
      </c>
      <c r="V126" t="s">
        <v>146</v>
      </c>
      <c r="W126">
        <v>1</v>
      </c>
    </row>
    <row r="127" spans="2:23" x14ac:dyDescent="0.3">
      <c r="B127">
        <v>123</v>
      </c>
      <c r="C127" t="s">
        <v>153</v>
      </c>
      <c r="D127">
        <v>12</v>
      </c>
      <c r="E127" t="s">
        <v>148</v>
      </c>
      <c r="F127" t="s">
        <v>157</v>
      </c>
      <c r="G127">
        <v>1768</v>
      </c>
      <c r="H127" t="s">
        <v>149</v>
      </c>
      <c r="I127" t="s">
        <v>150</v>
      </c>
      <c r="J127">
        <v>3</v>
      </c>
      <c r="K127" t="s">
        <v>139</v>
      </c>
      <c r="L127" t="s">
        <v>140</v>
      </c>
      <c r="M127">
        <v>2</v>
      </c>
      <c r="N127" t="s">
        <v>141</v>
      </c>
      <c r="O127">
        <v>24</v>
      </c>
      <c r="P127" t="s">
        <v>142</v>
      </c>
      <c r="Q127" t="s">
        <v>167</v>
      </c>
      <c r="R127">
        <v>1</v>
      </c>
      <c r="S127" t="s">
        <v>156</v>
      </c>
      <c r="T127">
        <v>1</v>
      </c>
      <c r="U127" t="s">
        <v>152</v>
      </c>
      <c r="V127" t="s">
        <v>146</v>
      </c>
      <c r="W127">
        <v>1</v>
      </c>
    </row>
    <row r="128" spans="2:23" x14ac:dyDescent="0.3">
      <c r="B128">
        <v>124</v>
      </c>
      <c r="C128" t="s">
        <v>179</v>
      </c>
      <c r="D128">
        <v>10</v>
      </c>
      <c r="E128" t="s">
        <v>135</v>
      </c>
      <c r="F128" t="s">
        <v>162</v>
      </c>
      <c r="G128">
        <v>781</v>
      </c>
      <c r="H128" t="s">
        <v>149</v>
      </c>
      <c r="I128" t="s">
        <v>138</v>
      </c>
      <c r="J128">
        <v>4</v>
      </c>
      <c r="K128" t="s">
        <v>139</v>
      </c>
      <c r="L128" t="s">
        <v>140</v>
      </c>
      <c r="M128">
        <v>4</v>
      </c>
      <c r="N128" t="s">
        <v>163</v>
      </c>
      <c r="O128">
        <v>63</v>
      </c>
      <c r="P128" t="s">
        <v>142</v>
      </c>
      <c r="Q128" t="s">
        <v>160</v>
      </c>
      <c r="R128">
        <v>2</v>
      </c>
      <c r="S128" t="s">
        <v>144</v>
      </c>
      <c r="T128">
        <v>1</v>
      </c>
      <c r="U128" t="s">
        <v>145</v>
      </c>
      <c r="V128" t="s">
        <v>146</v>
      </c>
      <c r="W128">
        <v>1</v>
      </c>
    </row>
    <row r="129" spans="2:23" x14ac:dyDescent="0.3">
      <c r="B129">
        <v>125</v>
      </c>
      <c r="C129" t="s">
        <v>147</v>
      </c>
      <c r="D129">
        <v>18</v>
      </c>
      <c r="E129" t="s">
        <v>148</v>
      </c>
      <c r="F129" t="s">
        <v>157</v>
      </c>
      <c r="G129">
        <v>1924</v>
      </c>
      <c r="H129" t="s">
        <v>137</v>
      </c>
      <c r="I129" t="s">
        <v>173</v>
      </c>
      <c r="J129">
        <v>4</v>
      </c>
      <c r="K129" t="s">
        <v>151</v>
      </c>
      <c r="L129" t="s">
        <v>140</v>
      </c>
      <c r="M129">
        <v>3</v>
      </c>
      <c r="N129" t="s">
        <v>141</v>
      </c>
      <c r="O129">
        <v>27</v>
      </c>
      <c r="P129" t="s">
        <v>142</v>
      </c>
      <c r="Q129" t="s">
        <v>167</v>
      </c>
      <c r="R129">
        <v>1</v>
      </c>
      <c r="S129" t="s">
        <v>144</v>
      </c>
      <c r="T129">
        <v>1</v>
      </c>
      <c r="U129" t="s">
        <v>152</v>
      </c>
      <c r="V129" t="s">
        <v>146</v>
      </c>
      <c r="W129">
        <v>2</v>
      </c>
    </row>
    <row r="130" spans="2:23" x14ac:dyDescent="0.3">
      <c r="B130">
        <v>126</v>
      </c>
      <c r="C130" t="s">
        <v>134</v>
      </c>
      <c r="D130">
        <v>12</v>
      </c>
      <c r="E130" t="s">
        <v>135</v>
      </c>
      <c r="F130" t="s">
        <v>162</v>
      </c>
      <c r="G130">
        <v>2121</v>
      </c>
      <c r="H130" t="s">
        <v>149</v>
      </c>
      <c r="I130" t="s">
        <v>150</v>
      </c>
      <c r="J130">
        <v>4</v>
      </c>
      <c r="K130" t="s">
        <v>139</v>
      </c>
      <c r="L130" t="s">
        <v>140</v>
      </c>
      <c r="M130">
        <v>2</v>
      </c>
      <c r="N130" t="s">
        <v>159</v>
      </c>
      <c r="O130">
        <v>30</v>
      </c>
      <c r="P130" t="s">
        <v>142</v>
      </c>
      <c r="Q130" t="s">
        <v>143</v>
      </c>
      <c r="R130">
        <v>2</v>
      </c>
      <c r="S130" t="s">
        <v>144</v>
      </c>
      <c r="T130">
        <v>1</v>
      </c>
      <c r="U130" t="s">
        <v>152</v>
      </c>
      <c r="V130" t="s">
        <v>146</v>
      </c>
      <c r="W130">
        <v>1</v>
      </c>
    </row>
    <row r="131" spans="2:23" x14ac:dyDescent="0.3">
      <c r="B131">
        <v>127</v>
      </c>
      <c r="C131" t="s">
        <v>134</v>
      </c>
      <c r="D131">
        <v>12</v>
      </c>
      <c r="E131" t="s">
        <v>148</v>
      </c>
      <c r="F131" t="s">
        <v>136</v>
      </c>
      <c r="G131">
        <v>701</v>
      </c>
      <c r="H131" t="s">
        <v>149</v>
      </c>
      <c r="I131" t="s">
        <v>150</v>
      </c>
      <c r="J131">
        <v>4</v>
      </c>
      <c r="K131" t="s">
        <v>172</v>
      </c>
      <c r="L131" t="s">
        <v>140</v>
      </c>
      <c r="M131">
        <v>2</v>
      </c>
      <c r="N131" t="s">
        <v>141</v>
      </c>
      <c r="O131">
        <v>40</v>
      </c>
      <c r="P131" t="s">
        <v>142</v>
      </c>
      <c r="Q131" t="s">
        <v>143</v>
      </c>
      <c r="R131">
        <v>1</v>
      </c>
      <c r="S131" t="s">
        <v>156</v>
      </c>
      <c r="T131">
        <v>1</v>
      </c>
      <c r="U131" t="s">
        <v>152</v>
      </c>
      <c r="V131" t="s">
        <v>146</v>
      </c>
      <c r="W131">
        <v>1</v>
      </c>
    </row>
    <row r="132" spans="2:23" x14ac:dyDescent="0.3">
      <c r="B132">
        <v>128</v>
      </c>
      <c r="C132" t="s">
        <v>147</v>
      </c>
      <c r="D132">
        <v>12</v>
      </c>
      <c r="E132" t="s">
        <v>148</v>
      </c>
      <c r="F132" t="s">
        <v>184</v>
      </c>
      <c r="G132">
        <v>639</v>
      </c>
      <c r="H132" t="s">
        <v>149</v>
      </c>
      <c r="I132" t="s">
        <v>150</v>
      </c>
      <c r="J132">
        <v>4</v>
      </c>
      <c r="K132" t="s">
        <v>139</v>
      </c>
      <c r="L132" t="s">
        <v>140</v>
      </c>
      <c r="M132">
        <v>2</v>
      </c>
      <c r="N132" t="s">
        <v>166</v>
      </c>
      <c r="O132">
        <v>30</v>
      </c>
      <c r="P132" t="s">
        <v>142</v>
      </c>
      <c r="Q132" t="s">
        <v>143</v>
      </c>
      <c r="R132">
        <v>1</v>
      </c>
      <c r="S132" t="s">
        <v>144</v>
      </c>
      <c r="T132">
        <v>1</v>
      </c>
      <c r="U132" t="s">
        <v>152</v>
      </c>
      <c r="V132" t="s">
        <v>146</v>
      </c>
      <c r="W132">
        <v>2</v>
      </c>
    </row>
    <row r="133" spans="2:23" x14ac:dyDescent="0.3">
      <c r="B133">
        <v>129</v>
      </c>
      <c r="C133" t="s">
        <v>147</v>
      </c>
      <c r="D133">
        <v>12</v>
      </c>
      <c r="E133" t="s">
        <v>135</v>
      </c>
      <c r="F133" t="s">
        <v>165</v>
      </c>
      <c r="G133">
        <v>1860</v>
      </c>
      <c r="H133" t="s">
        <v>149</v>
      </c>
      <c r="I133" t="s">
        <v>171</v>
      </c>
      <c r="J133">
        <v>4</v>
      </c>
      <c r="K133" t="s">
        <v>139</v>
      </c>
      <c r="L133" t="s">
        <v>140</v>
      </c>
      <c r="M133">
        <v>2</v>
      </c>
      <c r="N133" t="s">
        <v>166</v>
      </c>
      <c r="O133">
        <v>34</v>
      </c>
      <c r="P133" t="s">
        <v>142</v>
      </c>
      <c r="Q133" t="s">
        <v>143</v>
      </c>
      <c r="R133">
        <v>2</v>
      </c>
      <c r="S133" t="s">
        <v>168</v>
      </c>
      <c r="T133">
        <v>1</v>
      </c>
      <c r="U133" t="s">
        <v>145</v>
      </c>
      <c r="V133" t="s">
        <v>146</v>
      </c>
      <c r="W133">
        <v>1</v>
      </c>
    </row>
    <row r="134" spans="2:23" x14ac:dyDescent="0.3">
      <c r="B134">
        <v>130</v>
      </c>
      <c r="C134" t="s">
        <v>134</v>
      </c>
      <c r="D134">
        <v>12</v>
      </c>
      <c r="E134" t="s">
        <v>135</v>
      </c>
      <c r="F134" t="s">
        <v>162</v>
      </c>
      <c r="G134">
        <v>3499</v>
      </c>
      <c r="H134" t="s">
        <v>149</v>
      </c>
      <c r="I134" t="s">
        <v>150</v>
      </c>
      <c r="J134">
        <v>3</v>
      </c>
      <c r="K134" t="s">
        <v>151</v>
      </c>
      <c r="L134" t="s">
        <v>182</v>
      </c>
      <c r="M134">
        <v>2</v>
      </c>
      <c r="N134" t="s">
        <v>141</v>
      </c>
      <c r="O134">
        <v>29</v>
      </c>
      <c r="P134" t="s">
        <v>142</v>
      </c>
      <c r="Q134" t="s">
        <v>143</v>
      </c>
      <c r="R134">
        <v>2</v>
      </c>
      <c r="S134" t="s">
        <v>144</v>
      </c>
      <c r="T134">
        <v>1</v>
      </c>
      <c r="U134" t="s">
        <v>152</v>
      </c>
      <c r="V134" t="s">
        <v>146</v>
      </c>
      <c r="W134">
        <v>2</v>
      </c>
    </row>
    <row r="135" spans="2:23" x14ac:dyDescent="0.3">
      <c r="B135">
        <v>131</v>
      </c>
      <c r="C135" t="s">
        <v>147</v>
      </c>
      <c r="D135">
        <v>48</v>
      </c>
      <c r="E135" t="s">
        <v>148</v>
      </c>
      <c r="F135" t="s">
        <v>162</v>
      </c>
      <c r="G135">
        <v>8487</v>
      </c>
      <c r="H135" t="s">
        <v>137</v>
      </c>
      <c r="I135" t="s">
        <v>155</v>
      </c>
      <c r="J135">
        <v>1</v>
      </c>
      <c r="K135" t="s">
        <v>151</v>
      </c>
      <c r="L135" t="s">
        <v>140</v>
      </c>
      <c r="M135">
        <v>2</v>
      </c>
      <c r="N135" t="s">
        <v>166</v>
      </c>
      <c r="O135">
        <v>24</v>
      </c>
      <c r="P135" t="s">
        <v>142</v>
      </c>
      <c r="Q135" t="s">
        <v>143</v>
      </c>
      <c r="R135">
        <v>1</v>
      </c>
      <c r="S135" t="s">
        <v>144</v>
      </c>
      <c r="T135">
        <v>1</v>
      </c>
      <c r="U135" t="s">
        <v>152</v>
      </c>
      <c r="V135" t="s">
        <v>146</v>
      </c>
      <c r="W135">
        <v>1</v>
      </c>
    </row>
    <row r="136" spans="2:23" x14ac:dyDescent="0.3">
      <c r="B136">
        <v>132</v>
      </c>
      <c r="C136" t="s">
        <v>134</v>
      </c>
      <c r="D136">
        <v>36</v>
      </c>
      <c r="E136" t="s">
        <v>161</v>
      </c>
      <c r="F136" t="s">
        <v>154</v>
      </c>
      <c r="G136">
        <v>6887</v>
      </c>
      <c r="H136" t="s">
        <v>149</v>
      </c>
      <c r="I136" t="s">
        <v>150</v>
      </c>
      <c r="J136">
        <v>4</v>
      </c>
      <c r="K136" t="s">
        <v>139</v>
      </c>
      <c r="L136" t="s">
        <v>140</v>
      </c>
      <c r="M136">
        <v>3</v>
      </c>
      <c r="N136" t="s">
        <v>159</v>
      </c>
      <c r="O136">
        <v>29</v>
      </c>
      <c r="P136" t="s">
        <v>181</v>
      </c>
      <c r="Q136" t="s">
        <v>143</v>
      </c>
      <c r="R136">
        <v>1</v>
      </c>
      <c r="S136" t="s">
        <v>144</v>
      </c>
      <c r="T136">
        <v>1</v>
      </c>
      <c r="U136" t="s">
        <v>145</v>
      </c>
      <c r="V136" t="s">
        <v>146</v>
      </c>
      <c r="W136">
        <v>2</v>
      </c>
    </row>
    <row r="137" spans="2:23" x14ac:dyDescent="0.3">
      <c r="B137">
        <v>133</v>
      </c>
      <c r="C137" t="s">
        <v>153</v>
      </c>
      <c r="D137">
        <v>15</v>
      </c>
      <c r="E137" t="s">
        <v>148</v>
      </c>
      <c r="F137" t="s">
        <v>157</v>
      </c>
      <c r="G137">
        <v>2708</v>
      </c>
      <c r="H137" t="s">
        <v>149</v>
      </c>
      <c r="I137" t="s">
        <v>173</v>
      </c>
      <c r="J137">
        <v>2</v>
      </c>
      <c r="K137" t="s">
        <v>139</v>
      </c>
      <c r="L137" t="s">
        <v>140</v>
      </c>
      <c r="M137">
        <v>3</v>
      </c>
      <c r="N137" t="s">
        <v>159</v>
      </c>
      <c r="O137">
        <v>27</v>
      </c>
      <c r="P137" t="s">
        <v>177</v>
      </c>
      <c r="Q137" t="s">
        <v>143</v>
      </c>
      <c r="R137">
        <v>2</v>
      </c>
      <c r="S137" t="s">
        <v>156</v>
      </c>
      <c r="T137">
        <v>1</v>
      </c>
      <c r="U137" t="s">
        <v>152</v>
      </c>
      <c r="V137" t="s">
        <v>146</v>
      </c>
      <c r="W137">
        <v>1</v>
      </c>
    </row>
    <row r="138" spans="2:23" x14ac:dyDescent="0.3">
      <c r="B138">
        <v>134</v>
      </c>
      <c r="C138" t="s">
        <v>153</v>
      </c>
      <c r="D138">
        <v>18</v>
      </c>
      <c r="E138" t="s">
        <v>148</v>
      </c>
      <c r="F138" t="s">
        <v>157</v>
      </c>
      <c r="G138">
        <v>1984</v>
      </c>
      <c r="H138" t="s">
        <v>149</v>
      </c>
      <c r="I138" t="s">
        <v>150</v>
      </c>
      <c r="J138">
        <v>4</v>
      </c>
      <c r="K138" t="s">
        <v>139</v>
      </c>
      <c r="L138" t="s">
        <v>140</v>
      </c>
      <c r="M138">
        <v>4</v>
      </c>
      <c r="N138" t="s">
        <v>163</v>
      </c>
      <c r="O138">
        <v>47</v>
      </c>
      <c r="P138" t="s">
        <v>177</v>
      </c>
      <c r="Q138" t="s">
        <v>160</v>
      </c>
      <c r="R138">
        <v>2</v>
      </c>
      <c r="S138" t="s">
        <v>144</v>
      </c>
      <c r="T138">
        <v>1</v>
      </c>
      <c r="U138" t="s">
        <v>152</v>
      </c>
      <c r="V138" t="s">
        <v>146</v>
      </c>
      <c r="W138">
        <v>1</v>
      </c>
    </row>
    <row r="139" spans="2:23" x14ac:dyDescent="0.3">
      <c r="B139">
        <v>135</v>
      </c>
      <c r="C139" t="s">
        <v>153</v>
      </c>
      <c r="D139">
        <v>60</v>
      </c>
      <c r="E139" t="s">
        <v>148</v>
      </c>
      <c r="F139" t="s">
        <v>136</v>
      </c>
      <c r="G139">
        <v>10144</v>
      </c>
      <c r="H139" t="s">
        <v>175</v>
      </c>
      <c r="I139" t="s">
        <v>155</v>
      </c>
      <c r="J139">
        <v>2</v>
      </c>
      <c r="K139" t="s">
        <v>151</v>
      </c>
      <c r="L139" t="s">
        <v>140</v>
      </c>
      <c r="M139">
        <v>4</v>
      </c>
      <c r="N139" t="s">
        <v>141</v>
      </c>
      <c r="O139">
        <v>21</v>
      </c>
      <c r="P139" t="s">
        <v>142</v>
      </c>
      <c r="Q139" t="s">
        <v>143</v>
      </c>
      <c r="R139">
        <v>1</v>
      </c>
      <c r="S139" t="s">
        <v>144</v>
      </c>
      <c r="T139">
        <v>1</v>
      </c>
      <c r="U139" t="s">
        <v>145</v>
      </c>
      <c r="V139" t="s">
        <v>146</v>
      </c>
      <c r="W139">
        <v>1</v>
      </c>
    </row>
    <row r="140" spans="2:23" x14ac:dyDescent="0.3">
      <c r="B140">
        <v>136</v>
      </c>
      <c r="C140" t="s">
        <v>153</v>
      </c>
      <c r="D140">
        <v>12</v>
      </c>
      <c r="E140" t="s">
        <v>135</v>
      </c>
      <c r="F140" t="s">
        <v>136</v>
      </c>
      <c r="G140">
        <v>1240</v>
      </c>
      <c r="H140" t="s">
        <v>137</v>
      </c>
      <c r="I140" t="s">
        <v>138</v>
      </c>
      <c r="J140">
        <v>4</v>
      </c>
      <c r="K140" t="s">
        <v>151</v>
      </c>
      <c r="L140" t="s">
        <v>140</v>
      </c>
      <c r="M140">
        <v>2</v>
      </c>
      <c r="N140" t="s">
        <v>141</v>
      </c>
      <c r="O140">
        <v>38</v>
      </c>
      <c r="P140" t="s">
        <v>142</v>
      </c>
      <c r="Q140" t="s">
        <v>143</v>
      </c>
      <c r="R140">
        <v>2</v>
      </c>
      <c r="S140" t="s">
        <v>144</v>
      </c>
      <c r="T140">
        <v>1</v>
      </c>
      <c r="U140" t="s">
        <v>145</v>
      </c>
      <c r="V140" t="s">
        <v>146</v>
      </c>
      <c r="W140">
        <v>1</v>
      </c>
    </row>
    <row r="141" spans="2:23" x14ac:dyDescent="0.3">
      <c r="B141">
        <v>137</v>
      </c>
      <c r="C141" t="s">
        <v>153</v>
      </c>
      <c r="D141">
        <v>27</v>
      </c>
      <c r="E141" t="s">
        <v>161</v>
      </c>
      <c r="F141" t="s">
        <v>165</v>
      </c>
      <c r="G141">
        <v>8613</v>
      </c>
      <c r="H141" t="s">
        <v>169</v>
      </c>
      <c r="I141" t="s">
        <v>150</v>
      </c>
      <c r="J141">
        <v>2</v>
      </c>
      <c r="K141" t="s">
        <v>139</v>
      </c>
      <c r="L141" t="s">
        <v>140</v>
      </c>
      <c r="M141">
        <v>2</v>
      </c>
      <c r="N141" t="s">
        <v>166</v>
      </c>
      <c r="O141">
        <v>27</v>
      </c>
      <c r="P141" t="s">
        <v>142</v>
      </c>
      <c r="Q141" t="s">
        <v>143</v>
      </c>
      <c r="R141">
        <v>2</v>
      </c>
      <c r="S141" t="s">
        <v>144</v>
      </c>
      <c r="T141">
        <v>1</v>
      </c>
      <c r="U141" t="s">
        <v>152</v>
      </c>
      <c r="V141" t="s">
        <v>146</v>
      </c>
      <c r="W141">
        <v>1</v>
      </c>
    </row>
    <row r="142" spans="2:23" x14ac:dyDescent="0.3">
      <c r="B142">
        <v>138</v>
      </c>
      <c r="C142" t="s">
        <v>147</v>
      </c>
      <c r="D142">
        <v>12</v>
      </c>
      <c r="E142" t="s">
        <v>148</v>
      </c>
      <c r="F142" t="s">
        <v>136</v>
      </c>
      <c r="G142">
        <v>766</v>
      </c>
      <c r="H142" t="s">
        <v>164</v>
      </c>
      <c r="I142" t="s">
        <v>150</v>
      </c>
      <c r="J142">
        <v>4</v>
      </c>
      <c r="K142" t="s">
        <v>139</v>
      </c>
      <c r="L142" t="s">
        <v>140</v>
      </c>
      <c r="M142">
        <v>3</v>
      </c>
      <c r="N142" t="s">
        <v>141</v>
      </c>
      <c r="O142">
        <v>66</v>
      </c>
      <c r="P142" t="s">
        <v>142</v>
      </c>
      <c r="Q142" t="s">
        <v>143</v>
      </c>
      <c r="R142">
        <v>1</v>
      </c>
      <c r="S142" t="s">
        <v>156</v>
      </c>
      <c r="T142">
        <v>1</v>
      </c>
      <c r="U142" t="s">
        <v>152</v>
      </c>
      <c r="V142" t="s">
        <v>146</v>
      </c>
      <c r="W142">
        <v>2</v>
      </c>
    </row>
    <row r="143" spans="2:23" x14ac:dyDescent="0.3">
      <c r="B143">
        <v>139</v>
      </c>
      <c r="C143" t="s">
        <v>147</v>
      </c>
      <c r="D143">
        <v>15</v>
      </c>
      <c r="E143" t="s">
        <v>135</v>
      </c>
      <c r="F143" t="s">
        <v>136</v>
      </c>
      <c r="G143">
        <v>2728</v>
      </c>
      <c r="H143" t="s">
        <v>137</v>
      </c>
      <c r="I143" t="s">
        <v>155</v>
      </c>
      <c r="J143">
        <v>4</v>
      </c>
      <c r="K143" t="s">
        <v>139</v>
      </c>
      <c r="L143" t="s">
        <v>158</v>
      </c>
      <c r="M143">
        <v>2</v>
      </c>
      <c r="N143" t="s">
        <v>141</v>
      </c>
      <c r="O143">
        <v>35</v>
      </c>
      <c r="P143" t="s">
        <v>177</v>
      </c>
      <c r="Q143" t="s">
        <v>143</v>
      </c>
      <c r="R143">
        <v>3</v>
      </c>
      <c r="S143" t="s">
        <v>144</v>
      </c>
      <c r="T143">
        <v>1</v>
      </c>
      <c r="U143" t="s">
        <v>145</v>
      </c>
      <c r="V143" t="s">
        <v>146</v>
      </c>
      <c r="W143">
        <v>1</v>
      </c>
    </row>
    <row r="144" spans="2:23" x14ac:dyDescent="0.3">
      <c r="B144">
        <v>140</v>
      </c>
      <c r="C144" t="s">
        <v>179</v>
      </c>
      <c r="D144">
        <v>12</v>
      </c>
      <c r="E144" t="s">
        <v>148</v>
      </c>
      <c r="F144" t="s">
        <v>136</v>
      </c>
      <c r="G144">
        <v>1881</v>
      </c>
      <c r="H144" t="s">
        <v>149</v>
      </c>
      <c r="I144" t="s">
        <v>150</v>
      </c>
      <c r="J144">
        <v>2</v>
      </c>
      <c r="K144" t="s">
        <v>151</v>
      </c>
      <c r="L144" t="s">
        <v>140</v>
      </c>
      <c r="M144">
        <v>2</v>
      </c>
      <c r="N144" t="s">
        <v>166</v>
      </c>
      <c r="O144">
        <v>44</v>
      </c>
      <c r="P144" t="s">
        <v>142</v>
      </c>
      <c r="Q144" t="s">
        <v>167</v>
      </c>
      <c r="R144">
        <v>1</v>
      </c>
      <c r="S144" t="s">
        <v>156</v>
      </c>
      <c r="T144">
        <v>1</v>
      </c>
      <c r="U144" t="s">
        <v>145</v>
      </c>
      <c r="V144" t="s">
        <v>146</v>
      </c>
      <c r="W144">
        <v>1</v>
      </c>
    </row>
    <row r="145" spans="2:23" x14ac:dyDescent="0.3">
      <c r="B145">
        <v>141</v>
      </c>
      <c r="C145" t="s">
        <v>179</v>
      </c>
      <c r="D145">
        <v>6</v>
      </c>
      <c r="E145" t="s">
        <v>148</v>
      </c>
      <c r="F145" t="s">
        <v>162</v>
      </c>
      <c r="G145">
        <v>709</v>
      </c>
      <c r="H145" t="s">
        <v>169</v>
      </c>
      <c r="I145" t="s">
        <v>173</v>
      </c>
      <c r="J145">
        <v>2</v>
      </c>
      <c r="K145" t="s">
        <v>172</v>
      </c>
      <c r="L145" t="s">
        <v>140</v>
      </c>
      <c r="M145">
        <v>2</v>
      </c>
      <c r="N145" t="s">
        <v>141</v>
      </c>
      <c r="O145">
        <v>27</v>
      </c>
      <c r="P145" t="s">
        <v>142</v>
      </c>
      <c r="Q145" t="s">
        <v>143</v>
      </c>
      <c r="R145">
        <v>1</v>
      </c>
      <c r="S145" t="s">
        <v>185</v>
      </c>
      <c r="T145">
        <v>1</v>
      </c>
      <c r="U145" t="s">
        <v>152</v>
      </c>
      <c r="V145" t="s">
        <v>178</v>
      </c>
      <c r="W145">
        <v>1</v>
      </c>
    </row>
    <row r="146" spans="2:23" x14ac:dyDescent="0.3">
      <c r="B146">
        <v>142</v>
      </c>
      <c r="C146" t="s">
        <v>147</v>
      </c>
      <c r="D146">
        <v>36</v>
      </c>
      <c r="E146" t="s">
        <v>148</v>
      </c>
      <c r="F146" t="s">
        <v>136</v>
      </c>
      <c r="G146">
        <v>4795</v>
      </c>
      <c r="H146" t="s">
        <v>149</v>
      </c>
      <c r="I146" t="s">
        <v>173</v>
      </c>
      <c r="J146">
        <v>4</v>
      </c>
      <c r="K146" t="s">
        <v>151</v>
      </c>
      <c r="L146" t="s">
        <v>140</v>
      </c>
      <c r="M146">
        <v>1</v>
      </c>
      <c r="N146" t="s">
        <v>163</v>
      </c>
      <c r="O146">
        <v>30</v>
      </c>
      <c r="P146" t="s">
        <v>142</v>
      </c>
      <c r="Q146" t="s">
        <v>143</v>
      </c>
      <c r="R146">
        <v>1</v>
      </c>
      <c r="S146" t="s">
        <v>168</v>
      </c>
      <c r="T146">
        <v>1</v>
      </c>
      <c r="U146" t="s">
        <v>145</v>
      </c>
      <c r="V146" t="s">
        <v>146</v>
      </c>
      <c r="W146">
        <v>1</v>
      </c>
    </row>
    <row r="147" spans="2:23" x14ac:dyDescent="0.3">
      <c r="B147">
        <v>143</v>
      </c>
      <c r="C147" t="s">
        <v>134</v>
      </c>
      <c r="D147">
        <v>27</v>
      </c>
      <c r="E147" t="s">
        <v>148</v>
      </c>
      <c r="F147" t="s">
        <v>136</v>
      </c>
      <c r="G147">
        <v>3416</v>
      </c>
      <c r="H147" t="s">
        <v>149</v>
      </c>
      <c r="I147" t="s">
        <v>150</v>
      </c>
      <c r="J147">
        <v>3</v>
      </c>
      <c r="K147" t="s">
        <v>139</v>
      </c>
      <c r="L147" t="s">
        <v>140</v>
      </c>
      <c r="M147">
        <v>2</v>
      </c>
      <c r="N147" t="s">
        <v>166</v>
      </c>
      <c r="O147">
        <v>27</v>
      </c>
      <c r="P147" t="s">
        <v>142</v>
      </c>
      <c r="Q147" t="s">
        <v>143</v>
      </c>
      <c r="R147">
        <v>1</v>
      </c>
      <c r="S147" t="s">
        <v>168</v>
      </c>
      <c r="T147">
        <v>1</v>
      </c>
      <c r="U147" t="s">
        <v>152</v>
      </c>
      <c r="V147" t="s">
        <v>146</v>
      </c>
      <c r="W147">
        <v>1</v>
      </c>
    </row>
    <row r="148" spans="2:23" x14ac:dyDescent="0.3">
      <c r="B148">
        <v>144</v>
      </c>
      <c r="C148" t="s">
        <v>134</v>
      </c>
      <c r="D148">
        <v>18</v>
      </c>
      <c r="E148" t="s">
        <v>148</v>
      </c>
      <c r="F148" t="s">
        <v>157</v>
      </c>
      <c r="G148">
        <v>2462</v>
      </c>
      <c r="H148" t="s">
        <v>149</v>
      </c>
      <c r="I148" t="s">
        <v>150</v>
      </c>
      <c r="J148">
        <v>2</v>
      </c>
      <c r="K148" t="s">
        <v>139</v>
      </c>
      <c r="L148" t="s">
        <v>140</v>
      </c>
      <c r="M148">
        <v>2</v>
      </c>
      <c r="N148" t="s">
        <v>166</v>
      </c>
      <c r="O148">
        <v>22</v>
      </c>
      <c r="P148" t="s">
        <v>142</v>
      </c>
      <c r="Q148" t="s">
        <v>143</v>
      </c>
      <c r="R148">
        <v>1</v>
      </c>
      <c r="S148" t="s">
        <v>144</v>
      </c>
      <c r="T148">
        <v>1</v>
      </c>
      <c r="U148" t="s">
        <v>152</v>
      </c>
      <c r="V148" t="s">
        <v>146</v>
      </c>
      <c r="W148">
        <v>2</v>
      </c>
    </row>
    <row r="149" spans="2:23" x14ac:dyDescent="0.3">
      <c r="B149">
        <v>145</v>
      </c>
      <c r="C149" t="s">
        <v>153</v>
      </c>
      <c r="D149">
        <v>21</v>
      </c>
      <c r="E149" t="s">
        <v>135</v>
      </c>
      <c r="F149" t="s">
        <v>157</v>
      </c>
      <c r="G149">
        <v>2288</v>
      </c>
      <c r="H149" t="s">
        <v>149</v>
      </c>
      <c r="I149" t="s">
        <v>173</v>
      </c>
      <c r="J149">
        <v>4</v>
      </c>
      <c r="K149" t="s">
        <v>151</v>
      </c>
      <c r="L149" t="s">
        <v>140</v>
      </c>
      <c r="M149">
        <v>4</v>
      </c>
      <c r="N149" t="s">
        <v>159</v>
      </c>
      <c r="O149">
        <v>23</v>
      </c>
      <c r="P149" t="s">
        <v>142</v>
      </c>
      <c r="Q149" t="s">
        <v>143</v>
      </c>
      <c r="R149">
        <v>1</v>
      </c>
      <c r="S149" t="s">
        <v>144</v>
      </c>
      <c r="T149">
        <v>1</v>
      </c>
      <c r="U149" t="s">
        <v>145</v>
      </c>
      <c r="V149" t="s">
        <v>146</v>
      </c>
      <c r="W149">
        <v>1</v>
      </c>
    </row>
    <row r="150" spans="2:23" x14ac:dyDescent="0.3">
      <c r="B150">
        <v>146</v>
      </c>
      <c r="C150" t="s">
        <v>147</v>
      </c>
      <c r="D150">
        <v>48</v>
      </c>
      <c r="E150" t="s">
        <v>180</v>
      </c>
      <c r="F150" t="s">
        <v>174</v>
      </c>
      <c r="G150">
        <v>3566</v>
      </c>
      <c r="H150" t="s">
        <v>175</v>
      </c>
      <c r="I150" t="s">
        <v>155</v>
      </c>
      <c r="J150">
        <v>4</v>
      </c>
      <c r="K150" t="s">
        <v>139</v>
      </c>
      <c r="L150" t="s">
        <v>140</v>
      </c>
      <c r="M150">
        <v>2</v>
      </c>
      <c r="N150" t="s">
        <v>166</v>
      </c>
      <c r="O150">
        <v>30</v>
      </c>
      <c r="P150" t="s">
        <v>142</v>
      </c>
      <c r="Q150" t="s">
        <v>143</v>
      </c>
      <c r="R150">
        <v>1</v>
      </c>
      <c r="S150" t="s">
        <v>144</v>
      </c>
      <c r="T150">
        <v>1</v>
      </c>
      <c r="U150" t="s">
        <v>152</v>
      </c>
      <c r="V150" t="s">
        <v>146</v>
      </c>
      <c r="W150">
        <v>1</v>
      </c>
    </row>
    <row r="151" spans="2:23" x14ac:dyDescent="0.3">
      <c r="B151">
        <v>147</v>
      </c>
      <c r="C151" t="s">
        <v>134</v>
      </c>
      <c r="D151">
        <v>6</v>
      </c>
      <c r="E151" t="s">
        <v>135</v>
      </c>
      <c r="F151" t="s">
        <v>162</v>
      </c>
      <c r="G151">
        <v>860</v>
      </c>
      <c r="H151" t="s">
        <v>149</v>
      </c>
      <c r="I151" t="s">
        <v>138</v>
      </c>
      <c r="J151">
        <v>1</v>
      </c>
      <c r="K151" t="s">
        <v>151</v>
      </c>
      <c r="L151" t="s">
        <v>140</v>
      </c>
      <c r="M151">
        <v>4</v>
      </c>
      <c r="N151" t="s">
        <v>163</v>
      </c>
      <c r="O151">
        <v>39</v>
      </c>
      <c r="P151" t="s">
        <v>142</v>
      </c>
      <c r="Q151" t="s">
        <v>143</v>
      </c>
      <c r="R151">
        <v>2</v>
      </c>
      <c r="S151" t="s">
        <v>144</v>
      </c>
      <c r="T151">
        <v>1</v>
      </c>
      <c r="U151" t="s">
        <v>145</v>
      </c>
      <c r="V151" t="s">
        <v>146</v>
      </c>
      <c r="W151">
        <v>1</v>
      </c>
    </row>
    <row r="152" spans="2:23" x14ac:dyDescent="0.3">
      <c r="B152">
        <v>148</v>
      </c>
      <c r="C152" t="s">
        <v>153</v>
      </c>
      <c r="D152">
        <v>12</v>
      </c>
      <c r="E152" t="s">
        <v>135</v>
      </c>
      <c r="F152" t="s">
        <v>162</v>
      </c>
      <c r="G152">
        <v>682</v>
      </c>
      <c r="H152" t="s">
        <v>175</v>
      </c>
      <c r="I152" t="s">
        <v>155</v>
      </c>
      <c r="J152">
        <v>4</v>
      </c>
      <c r="K152" t="s">
        <v>151</v>
      </c>
      <c r="L152" t="s">
        <v>140</v>
      </c>
      <c r="M152">
        <v>3</v>
      </c>
      <c r="N152" t="s">
        <v>166</v>
      </c>
      <c r="O152">
        <v>51</v>
      </c>
      <c r="P152" t="s">
        <v>142</v>
      </c>
      <c r="Q152" t="s">
        <v>143</v>
      </c>
      <c r="R152">
        <v>2</v>
      </c>
      <c r="S152" t="s">
        <v>144</v>
      </c>
      <c r="T152">
        <v>1</v>
      </c>
      <c r="U152" t="s">
        <v>145</v>
      </c>
      <c r="V152" t="s">
        <v>146</v>
      </c>
      <c r="W152">
        <v>1</v>
      </c>
    </row>
    <row r="153" spans="2:23" x14ac:dyDescent="0.3">
      <c r="B153">
        <v>149</v>
      </c>
      <c r="C153" t="s">
        <v>134</v>
      </c>
      <c r="D153">
        <v>36</v>
      </c>
      <c r="E153" t="s">
        <v>135</v>
      </c>
      <c r="F153" t="s">
        <v>157</v>
      </c>
      <c r="G153">
        <v>5371</v>
      </c>
      <c r="H153" t="s">
        <v>149</v>
      </c>
      <c r="I153" t="s">
        <v>150</v>
      </c>
      <c r="J153">
        <v>3</v>
      </c>
      <c r="K153" t="s">
        <v>139</v>
      </c>
      <c r="L153" t="s">
        <v>158</v>
      </c>
      <c r="M153">
        <v>2</v>
      </c>
      <c r="N153" t="s">
        <v>159</v>
      </c>
      <c r="O153">
        <v>28</v>
      </c>
      <c r="P153" t="s">
        <v>142</v>
      </c>
      <c r="Q153" t="s">
        <v>143</v>
      </c>
      <c r="R153">
        <v>2</v>
      </c>
      <c r="S153" t="s">
        <v>144</v>
      </c>
      <c r="T153">
        <v>1</v>
      </c>
      <c r="U153" t="s">
        <v>152</v>
      </c>
      <c r="V153" t="s">
        <v>146</v>
      </c>
      <c r="W153">
        <v>1</v>
      </c>
    </row>
    <row r="154" spans="2:23" x14ac:dyDescent="0.3">
      <c r="B154">
        <v>150</v>
      </c>
      <c r="C154" t="s">
        <v>153</v>
      </c>
      <c r="D154">
        <v>18</v>
      </c>
      <c r="E154" t="s">
        <v>135</v>
      </c>
      <c r="F154" t="s">
        <v>136</v>
      </c>
      <c r="G154">
        <v>1582</v>
      </c>
      <c r="H154" t="s">
        <v>169</v>
      </c>
      <c r="I154" t="s">
        <v>138</v>
      </c>
      <c r="J154">
        <v>4</v>
      </c>
      <c r="K154" t="s">
        <v>139</v>
      </c>
      <c r="L154" t="s">
        <v>140</v>
      </c>
      <c r="M154">
        <v>4</v>
      </c>
      <c r="N154" t="s">
        <v>166</v>
      </c>
      <c r="O154">
        <v>46</v>
      </c>
      <c r="P154" t="s">
        <v>142</v>
      </c>
      <c r="Q154" t="s">
        <v>143</v>
      </c>
      <c r="R154">
        <v>2</v>
      </c>
      <c r="S154" t="s">
        <v>144</v>
      </c>
      <c r="T154">
        <v>1</v>
      </c>
      <c r="U154" t="s">
        <v>152</v>
      </c>
      <c r="V154" t="s">
        <v>146</v>
      </c>
      <c r="W154">
        <v>1</v>
      </c>
    </row>
    <row r="155" spans="2:23" x14ac:dyDescent="0.3">
      <c r="B155">
        <v>151</v>
      </c>
      <c r="C155" t="s">
        <v>153</v>
      </c>
      <c r="D155">
        <v>6</v>
      </c>
      <c r="E155" t="s">
        <v>148</v>
      </c>
      <c r="F155" t="s">
        <v>136</v>
      </c>
      <c r="G155">
        <v>1346</v>
      </c>
      <c r="H155" t="s">
        <v>175</v>
      </c>
      <c r="I155" t="s">
        <v>138</v>
      </c>
      <c r="J155">
        <v>2</v>
      </c>
      <c r="K155" t="s">
        <v>139</v>
      </c>
      <c r="L155" t="s">
        <v>140</v>
      </c>
      <c r="M155">
        <v>4</v>
      </c>
      <c r="N155" t="s">
        <v>163</v>
      </c>
      <c r="O155">
        <v>42</v>
      </c>
      <c r="P155" t="s">
        <v>177</v>
      </c>
      <c r="Q155" t="s">
        <v>160</v>
      </c>
      <c r="R155">
        <v>1</v>
      </c>
      <c r="S155" t="s">
        <v>144</v>
      </c>
      <c r="T155">
        <v>2</v>
      </c>
      <c r="U155" t="s">
        <v>145</v>
      </c>
      <c r="V155" t="s">
        <v>146</v>
      </c>
      <c r="W155">
        <v>1</v>
      </c>
    </row>
    <row r="156" spans="2:23" x14ac:dyDescent="0.3">
      <c r="B156">
        <v>152</v>
      </c>
      <c r="C156" t="s">
        <v>153</v>
      </c>
      <c r="D156">
        <v>10</v>
      </c>
      <c r="E156" t="s">
        <v>148</v>
      </c>
      <c r="F156" t="s">
        <v>136</v>
      </c>
      <c r="G156">
        <v>1924</v>
      </c>
      <c r="H156" t="s">
        <v>149</v>
      </c>
      <c r="I156" t="s">
        <v>150</v>
      </c>
      <c r="J156">
        <v>1</v>
      </c>
      <c r="K156" t="s">
        <v>139</v>
      </c>
      <c r="L156" t="s">
        <v>140</v>
      </c>
      <c r="M156">
        <v>4</v>
      </c>
      <c r="N156" t="s">
        <v>159</v>
      </c>
      <c r="O156">
        <v>38</v>
      </c>
      <c r="P156" t="s">
        <v>142</v>
      </c>
      <c r="Q156" t="s">
        <v>143</v>
      </c>
      <c r="R156">
        <v>1</v>
      </c>
      <c r="S156" t="s">
        <v>144</v>
      </c>
      <c r="T156">
        <v>1</v>
      </c>
      <c r="U156" t="s">
        <v>145</v>
      </c>
      <c r="V156" t="s">
        <v>178</v>
      </c>
      <c r="W156">
        <v>1</v>
      </c>
    </row>
    <row r="157" spans="2:23" x14ac:dyDescent="0.3">
      <c r="B157">
        <v>153</v>
      </c>
      <c r="C157" t="s">
        <v>179</v>
      </c>
      <c r="D157">
        <v>36</v>
      </c>
      <c r="E157" t="s">
        <v>148</v>
      </c>
      <c r="F157" t="s">
        <v>136</v>
      </c>
      <c r="G157">
        <v>5848</v>
      </c>
      <c r="H157" t="s">
        <v>149</v>
      </c>
      <c r="I157" t="s">
        <v>150</v>
      </c>
      <c r="J157">
        <v>4</v>
      </c>
      <c r="K157" t="s">
        <v>139</v>
      </c>
      <c r="L157" t="s">
        <v>140</v>
      </c>
      <c r="M157">
        <v>1</v>
      </c>
      <c r="N157" t="s">
        <v>166</v>
      </c>
      <c r="O157">
        <v>24</v>
      </c>
      <c r="P157" t="s">
        <v>142</v>
      </c>
      <c r="Q157" t="s">
        <v>143</v>
      </c>
      <c r="R157">
        <v>1</v>
      </c>
      <c r="S157" t="s">
        <v>144</v>
      </c>
      <c r="T157">
        <v>1</v>
      </c>
      <c r="U157" t="s">
        <v>152</v>
      </c>
      <c r="V157" t="s">
        <v>146</v>
      </c>
      <c r="W157">
        <v>1</v>
      </c>
    </row>
    <row r="158" spans="2:23" x14ac:dyDescent="0.3">
      <c r="B158">
        <v>154</v>
      </c>
      <c r="C158" t="s">
        <v>147</v>
      </c>
      <c r="D158">
        <v>24</v>
      </c>
      <c r="E158" t="s">
        <v>135</v>
      </c>
      <c r="F158" t="s">
        <v>165</v>
      </c>
      <c r="G158">
        <v>7758</v>
      </c>
      <c r="H158" t="s">
        <v>169</v>
      </c>
      <c r="I158" t="s">
        <v>138</v>
      </c>
      <c r="J158">
        <v>2</v>
      </c>
      <c r="K158" t="s">
        <v>151</v>
      </c>
      <c r="L158" t="s">
        <v>140</v>
      </c>
      <c r="M158">
        <v>4</v>
      </c>
      <c r="N158" t="s">
        <v>163</v>
      </c>
      <c r="O158">
        <v>29</v>
      </c>
      <c r="P158" t="s">
        <v>142</v>
      </c>
      <c r="Q158" t="s">
        <v>167</v>
      </c>
      <c r="R158">
        <v>1</v>
      </c>
      <c r="S158" t="s">
        <v>144</v>
      </c>
      <c r="T158">
        <v>1</v>
      </c>
      <c r="U158" t="s">
        <v>152</v>
      </c>
      <c r="V158" t="s">
        <v>146</v>
      </c>
      <c r="W158">
        <v>1</v>
      </c>
    </row>
    <row r="159" spans="2:23" x14ac:dyDescent="0.3">
      <c r="B159">
        <v>155</v>
      </c>
      <c r="C159" t="s">
        <v>147</v>
      </c>
      <c r="D159">
        <v>24</v>
      </c>
      <c r="E159" t="s">
        <v>161</v>
      </c>
      <c r="F159" t="s">
        <v>174</v>
      </c>
      <c r="G159">
        <v>6967</v>
      </c>
      <c r="H159" t="s">
        <v>175</v>
      </c>
      <c r="I159" t="s">
        <v>155</v>
      </c>
      <c r="J159">
        <v>4</v>
      </c>
      <c r="K159" t="s">
        <v>139</v>
      </c>
      <c r="L159" t="s">
        <v>140</v>
      </c>
      <c r="M159">
        <v>4</v>
      </c>
      <c r="N159" t="s">
        <v>166</v>
      </c>
      <c r="O159">
        <v>36</v>
      </c>
      <c r="P159" t="s">
        <v>142</v>
      </c>
      <c r="Q159" t="s">
        <v>167</v>
      </c>
      <c r="R159">
        <v>1</v>
      </c>
      <c r="S159" t="s">
        <v>168</v>
      </c>
      <c r="T159">
        <v>1</v>
      </c>
      <c r="U159" t="s">
        <v>145</v>
      </c>
      <c r="V159" t="s">
        <v>146</v>
      </c>
      <c r="W159">
        <v>1</v>
      </c>
    </row>
    <row r="160" spans="2:23" x14ac:dyDescent="0.3">
      <c r="B160">
        <v>156</v>
      </c>
      <c r="C160" t="s">
        <v>134</v>
      </c>
      <c r="D160">
        <v>12</v>
      </c>
      <c r="E160" t="s">
        <v>148</v>
      </c>
      <c r="F160" t="s">
        <v>157</v>
      </c>
      <c r="G160">
        <v>1282</v>
      </c>
      <c r="H160" t="s">
        <v>149</v>
      </c>
      <c r="I160" t="s">
        <v>150</v>
      </c>
      <c r="J160">
        <v>2</v>
      </c>
      <c r="K160" t="s">
        <v>151</v>
      </c>
      <c r="L160" t="s">
        <v>140</v>
      </c>
      <c r="M160">
        <v>4</v>
      </c>
      <c r="N160" t="s">
        <v>166</v>
      </c>
      <c r="O160">
        <v>20</v>
      </c>
      <c r="P160" t="s">
        <v>142</v>
      </c>
      <c r="Q160" t="s">
        <v>167</v>
      </c>
      <c r="R160">
        <v>1</v>
      </c>
      <c r="S160" t="s">
        <v>144</v>
      </c>
      <c r="T160">
        <v>1</v>
      </c>
      <c r="U160" t="s">
        <v>152</v>
      </c>
      <c r="V160" t="s">
        <v>146</v>
      </c>
      <c r="W160">
        <v>2</v>
      </c>
    </row>
    <row r="161" spans="2:23" x14ac:dyDescent="0.3">
      <c r="B161">
        <v>157</v>
      </c>
      <c r="C161" t="s">
        <v>134</v>
      </c>
      <c r="D161">
        <v>9</v>
      </c>
      <c r="E161" t="s">
        <v>135</v>
      </c>
      <c r="F161" t="s">
        <v>184</v>
      </c>
      <c r="G161">
        <v>1288</v>
      </c>
      <c r="H161" t="s">
        <v>175</v>
      </c>
      <c r="I161" t="s">
        <v>138</v>
      </c>
      <c r="J161">
        <v>3</v>
      </c>
      <c r="K161" t="s">
        <v>139</v>
      </c>
      <c r="L161" t="s">
        <v>158</v>
      </c>
      <c r="M161">
        <v>4</v>
      </c>
      <c r="N161" t="s">
        <v>141</v>
      </c>
      <c r="O161">
        <v>48</v>
      </c>
      <c r="P161" t="s">
        <v>142</v>
      </c>
      <c r="Q161" t="s">
        <v>143</v>
      </c>
      <c r="R161">
        <v>2</v>
      </c>
      <c r="S161" t="s">
        <v>144</v>
      </c>
      <c r="T161">
        <v>2</v>
      </c>
      <c r="U161" t="s">
        <v>152</v>
      </c>
      <c r="V161" t="s">
        <v>178</v>
      </c>
      <c r="W161">
        <v>1</v>
      </c>
    </row>
    <row r="162" spans="2:23" x14ac:dyDescent="0.3">
      <c r="B162">
        <v>158</v>
      </c>
      <c r="C162" t="s">
        <v>134</v>
      </c>
      <c r="D162">
        <v>12</v>
      </c>
      <c r="E162" t="s">
        <v>180</v>
      </c>
      <c r="F162" t="s">
        <v>187</v>
      </c>
      <c r="G162">
        <v>339</v>
      </c>
      <c r="H162" t="s">
        <v>149</v>
      </c>
      <c r="I162" t="s">
        <v>138</v>
      </c>
      <c r="J162">
        <v>4</v>
      </c>
      <c r="K162" t="s">
        <v>172</v>
      </c>
      <c r="L162" t="s">
        <v>140</v>
      </c>
      <c r="M162">
        <v>1</v>
      </c>
      <c r="N162" t="s">
        <v>166</v>
      </c>
      <c r="O162">
        <v>45</v>
      </c>
      <c r="P162" t="s">
        <v>177</v>
      </c>
      <c r="Q162" t="s">
        <v>143</v>
      </c>
      <c r="R162">
        <v>1</v>
      </c>
      <c r="S162" t="s">
        <v>156</v>
      </c>
      <c r="T162">
        <v>1</v>
      </c>
      <c r="U162" t="s">
        <v>152</v>
      </c>
      <c r="V162" t="s">
        <v>146</v>
      </c>
      <c r="W162">
        <v>1</v>
      </c>
    </row>
    <row r="163" spans="2:23" x14ac:dyDescent="0.3">
      <c r="B163">
        <v>159</v>
      </c>
      <c r="C163" t="s">
        <v>147</v>
      </c>
      <c r="D163">
        <v>24</v>
      </c>
      <c r="E163" t="s">
        <v>148</v>
      </c>
      <c r="F163" t="s">
        <v>162</v>
      </c>
      <c r="G163">
        <v>3512</v>
      </c>
      <c r="H163" t="s">
        <v>175</v>
      </c>
      <c r="I163" t="s">
        <v>155</v>
      </c>
      <c r="J163">
        <v>2</v>
      </c>
      <c r="K163" t="s">
        <v>139</v>
      </c>
      <c r="L163" t="s">
        <v>140</v>
      </c>
      <c r="M163">
        <v>3</v>
      </c>
      <c r="N163" t="s">
        <v>166</v>
      </c>
      <c r="O163">
        <v>38</v>
      </c>
      <c r="P163" t="s">
        <v>177</v>
      </c>
      <c r="Q163" t="s">
        <v>143</v>
      </c>
      <c r="R163">
        <v>2</v>
      </c>
      <c r="S163" t="s">
        <v>144</v>
      </c>
      <c r="T163">
        <v>1</v>
      </c>
      <c r="U163" t="s">
        <v>145</v>
      </c>
      <c r="V163" t="s">
        <v>146</v>
      </c>
      <c r="W163">
        <v>1</v>
      </c>
    </row>
    <row r="164" spans="2:23" x14ac:dyDescent="0.3">
      <c r="B164">
        <v>160</v>
      </c>
      <c r="C164" t="s">
        <v>153</v>
      </c>
      <c r="D164">
        <v>6</v>
      </c>
      <c r="E164" t="s">
        <v>135</v>
      </c>
      <c r="F164" t="s">
        <v>136</v>
      </c>
      <c r="G164">
        <v>1898</v>
      </c>
      <c r="H164" t="s">
        <v>137</v>
      </c>
      <c r="I164" t="s">
        <v>150</v>
      </c>
      <c r="J164">
        <v>1</v>
      </c>
      <c r="K164" t="s">
        <v>139</v>
      </c>
      <c r="L164" t="s">
        <v>140</v>
      </c>
      <c r="M164">
        <v>2</v>
      </c>
      <c r="N164" t="s">
        <v>141</v>
      </c>
      <c r="O164">
        <v>34</v>
      </c>
      <c r="P164" t="s">
        <v>142</v>
      </c>
      <c r="Q164" t="s">
        <v>143</v>
      </c>
      <c r="R164">
        <v>2</v>
      </c>
      <c r="S164" t="s">
        <v>156</v>
      </c>
      <c r="T164">
        <v>2</v>
      </c>
      <c r="U164" t="s">
        <v>152</v>
      </c>
      <c r="V164" t="s">
        <v>146</v>
      </c>
      <c r="W164">
        <v>1</v>
      </c>
    </row>
    <row r="165" spans="2:23" x14ac:dyDescent="0.3">
      <c r="B165">
        <v>161</v>
      </c>
      <c r="C165" t="s">
        <v>153</v>
      </c>
      <c r="D165">
        <v>24</v>
      </c>
      <c r="E165" t="s">
        <v>135</v>
      </c>
      <c r="F165" t="s">
        <v>136</v>
      </c>
      <c r="G165">
        <v>2872</v>
      </c>
      <c r="H165" t="s">
        <v>175</v>
      </c>
      <c r="I165" t="s">
        <v>138</v>
      </c>
      <c r="J165">
        <v>3</v>
      </c>
      <c r="K165" t="s">
        <v>139</v>
      </c>
      <c r="L165" t="s">
        <v>140</v>
      </c>
      <c r="M165">
        <v>4</v>
      </c>
      <c r="N165" t="s">
        <v>141</v>
      </c>
      <c r="O165">
        <v>36</v>
      </c>
      <c r="P165" t="s">
        <v>142</v>
      </c>
      <c r="Q165" t="s">
        <v>143</v>
      </c>
      <c r="R165">
        <v>1</v>
      </c>
      <c r="S165" t="s">
        <v>144</v>
      </c>
      <c r="T165">
        <v>2</v>
      </c>
      <c r="U165" t="s">
        <v>145</v>
      </c>
      <c r="V165" t="s">
        <v>146</v>
      </c>
      <c r="W165">
        <v>1</v>
      </c>
    </row>
    <row r="166" spans="2:23" x14ac:dyDescent="0.3">
      <c r="B166">
        <v>162</v>
      </c>
      <c r="C166" t="s">
        <v>153</v>
      </c>
      <c r="D166">
        <v>18</v>
      </c>
      <c r="E166" t="s">
        <v>135</v>
      </c>
      <c r="F166" t="s">
        <v>162</v>
      </c>
      <c r="G166">
        <v>1055</v>
      </c>
      <c r="H166" t="s">
        <v>149</v>
      </c>
      <c r="I166" t="s">
        <v>173</v>
      </c>
      <c r="J166">
        <v>4</v>
      </c>
      <c r="K166" t="s">
        <v>151</v>
      </c>
      <c r="L166" t="s">
        <v>140</v>
      </c>
      <c r="M166">
        <v>1</v>
      </c>
      <c r="N166" t="s">
        <v>159</v>
      </c>
      <c r="O166">
        <v>30</v>
      </c>
      <c r="P166" t="s">
        <v>142</v>
      </c>
      <c r="Q166" t="s">
        <v>143</v>
      </c>
      <c r="R166">
        <v>2</v>
      </c>
      <c r="S166" t="s">
        <v>144</v>
      </c>
      <c r="T166">
        <v>1</v>
      </c>
      <c r="U166" t="s">
        <v>152</v>
      </c>
      <c r="V166" t="s">
        <v>146</v>
      </c>
      <c r="W166">
        <v>1</v>
      </c>
    </row>
    <row r="167" spans="2:23" x14ac:dyDescent="0.3">
      <c r="B167">
        <v>163</v>
      </c>
      <c r="C167" t="s">
        <v>153</v>
      </c>
      <c r="D167">
        <v>15</v>
      </c>
      <c r="E167" t="s">
        <v>148</v>
      </c>
      <c r="F167" t="s">
        <v>183</v>
      </c>
      <c r="G167">
        <v>1262</v>
      </c>
      <c r="H167" t="s">
        <v>164</v>
      </c>
      <c r="I167" t="s">
        <v>155</v>
      </c>
      <c r="J167">
        <v>4</v>
      </c>
      <c r="K167" t="s">
        <v>139</v>
      </c>
      <c r="L167" t="s">
        <v>140</v>
      </c>
      <c r="M167">
        <v>3</v>
      </c>
      <c r="N167" t="s">
        <v>159</v>
      </c>
      <c r="O167">
        <v>36</v>
      </c>
      <c r="P167" t="s">
        <v>142</v>
      </c>
      <c r="Q167" t="s">
        <v>143</v>
      </c>
      <c r="R167">
        <v>2</v>
      </c>
      <c r="S167" t="s">
        <v>144</v>
      </c>
      <c r="T167">
        <v>1</v>
      </c>
      <c r="U167" t="s">
        <v>145</v>
      </c>
      <c r="V167" t="s">
        <v>146</v>
      </c>
      <c r="W167">
        <v>1</v>
      </c>
    </row>
    <row r="168" spans="2:23" x14ac:dyDescent="0.3">
      <c r="B168">
        <v>164</v>
      </c>
      <c r="C168" t="s">
        <v>147</v>
      </c>
      <c r="D168">
        <v>10</v>
      </c>
      <c r="E168" t="s">
        <v>148</v>
      </c>
      <c r="F168" t="s">
        <v>162</v>
      </c>
      <c r="G168">
        <v>7308</v>
      </c>
      <c r="H168" t="s">
        <v>149</v>
      </c>
      <c r="I168" t="s">
        <v>171</v>
      </c>
      <c r="J168">
        <v>2</v>
      </c>
      <c r="K168" t="s">
        <v>139</v>
      </c>
      <c r="L168" t="s">
        <v>140</v>
      </c>
      <c r="M168">
        <v>4</v>
      </c>
      <c r="N168" t="s">
        <v>163</v>
      </c>
      <c r="O168">
        <v>70</v>
      </c>
      <c r="P168" t="s">
        <v>177</v>
      </c>
      <c r="Q168" t="s">
        <v>160</v>
      </c>
      <c r="R168">
        <v>1</v>
      </c>
      <c r="S168" t="s">
        <v>168</v>
      </c>
      <c r="T168">
        <v>1</v>
      </c>
      <c r="U168" t="s">
        <v>145</v>
      </c>
      <c r="V168" t="s">
        <v>146</v>
      </c>
      <c r="W168">
        <v>1</v>
      </c>
    </row>
    <row r="169" spans="2:23" x14ac:dyDescent="0.3">
      <c r="B169">
        <v>165</v>
      </c>
      <c r="C169" t="s">
        <v>153</v>
      </c>
      <c r="D169">
        <v>36</v>
      </c>
      <c r="E169" t="s">
        <v>148</v>
      </c>
      <c r="F169" t="s">
        <v>162</v>
      </c>
      <c r="G169">
        <v>909</v>
      </c>
      <c r="H169" t="s">
        <v>164</v>
      </c>
      <c r="I169" t="s">
        <v>138</v>
      </c>
      <c r="J169">
        <v>4</v>
      </c>
      <c r="K169" t="s">
        <v>139</v>
      </c>
      <c r="L169" t="s">
        <v>140</v>
      </c>
      <c r="M169">
        <v>4</v>
      </c>
      <c r="N169" t="s">
        <v>159</v>
      </c>
      <c r="O169">
        <v>36</v>
      </c>
      <c r="P169" t="s">
        <v>142</v>
      </c>
      <c r="Q169" t="s">
        <v>143</v>
      </c>
      <c r="R169">
        <v>1</v>
      </c>
      <c r="S169" t="s">
        <v>144</v>
      </c>
      <c r="T169">
        <v>1</v>
      </c>
      <c r="U169" t="s">
        <v>152</v>
      </c>
      <c r="V169" t="s">
        <v>146</v>
      </c>
      <c r="W169">
        <v>1</v>
      </c>
    </row>
    <row r="170" spans="2:23" x14ac:dyDescent="0.3">
      <c r="B170">
        <v>166</v>
      </c>
      <c r="C170" t="s">
        <v>153</v>
      </c>
      <c r="D170">
        <v>6</v>
      </c>
      <c r="E170" t="s">
        <v>148</v>
      </c>
      <c r="F170" t="s">
        <v>157</v>
      </c>
      <c r="G170">
        <v>2978</v>
      </c>
      <c r="H170" t="s">
        <v>164</v>
      </c>
      <c r="I170" t="s">
        <v>150</v>
      </c>
      <c r="J170">
        <v>1</v>
      </c>
      <c r="K170" t="s">
        <v>139</v>
      </c>
      <c r="L170" t="s">
        <v>140</v>
      </c>
      <c r="M170">
        <v>2</v>
      </c>
      <c r="N170" t="s">
        <v>166</v>
      </c>
      <c r="O170">
        <v>32</v>
      </c>
      <c r="P170" t="s">
        <v>142</v>
      </c>
      <c r="Q170" t="s">
        <v>143</v>
      </c>
      <c r="R170">
        <v>1</v>
      </c>
      <c r="S170" t="s">
        <v>144</v>
      </c>
      <c r="T170">
        <v>1</v>
      </c>
      <c r="U170" t="s">
        <v>145</v>
      </c>
      <c r="V170" t="s">
        <v>146</v>
      </c>
      <c r="W170">
        <v>1</v>
      </c>
    </row>
    <row r="171" spans="2:23" x14ac:dyDescent="0.3">
      <c r="B171">
        <v>167</v>
      </c>
      <c r="C171" t="s">
        <v>134</v>
      </c>
      <c r="D171">
        <v>18</v>
      </c>
      <c r="E171" t="s">
        <v>148</v>
      </c>
      <c r="F171" t="s">
        <v>157</v>
      </c>
      <c r="G171">
        <v>1131</v>
      </c>
      <c r="H171" t="s">
        <v>149</v>
      </c>
      <c r="I171" t="s">
        <v>171</v>
      </c>
      <c r="J171">
        <v>4</v>
      </c>
      <c r="K171" t="s">
        <v>151</v>
      </c>
      <c r="L171" t="s">
        <v>140</v>
      </c>
      <c r="M171">
        <v>2</v>
      </c>
      <c r="N171" t="s">
        <v>166</v>
      </c>
      <c r="O171">
        <v>33</v>
      </c>
      <c r="P171" t="s">
        <v>142</v>
      </c>
      <c r="Q171" t="s">
        <v>143</v>
      </c>
      <c r="R171">
        <v>1</v>
      </c>
      <c r="S171" t="s">
        <v>144</v>
      </c>
      <c r="T171">
        <v>1</v>
      </c>
      <c r="U171" t="s">
        <v>152</v>
      </c>
      <c r="V171" t="s">
        <v>146</v>
      </c>
      <c r="W171">
        <v>2</v>
      </c>
    </row>
    <row r="172" spans="2:23" x14ac:dyDescent="0.3">
      <c r="B172">
        <v>168</v>
      </c>
      <c r="C172" t="s">
        <v>147</v>
      </c>
      <c r="D172">
        <v>11</v>
      </c>
      <c r="E172" t="s">
        <v>148</v>
      </c>
      <c r="F172" t="s">
        <v>157</v>
      </c>
      <c r="G172">
        <v>1577</v>
      </c>
      <c r="H172" t="s">
        <v>169</v>
      </c>
      <c r="I172" t="s">
        <v>173</v>
      </c>
      <c r="J172">
        <v>4</v>
      </c>
      <c r="K172" t="s">
        <v>151</v>
      </c>
      <c r="L172" t="s">
        <v>140</v>
      </c>
      <c r="M172">
        <v>1</v>
      </c>
      <c r="N172" t="s">
        <v>141</v>
      </c>
      <c r="O172">
        <v>20</v>
      </c>
      <c r="P172" t="s">
        <v>142</v>
      </c>
      <c r="Q172" t="s">
        <v>143</v>
      </c>
      <c r="R172">
        <v>1</v>
      </c>
      <c r="S172" t="s">
        <v>144</v>
      </c>
      <c r="T172">
        <v>1</v>
      </c>
      <c r="U172" t="s">
        <v>152</v>
      </c>
      <c r="V172" t="s">
        <v>146</v>
      </c>
      <c r="W172">
        <v>1</v>
      </c>
    </row>
    <row r="173" spans="2:23" x14ac:dyDescent="0.3">
      <c r="B173">
        <v>169</v>
      </c>
      <c r="C173" t="s">
        <v>153</v>
      </c>
      <c r="D173">
        <v>24</v>
      </c>
      <c r="E173" t="s">
        <v>148</v>
      </c>
      <c r="F173" t="s">
        <v>157</v>
      </c>
      <c r="G173">
        <v>3972</v>
      </c>
      <c r="H173" t="s">
        <v>149</v>
      </c>
      <c r="I173" t="s">
        <v>155</v>
      </c>
      <c r="J173">
        <v>2</v>
      </c>
      <c r="K173" t="s">
        <v>151</v>
      </c>
      <c r="L173" t="s">
        <v>140</v>
      </c>
      <c r="M173">
        <v>4</v>
      </c>
      <c r="N173" t="s">
        <v>159</v>
      </c>
      <c r="O173">
        <v>25</v>
      </c>
      <c r="P173" t="s">
        <v>142</v>
      </c>
      <c r="Q173" t="s">
        <v>167</v>
      </c>
      <c r="R173">
        <v>1</v>
      </c>
      <c r="S173" t="s">
        <v>144</v>
      </c>
      <c r="T173">
        <v>1</v>
      </c>
      <c r="U173" t="s">
        <v>145</v>
      </c>
      <c r="V173" t="s">
        <v>146</v>
      </c>
      <c r="W173">
        <v>1</v>
      </c>
    </row>
    <row r="174" spans="2:23" x14ac:dyDescent="0.3">
      <c r="B174">
        <v>170</v>
      </c>
      <c r="C174" t="s">
        <v>147</v>
      </c>
      <c r="D174">
        <v>24</v>
      </c>
      <c r="E174" t="s">
        <v>135</v>
      </c>
      <c r="F174" t="s">
        <v>174</v>
      </c>
      <c r="G174">
        <v>1935</v>
      </c>
      <c r="H174" t="s">
        <v>149</v>
      </c>
      <c r="I174" t="s">
        <v>138</v>
      </c>
      <c r="J174">
        <v>4</v>
      </c>
      <c r="K174" t="s">
        <v>170</v>
      </c>
      <c r="L174" t="s">
        <v>140</v>
      </c>
      <c r="M174">
        <v>4</v>
      </c>
      <c r="N174" t="s">
        <v>141</v>
      </c>
      <c r="O174">
        <v>31</v>
      </c>
      <c r="P174" t="s">
        <v>142</v>
      </c>
      <c r="Q174" t="s">
        <v>143</v>
      </c>
      <c r="R174">
        <v>2</v>
      </c>
      <c r="S174" t="s">
        <v>144</v>
      </c>
      <c r="T174">
        <v>1</v>
      </c>
      <c r="U174" t="s">
        <v>145</v>
      </c>
      <c r="V174" t="s">
        <v>146</v>
      </c>
      <c r="W174">
        <v>2</v>
      </c>
    </row>
    <row r="175" spans="2:23" x14ac:dyDescent="0.3">
      <c r="B175">
        <v>171</v>
      </c>
      <c r="C175" t="s">
        <v>134</v>
      </c>
      <c r="D175">
        <v>15</v>
      </c>
      <c r="E175" t="s">
        <v>176</v>
      </c>
      <c r="F175" t="s">
        <v>162</v>
      </c>
      <c r="G175">
        <v>950</v>
      </c>
      <c r="H175" t="s">
        <v>149</v>
      </c>
      <c r="I175" t="s">
        <v>138</v>
      </c>
      <c r="J175">
        <v>4</v>
      </c>
      <c r="K175" t="s">
        <v>139</v>
      </c>
      <c r="L175" t="s">
        <v>140</v>
      </c>
      <c r="M175">
        <v>3</v>
      </c>
      <c r="N175" t="s">
        <v>166</v>
      </c>
      <c r="O175">
        <v>33</v>
      </c>
      <c r="P175" t="s">
        <v>142</v>
      </c>
      <c r="Q175" t="s">
        <v>167</v>
      </c>
      <c r="R175">
        <v>2</v>
      </c>
      <c r="S175" t="s">
        <v>144</v>
      </c>
      <c r="T175">
        <v>2</v>
      </c>
      <c r="U175" t="s">
        <v>152</v>
      </c>
      <c r="V175" t="s">
        <v>146</v>
      </c>
      <c r="W175">
        <v>2</v>
      </c>
    </row>
    <row r="176" spans="2:23" x14ac:dyDescent="0.3">
      <c r="B176">
        <v>172</v>
      </c>
      <c r="C176" t="s">
        <v>153</v>
      </c>
      <c r="D176">
        <v>12</v>
      </c>
      <c r="E176" t="s">
        <v>148</v>
      </c>
      <c r="F176" t="s">
        <v>157</v>
      </c>
      <c r="G176">
        <v>763</v>
      </c>
      <c r="H176" t="s">
        <v>149</v>
      </c>
      <c r="I176" t="s">
        <v>150</v>
      </c>
      <c r="J176">
        <v>4</v>
      </c>
      <c r="K176" t="s">
        <v>151</v>
      </c>
      <c r="L176" t="s">
        <v>140</v>
      </c>
      <c r="M176">
        <v>1</v>
      </c>
      <c r="N176" t="s">
        <v>141</v>
      </c>
      <c r="O176">
        <v>26</v>
      </c>
      <c r="P176" t="s">
        <v>142</v>
      </c>
      <c r="Q176" t="s">
        <v>143</v>
      </c>
      <c r="R176">
        <v>1</v>
      </c>
      <c r="S176" t="s">
        <v>144</v>
      </c>
      <c r="T176">
        <v>1</v>
      </c>
      <c r="U176" t="s">
        <v>145</v>
      </c>
      <c r="V176" t="s">
        <v>146</v>
      </c>
      <c r="W176">
        <v>1</v>
      </c>
    </row>
    <row r="177" spans="2:23" x14ac:dyDescent="0.3">
      <c r="B177">
        <v>173</v>
      </c>
      <c r="C177" t="s">
        <v>147</v>
      </c>
      <c r="D177">
        <v>24</v>
      </c>
      <c r="E177" t="s">
        <v>161</v>
      </c>
      <c r="F177" t="s">
        <v>157</v>
      </c>
      <c r="G177">
        <v>2064</v>
      </c>
      <c r="H177" t="s">
        <v>149</v>
      </c>
      <c r="I177" t="s">
        <v>171</v>
      </c>
      <c r="J177">
        <v>3</v>
      </c>
      <c r="K177" t="s">
        <v>151</v>
      </c>
      <c r="L177" t="s">
        <v>140</v>
      </c>
      <c r="M177">
        <v>2</v>
      </c>
      <c r="N177" t="s">
        <v>159</v>
      </c>
      <c r="O177">
        <v>34</v>
      </c>
      <c r="P177" t="s">
        <v>142</v>
      </c>
      <c r="Q177" t="s">
        <v>143</v>
      </c>
      <c r="R177">
        <v>1</v>
      </c>
      <c r="S177" t="s">
        <v>168</v>
      </c>
      <c r="T177">
        <v>1</v>
      </c>
      <c r="U177" t="s">
        <v>145</v>
      </c>
      <c r="V177" t="s">
        <v>146</v>
      </c>
      <c r="W177">
        <v>2</v>
      </c>
    </row>
    <row r="178" spans="2:23" x14ac:dyDescent="0.3">
      <c r="B178">
        <v>174</v>
      </c>
      <c r="C178" t="s">
        <v>147</v>
      </c>
      <c r="D178">
        <v>8</v>
      </c>
      <c r="E178" t="s">
        <v>148</v>
      </c>
      <c r="F178" t="s">
        <v>136</v>
      </c>
      <c r="G178">
        <v>1414</v>
      </c>
      <c r="H178" t="s">
        <v>149</v>
      </c>
      <c r="I178" t="s">
        <v>150</v>
      </c>
      <c r="J178">
        <v>4</v>
      </c>
      <c r="K178" t="s">
        <v>139</v>
      </c>
      <c r="L178" t="s">
        <v>158</v>
      </c>
      <c r="M178">
        <v>2</v>
      </c>
      <c r="N178" t="s">
        <v>141</v>
      </c>
      <c r="O178">
        <v>33</v>
      </c>
      <c r="P178" t="s">
        <v>142</v>
      </c>
      <c r="Q178" t="s">
        <v>143</v>
      </c>
      <c r="R178">
        <v>1</v>
      </c>
      <c r="S178" t="s">
        <v>144</v>
      </c>
      <c r="T178">
        <v>1</v>
      </c>
      <c r="U178" t="s">
        <v>152</v>
      </c>
      <c r="V178" t="s">
        <v>178</v>
      </c>
      <c r="W178">
        <v>1</v>
      </c>
    </row>
    <row r="179" spans="2:23" x14ac:dyDescent="0.3">
      <c r="B179">
        <v>175</v>
      </c>
      <c r="C179" t="s">
        <v>134</v>
      </c>
      <c r="D179">
        <v>21</v>
      </c>
      <c r="E179" t="s">
        <v>161</v>
      </c>
      <c r="F179" t="s">
        <v>154</v>
      </c>
      <c r="G179">
        <v>3414</v>
      </c>
      <c r="H179" t="s">
        <v>149</v>
      </c>
      <c r="I179" t="s">
        <v>173</v>
      </c>
      <c r="J179">
        <v>2</v>
      </c>
      <c r="K179" t="s">
        <v>139</v>
      </c>
      <c r="L179" t="s">
        <v>140</v>
      </c>
      <c r="M179">
        <v>1</v>
      </c>
      <c r="N179" t="s">
        <v>159</v>
      </c>
      <c r="O179">
        <v>26</v>
      </c>
      <c r="P179" t="s">
        <v>142</v>
      </c>
      <c r="Q179" t="s">
        <v>143</v>
      </c>
      <c r="R179">
        <v>2</v>
      </c>
      <c r="S179" t="s">
        <v>144</v>
      </c>
      <c r="T179">
        <v>1</v>
      </c>
      <c r="U179" t="s">
        <v>152</v>
      </c>
      <c r="V179" t="s">
        <v>146</v>
      </c>
      <c r="W179">
        <v>2</v>
      </c>
    </row>
    <row r="180" spans="2:23" x14ac:dyDescent="0.3">
      <c r="B180">
        <v>176</v>
      </c>
      <c r="C180" t="s">
        <v>153</v>
      </c>
      <c r="D180">
        <v>30</v>
      </c>
      <c r="E180" t="s">
        <v>180</v>
      </c>
      <c r="F180" t="s">
        <v>165</v>
      </c>
      <c r="G180">
        <v>7485</v>
      </c>
      <c r="H180" t="s">
        <v>137</v>
      </c>
      <c r="I180" t="s">
        <v>171</v>
      </c>
      <c r="J180">
        <v>4</v>
      </c>
      <c r="K180" t="s">
        <v>151</v>
      </c>
      <c r="L180" t="s">
        <v>140</v>
      </c>
      <c r="M180">
        <v>1</v>
      </c>
      <c r="N180" t="s">
        <v>141</v>
      </c>
      <c r="O180">
        <v>53</v>
      </c>
      <c r="P180" t="s">
        <v>177</v>
      </c>
      <c r="Q180" t="s">
        <v>143</v>
      </c>
      <c r="R180">
        <v>1</v>
      </c>
      <c r="S180" t="s">
        <v>168</v>
      </c>
      <c r="T180">
        <v>1</v>
      </c>
      <c r="U180" t="s">
        <v>145</v>
      </c>
      <c r="V180" t="s">
        <v>146</v>
      </c>
      <c r="W180">
        <v>2</v>
      </c>
    </row>
    <row r="181" spans="2:23" x14ac:dyDescent="0.3">
      <c r="B181">
        <v>177</v>
      </c>
      <c r="C181" t="s">
        <v>134</v>
      </c>
      <c r="D181">
        <v>12</v>
      </c>
      <c r="E181" t="s">
        <v>148</v>
      </c>
      <c r="F181" t="s">
        <v>157</v>
      </c>
      <c r="G181">
        <v>2577</v>
      </c>
      <c r="H181" t="s">
        <v>149</v>
      </c>
      <c r="I181" t="s">
        <v>150</v>
      </c>
      <c r="J181">
        <v>2</v>
      </c>
      <c r="K181" t="s">
        <v>170</v>
      </c>
      <c r="L181" t="s">
        <v>140</v>
      </c>
      <c r="M181">
        <v>1</v>
      </c>
      <c r="N181" t="s">
        <v>166</v>
      </c>
      <c r="O181">
        <v>42</v>
      </c>
      <c r="P181" t="s">
        <v>142</v>
      </c>
      <c r="Q181" t="s">
        <v>143</v>
      </c>
      <c r="R181">
        <v>1</v>
      </c>
      <c r="S181" t="s">
        <v>144</v>
      </c>
      <c r="T181">
        <v>1</v>
      </c>
      <c r="U181" t="s">
        <v>152</v>
      </c>
      <c r="V181" t="s">
        <v>146</v>
      </c>
      <c r="W181">
        <v>1</v>
      </c>
    </row>
    <row r="182" spans="2:23" x14ac:dyDescent="0.3">
      <c r="B182">
        <v>178</v>
      </c>
      <c r="C182" t="s">
        <v>134</v>
      </c>
      <c r="D182">
        <v>6</v>
      </c>
      <c r="E182" t="s">
        <v>135</v>
      </c>
      <c r="F182" t="s">
        <v>136</v>
      </c>
      <c r="G182">
        <v>338</v>
      </c>
      <c r="H182" t="s">
        <v>164</v>
      </c>
      <c r="I182" t="s">
        <v>138</v>
      </c>
      <c r="J182">
        <v>4</v>
      </c>
      <c r="K182" t="s">
        <v>139</v>
      </c>
      <c r="L182" t="s">
        <v>140</v>
      </c>
      <c r="M182">
        <v>4</v>
      </c>
      <c r="N182" t="s">
        <v>166</v>
      </c>
      <c r="O182">
        <v>52</v>
      </c>
      <c r="P182" t="s">
        <v>142</v>
      </c>
      <c r="Q182" t="s">
        <v>143</v>
      </c>
      <c r="R182">
        <v>2</v>
      </c>
      <c r="S182" t="s">
        <v>144</v>
      </c>
      <c r="T182">
        <v>1</v>
      </c>
      <c r="U182" t="s">
        <v>152</v>
      </c>
      <c r="V182" t="s">
        <v>146</v>
      </c>
      <c r="W182">
        <v>1</v>
      </c>
    </row>
    <row r="183" spans="2:23" x14ac:dyDescent="0.3">
      <c r="B183">
        <v>179</v>
      </c>
      <c r="C183" t="s">
        <v>153</v>
      </c>
      <c r="D183">
        <v>12</v>
      </c>
      <c r="E183" t="s">
        <v>148</v>
      </c>
      <c r="F183" t="s">
        <v>136</v>
      </c>
      <c r="G183">
        <v>1963</v>
      </c>
      <c r="H183" t="s">
        <v>149</v>
      </c>
      <c r="I183" t="s">
        <v>155</v>
      </c>
      <c r="J183">
        <v>4</v>
      </c>
      <c r="K183" t="s">
        <v>139</v>
      </c>
      <c r="L183" t="s">
        <v>140</v>
      </c>
      <c r="M183">
        <v>2</v>
      </c>
      <c r="N183" t="s">
        <v>166</v>
      </c>
      <c r="O183">
        <v>31</v>
      </c>
      <c r="P183" t="s">
        <v>142</v>
      </c>
      <c r="Q183" t="s">
        <v>167</v>
      </c>
      <c r="R183">
        <v>2</v>
      </c>
      <c r="S183" t="s">
        <v>168</v>
      </c>
      <c r="T183">
        <v>2</v>
      </c>
      <c r="U183" t="s">
        <v>145</v>
      </c>
      <c r="V183" t="s">
        <v>146</v>
      </c>
      <c r="W183">
        <v>1</v>
      </c>
    </row>
    <row r="184" spans="2:23" x14ac:dyDescent="0.3">
      <c r="B184">
        <v>180</v>
      </c>
      <c r="C184" t="s">
        <v>134</v>
      </c>
      <c r="D184">
        <v>21</v>
      </c>
      <c r="E184" t="s">
        <v>135</v>
      </c>
      <c r="F184" t="s">
        <v>162</v>
      </c>
      <c r="G184">
        <v>571</v>
      </c>
      <c r="H184" t="s">
        <v>149</v>
      </c>
      <c r="I184" t="s">
        <v>138</v>
      </c>
      <c r="J184">
        <v>4</v>
      </c>
      <c r="K184" t="s">
        <v>139</v>
      </c>
      <c r="L184" t="s">
        <v>140</v>
      </c>
      <c r="M184">
        <v>4</v>
      </c>
      <c r="N184" t="s">
        <v>141</v>
      </c>
      <c r="O184">
        <v>65</v>
      </c>
      <c r="P184" t="s">
        <v>142</v>
      </c>
      <c r="Q184" t="s">
        <v>143</v>
      </c>
      <c r="R184">
        <v>2</v>
      </c>
      <c r="S184" t="s">
        <v>144</v>
      </c>
      <c r="T184">
        <v>1</v>
      </c>
      <c r="U184" t="s">
        <v>152</v>
      </c>
      <c r="V184" t="s">
        <v>146</v>
      </c>
      <c r="W184">
        <v>1</v>
      </c>
    </row>
    <row r="185" spans="2:23" x14ac:dyDescent="0.3">
      <c r="B185">
        <v>181</v>
      </c>
      <c r="C185" t="s">
        <v>153</v>
      </c>
      <c r="D185">
        <v>36</v>
      </c>
      <c r="E185" t="s">
        <v>161</v>
      </c>
      <c r="F185" t="s">
        <v>174</v>
      </c>
      <c r="G185">
        <v>9572</v>
      </c>
      <c r="H185" t="s">
        <v>149</v>
      </c>
      <c r="I185" t="s">
        <v>173</v>
      </c>
      <c r="J185">
        <v>1</v>
      </c>
      <c r="K185" t="s">
        <v>170</v>
      </c>
      <c r="L185" t="s">
        <v>140</v>
      </c>
      <c r="M185">
        <v>1</v>
      </c>
      <c r="N185" t="s">
        <v>166</v>
      </c>
      <c r="O185">
        <v>28</v>
      </c>
      <c r="P185" t="s">
        <v>142</v>
      </c>
      <c r="Q185" t="s">
        <v>143</v>
      </c>
      <c r="R185">
        <v>2</v>
      </c>
      <c r="S185" t="s">
        <v>144</v>
      </c>
      <c r="T185">
        <v>1</v>
      </c>
      <c r="U185" t="s">
        <v>152</v>
      </c>
      <c r="V185" t="s">
        <v>146</v>
      </c>
      <c r="W185">
        <v>2</v>
      </c>
    </row>
    <row r="186" spans="2:23" x14ac:dyDescent="0.3">
      <c r="B186">
        <v>182</v>
      </c>
      <c r="C186" t="s">
        <v>147</v>
      </c>
      <c r="D186">
        <v>36</v>
      </c>
      <c r="E186" t="s">
        <v>161</v>
      </c>
      <c r="F186" t="s">
        <v>174</v>
      </c>
      <c r="G186">
        <v>4455</v>
      </c>
      <c r="H186" t="s">
        <v>149</v>
      </c>
      <c r="I186" t="s">
        <v>150</v>
      </c>
      <c r="J186">
        <v>2</v>
      </c>
      <c r="K186" t="s">
        <v>170</v>
      </c>
      <c r="L186" t="s">
        <v>140</v>
      </c>
      <c r="M186">
        <v>2</v>
      </c>
      <c r="N186" t="s">
        <v>141</v>
      </c>
      <c r="O186">
        <v>30</v>
      </c>
      <c r="P186" t="s">
        <v>181</v>
      </c>
      <c r="Q186" t="s">
        <v>143</v>
      </c>
      <c r="R186">
        <v>2</v>
      </c>
      <c r="S186" t="s">
        <v>168</v>
      </c>
      <c r="T186">
        <v>1</v>
      </c>
      <c r="U186" t="s">
        <v>145</v>
      </c>
      <c r="V186" t="s">
        <v>146</v>
      </c>
      <c r="W186">
        <v>2</v>
      </c>
    </row>
    <row r="187" spans="2:23" x14ac:dyDescent="0.3">
      <c r="B187">
        <v>183</v>
      </c>
      <c r="C187" t="s">
        <v>134</v>
      </c>
      <c r="D187">
        <v>21</v>
      </c>
      <c r="E187" t="s">
        <v>180</v>
      </c>
      <c r="F187" t="s">
        <v>162</v>
      </c>
      <c r="G187">
        <v>1647</v>
      </c>
      <c r="H187" t="s">
        <v>137</v>
      </c>
      <c r="I187" t="s">
        <v>150</v>
      </c>
      <c r="J187">
        <v>4</v>
      </c>
      <c r="K187" t="s">
        <v>139</v>
      </c>
      <c r="L187" t="s">
        <v>140</v>
      </c>
      <c r="M187">
        <v>2</v>
      </c>
      <c r="N187" t="s">
        <v>159</v>
      </c>
      <c r="O187">
        <v>40</v>
      </c>
      <c r="P187" t="s">
        <v>142</v>
      </c>
      <c r="Q187" t="s">
        <v>143</v>
      </c>
      <c r="R187">
        <v>2</v>
      </c>
      <c r="S187" t="s">
        <v>156</v>
      </c>
      <c r="T187">
        <v>2</v>
      </c>
      <c r="U187" t="s">
        <v>152</v>
      </c>
      <c r="V187" t="s">
        <v>146</v>
      </c>
      <c r="W187">
        <v>2</v>
      </c>
    </row>
    <row r="188" spans="2:23" x14ac:dyDescent="0.3">
      <c r="B188">
        <v>184</v>
      </c>
      <c r="C188" t="s">
        <v>153</v>
      </c>
      <c r="D188">
        <v>24</v>
      </c>
      <c r="E188" t="s">
        <v>135</v>
      </c>
      <c r="F188" t="s">
        <v>157</v>
      </c>
      <c r="G188">
        <v>3777</v>
      </c>
      <c r="H188" t="s">
        <v>169</v>
      </c>
      <c r="I188" t="s">
        <v>150</v>
      </c>
      <c r="J188">
        <v>4</v>
      </c>
      <c r="K188" t="s">
        <v>139</v>
      </c>
      <c r="L188" t="s">
        <v>140</v>
      </c>
      <c r="M188">
        <v>4</v>
      </c>
      <c r="N188" t="s">
        <v>141</v>
      </c>
      <c r="O188">
        <v>50</v>
      </c>
      <c r="P188" t="s">
        <v>142</v>
      </c>
      <c r="Q188" t="s">
        <v>143</v>
      </c>
      <c r="R188">
        <v>1</v>
      </c>
      <c r="S188" t="s">
        <v>144</v>
      </c>
      <c r="T188">
        <v>1</v>
      </c>
      <c r="U188" t="s">
        <v>145</v>
      </c>
      <c r="V188" t="s">
        <v>146</v>
      </c>
      <c r="W188">
        <v>1</v>
      </c>
    </row>
    <row r="189" spans="2:23" x14ac:dyDescent="0.3">
      <c r="B189">
        <v>185</v>
      </c>
      <c r="C189" t="s">
        <v>147</v>
      </c>
      <c r="D189">
        <v>18</v>
      </c>
      <c r="E189" t="s">
        <v>135</v>
      </c>
      <c r="F189" t="s">
        <v>162</v>
      </c>
      <c r="G189">
        <v>884</v>
      </c>
      <c r="H189" t="s">
        <v>149</v>
      </c>
      <c r="I189" t="s">
        <v>138</v>
      </c>
      <c r="J189">
        <v>4</v>
      </c>
      <c r="K189" t="s">
        <v>139</v>
      </c>
      <c r="L189" t="s">
        <v>140</v>
      </c>
      <c r="M189">
        <v>4</v>
      </c>
      <c r="N189" t="s">
        <v>166</v>
      </c>
      <c r="O189">
        <v>36</v>
      </c>
      <c r="P189" t="s">
        <v>177</v>
      </c>
      <c r="Q189" t="s">
        <v>143</v>
      </c>
      <c r="R189">
        <v>1</v>
      </c>
      <c r="S189" t="s">
        <v>144</v>
      </c>
      <c r="T189">
        <v>2</v>
      </c>
      <c r="U189" t="s">
        <v>145</v>
      </c>
      <c r="V189" t="s">
        <v>146</v>
      </c>
      <c r="W189">
        <v>2</v>
      </c>
    </row>
    <row r="190" spans="2:23" x14ac:dyDescent="0.3">
      <c r="B190">
        <v>186</v>
      </c>
      <c r="C190" t="s">
        <v>153</v>
      </c>
      <c r="D190">
        <v>15</v>
      </c>
      <c r="E190" t="s">
        <v>135</v>
      </c>
      <c r="F190" t="s">
        <v>136</v>
      </c>
      <c r="G190">
        <v>1360</v>
      </c>
      <c r="H190" t="s">
        <v>149</v>
      </c>
      <c r="I190" t="s">
        <v>150</v>
      </c>
      <c r="J190">
        <v>4</v>
      </c>
      <c r="K190" t="s">
        <v>139</v>
      </c>
      <c r="L190" t="s">
        <v>140</v>
      </c>
      <c r="M190">
        <v>2</v>
      </c>
      <c r="N190" t="s">
        <v>159</v>
      </c>
      <c r="O190">
        <v>31</v>
      </c>
      <c r="P190" t="s">
        <v>142</v>
      </c>
      <c r="Q190" t="s">
        <v>143</v>
      </c>
      <c r="R190">
        <v>2</v>
      </c>
      <c r="S190" t="s">
        <v>144</v>
      </c>
      <c r="T190">
        <v>1</v>
      </c>
      <c r="U190" t="s">
        <v>152</v>
      </c>
      <c r="V190" t="s">
        <v>146</v>
      </c>
      <c r="W190">
        <v>1</v>
      </c>
    </row>
    <row r="191" spans="2:23" x14ac:dyDescent="0.3">
      <c r="B191">
        <v>187</v>
      </c>
      <c r="C191" t="s">
        <v>147</v>
      </c>
      <c r="D191">
        <v>9</v>
      </c>
      <c r="E191" t="s">
        <v>180</v>
      </c>
      <c r="F191" t="s">
        <v>165</v>
      </c>
      <c r="G191">
        <v>5129</v>
      </c>
      <c r="H191" t="s">
        <v>149</v>
      </c>
      <c r="I191" t="s">
        <v>138</v>
      </c>
      <c r="J191">
        <v>2</v>
      </c>
      <c r="K191" t="s">
        <v>151</v>
      </c>
      <c r="L191" t="s">
        <v>140</v>
      </c>
      <c r="M191">
        <v>4</v>
      </c>
      <c r="N191" t="s">
        <v>163</v>
      </c>
      <c r="O191">
        <v>74</v>
      </c>
      <c r="P191" t="s">
        <v>177</v>
      </c>
      <c r="Q191" t="s">
        <v>160</v>
      </c>
      <c r="R191">
        <v>1</v>
      </c>
      <c r="S191" t="s">
        <v>168</v>
      </c>
      <c r="T191">
        <v>2</v>
      </c>
      <c r="U191" t="s">
        <v>145</v>
      </c>
      <c r="V191" t="s">
        <v>146</v>
      </c>
      <c r="W191">
        <v>2</v>
      </c>
    </row>
    <row r="192" spans="2:23" x14ac:dyDescent="0.3">
      <c r="B192">
        <v>188</v>
      </c>
      <c r="C192" t="s">
        <v>147</v>
      </c>
      <c r="D192">
        <v>16</v>
      </c>
      <c r="E192" t="s">
        <v>135</v>
      </c>
      <c r="F192" t="s">
        <v>162</v>
      </c>
      <c r="G192">
        <v>1175</v>
      </c>
      <c r="H192" t="s">
        <v>149</v>
      </c>
      <c r="I192" t="s">
        <v>171</v>
      </c>
      <c r="J192">
        <v>2</v>
      </c>
      <c r="K192" t="s">
        <v>139</v>
      </c>
      <c r="L192" t="s">
        <v>140</v>
      </c>
      <c r="M192">
        <v>3</v>
      </c>
      <c r="N192" t="s">
        <v>166</v>
      </c>
      <c r="O192">
        <v>68</v>
      </c>
      <c r="P192" t="s">
        <v>142</v>
      </c>
      <c r="Q192" t="s">
        <v>160</v>
      </c>
      <c r="R192">
        <v>3</v>
      </c>
      <c r="S192" t="s">
        <v>185</v>
      </c>
      <c r="T192">
        <v>1</v>
      </c>
      <c r="U192" t="s">
        <v>145</v>
      </c>
      <c r="V192" t="s">
        <v>146</v>
      </c>
      <c r="W192">
        <v>1</v>
      </c>
    </row>
    <row r="193" spans="2:23" x14ac:dyDescent="0.3">
      <c r="B193">
        <v>189</v>
      </c>
      <c r="C193" t="s">
        <v>134</v>
      </c>
      <c r="D193">
        <v>12</v>
      </c>
      <c r="E193" t="s">
        <v>148</v>
      </c>
      <c r="F193" t="s">
        <v>136</v>
      </c>
      <c r="G193">
        <v>674</v>
      </c>
      <c r="H193" t="s">
        <v>175</v>
      </c>
      <c r="I193" t="s">
        <v>155</v>
      </c>
      <c r="J193">
        <v>4</v>
      </c>
      <c r="K193" t="s">
        <v>172</v>
      </c>
      <c r="L193" t="s">
        <v>140</v>
      </c>
      <c r="M193">
        <v>1</v>
      </c>
      <c r="N193" t="s">
        <v>159</v>
      </c>
      <c r="O193">
        <v>20</v>
      </c>
      <c r="P193" t="s">
        <v>142</v>
      </c>
      <c r="Q193" t="s">
        <v>143</v>
      </c>
      <c r="R193">
        <v>1</v>
      </c>
      <c r="S193" t="s">
        <v>144</v>
      </c>
      <c r="T193">
        <v>1</v>
      </c>
      <c r="U193" t="s">
        <v>152</v>
      </c>
      <c r="V193" t="s">
        <v>146</v>
      </c>
      <c r="W193">
        <v>2</v>
      </c>
    </row>
    <row r="194" spans="2:23" x14ac:dyDescent="0.3">
      <c r="B194">
        <v>190</v>
      </c>
      <c r="C194" t="s">
        <v>147</v>
      </c>
      <c r="D194">
        <v>18</v>
      </c>
      <c r="E194" t="s">
        <v>176</v>
      </c>
      <c r="F194" t="s">
        <v>157</v>
      </c>
      <c r="G194">
        <v>3244</v>
      </c>
      <c r="H194" t="s">
        <v>149</v>
      </c>
      <c r="I194" t="s">
        <v>150</v>
      </c>
      <c r="J194">
        <v>1</v>
      </c>
      <c r="K194" t="s">
        <v>151</v>
      </c>
      <c r="L194" t="s">
        <v>140</v>
      </c>
      <c r="M194">
        <v>4</v>
      </c>
      <c r="N194" t="s">
        <v>166</v>
      </c>
      <c r="O194">
        <v>33</v>
      </c>
      <c r="P194" t="s">
        <v>177</v>
      </c>
      <c r="Q194" t="s">
        <v>143</v>
      </c>
      <c r="R194">
        <v>2</v>
      </c>
      <c r="S194" t="s">
        <v>144</v>
      </c>
      <c r="T194">
        <v>1</v>
      </c>
      <c r="U194" t="s">
        <v>145</v>
      </c>
      <c r="V194" t="s">
        <v>146</v>
      </c>
      <c r="W194">
        <v>1</v>
      </c>
    </row>
    <row r="195" spans="2:23" x14ac:dyDescent="0.3">
      <c r="B195">
        <v>191</v>
      </c>
      <c r="C195" t="s">
        <v>153</v>
      </c>
      <c r="D195">
        <v>24</v>
      </c>
      <c r="E195" t="s">
        <v>148</v>
      </c>
      <c r="F195" t="s">
        <v>174</v>
      </c>
      <c r="G195">
        <v>4591</v>
      </c>
      <c r="H195" t="s">
        <v>169</v>
      </c>
      <c r="I195" t="s">
        <v>150</v>
      </c>
      <c r="J195">
        <v>2</v>
      </c>
      <c r="K195" t="s">
        <v>139</v>
      </c>
      <c r="L195" t="s">
        <v>140</v>
      </c>
      <c r="M195">
        <v>3</v>
      </c>
      <c r="N195" t="s">
        <v>159</v>
      </c>
      <c r="O195">
        <v>54</v>
      </c>
      <c r="P195" t="s">
        <v>142</v>
      </c>
      <c r="Q195" t="s">
        <v>143</v>
      </c>
      <c r="R195">
        <v>3</v>
      </c>
      <c r="S195" t="s">
        <v>168</v>
      </c>
      <c r="T195">
        <v>1</v>
      </c>
      <c r="U195" t="s">
        <v>145</v>
      </c>
      <c r="V195" t="s">
        <v>146</v>
      </c>
      <c r="W195">
        <v>2</v>
      </c>
    </row>
    <row r="196" spans="2:23" x14ac:dyDescent="0.3">
      <c r="B196">
        <v>192</v>
      </c>
      <c r="C196" t="s">
        <v>147</v>
      </c>
      <c r="D196">
        <v>48</v>
      </c>
      <c r="E196" t="s">
        <v>176</v>
      </c>
      <c r="F196" t="s">
        <v>174</v>
      </c>
      <c r="G196">
        <v>3844</v>
      </c>
      <c r="H196" t="s">
        <v>175</v>
      </c>
      <c r="I196" t="s">
        <v>155</v>
      </c>
      <c r="J196">
        <v>4</v>
      </c>
      <c r="K196" t="s">
        <v>139</v>
      </c>
      <c r="L196" t="s">
        <v>140</v>
      </c>
      <c r="M196">
        <v>4</v>
      </c>
      <c r="N196" t="s">
        <v>163</v>
      </c>
      <c r="O196">
        <v>34</v>
      </c>
      <c r="P196" t="s">
        <v>142</v>
      </c>
      <c r="Q196" t="s">
        <v>160</v>
      </c>
      <c r="R196">
        <v>1</v>
      </c>
      <c r="S196" t="s">
        <v>156</v>
      </c>
      <c r="T196">
        <v>2</v>
      </c>
      <c r="U196" t="s">
        <v>152</v>
      </c>
      <c r="V196" t="s">
        <v>146</v>
      </c>
      <c r="W196">
        <v>2</v>
      </c>
    </row>
    <row r="197" spans="2:23" x14ac:dyDescent="0.3">
      <c r="B197">
        <v>193</v>
      </c>
      <c r="C197" t="s">
        <v>147</v>
      </c>
      <c r="D197">
        <v>27</v>
      </c>
      <c r="E197" t="s">
        <v>148</v>
      </c>
      <c r="F197" t="s">
        <v>174</v>
      </c>
      <c r="G197">
        <v>3915</v>
      </c>
      <c r="H197" t="s">
        <v>149</v>
      </c>
      <c r="I197" t="s">
        <v>150</v>
      </c>
      <c r="J197">
        <v>4</v>
      </c>
      <c r="K197" t="s">
        <v>139</v>
      </c>
      <c r="L197" t="s">
        <v>140</v>
      </c>
      <c r="M197">
        <v>2</v>
      </c>
      <c r="N197" t="s">
        <v>166</v>
      </c>
      <c r="O197">
        <v>36</v>
      </c>
      <c r="P197" t="s">
        <v>142</v>
      </c>
      <c r="Q197" t="s">
        <v>143</v>
      </c>
      <c r="R197">
        <v>1</v>
      </c>
      <c r="S197" t="s">
        <v>144</v>
      </c>
      <c r="T197">
        <v>2</v>
      </c>
      <c r="U197" t="s">
        <v>145</v>
      </c>
      <c r="V197" t="s">
        <v>146</v>
      </c>
      <c r="W197">
        <v>2</v>
      </c>
    </row>
    <row r="198" spans="2:23" x14ac:dyDescent="0.3">
      <c r="B198">
        <v>194</v>
      </c>
      <c r="C198" t="s">
        <v>153</v>
      </c>
      <c r="D198">
        <v>6</v>
      </c>
      <c r="E198" t="s">
        <v>148</v>
      </c>
      <c r="F198" t="s">
        <v>136</v>
      </c>
      <c r="G198">
        <v>2108</v>
      </c>
      <c r="H198" t="s">
        <v>149</v>
      </c>
      <c r="I198" t="s">
        <v>155</v>
      </c>
      <c r="J198">
        <v>2</v>
      </c>
      <c r="K198" t="s">
        <v>172</v>
      </c>
      <c r="L198" t="s">
        <v>140</v>
      </c>
      <c r="M198">
        <v>2</v>
      </c>
      <c r="N198" t="s">
        <v>141</v>
      </c>
      <c r="O198">
        <v>29</v>
      </c>
      <c r="P198" t="s">
        <v>142</v>
      </c>
      <c r="Q198" t="s">
        <v>167</v>
      </c>
      <c r="R198">
        <v>1</v>
      </c>
      <c r="S198" t="s">
        <v>144</v>
      </c>
      <c r="T198">
        <v>1</v>
      </c>
      <c r="U198" t="s">
        <v>152</v>
      </c>
      <c r="V198" t="s">
        <v>146</v>
      </c>
      <c r="W198">
        <v>1</v>
      </c>
    </row>
    <row r="199" spans="2:23" x14ac:dyDescent="0.3">
      <c r="B199">
        <v>195</v>
      </c>
      <c r="C199" t="s">
        <v>147</v>
      </c>
      <c r="D199">
        <v>45</v>
      </c>
      <c r="E199" t="s">
        <v>148</v>
      </c>
      <c r="F199" t="s">
        <v>136</v>
      </c>
      <c r="G199">
        <v>3031</v>
      </c>
      <c r="H199" t="s">
        <v>175</v>
      </c>
      <c r="I199" t="s">
        <v>150</v>
      </c>
      <c r="J199">
        <v>4</v>
      </c>
      <c r="K199" t="s">
        <v>139</v>
      </c>
      <c r="L199" t="s">
        <v>158</v>
      </c>
      <c r="M199">
        <v>4</v>
      </c>
      <c r="N199" t="s">
        <v>159</v>
      </c>
      <c r="O199">
        <v>21</v>
      </c>
      <c r="P199" t="s">
        <v>142</v>
      </c>
      <c r="Q199" t="s">
        <v>167</v>
      </c>
      <c r="R199">
        <v>1</v>
      </c>
      <c r="S199" t="s">
        <v>144</v>
      </c>
      <c r="T199">
        <v>1</v>
      </c>
      <c r="U199" t="s">
        <v>152</v>
      </c>
      <c r="V199" t="s">
        <v>146</v>
      </c>
      <c r="W199">
        <v>2</v>
      </c>
    </row>
    <row r="200" spans="2:23" x14ac:dyDescent="0.3">
      <c r="B200">
        <v>196</v>
      </c>
      <c r="C200" t="s">
        <v>147</v>
      </c>
      <c r="D200">
        <v>9</v>
      </c>
      <c r="E200" t="s">
        <v>135</v>
      </c>
      <c r="F200" t="s">
        <v>154</v>
      </c>
      <c r="G200">
        <v>1501</v>
      </c>
      <c r="H200" t="s">
        <v>149</v>
      </c>
      <c r="I200" t="s">
        <v>138</v>
      </c>
      <c r="J200">
        <v>2</v>
      </c>
      <c r="K200" t="s">
        <v>151</v>
      </c>
      <c r="L200" t="s">
        <v>140</v>
      </c>
      <c r="M200">
        <v>3</v>
      </c>
      <c r="N200" t="s">
        <v>166</v>
      </c>
      <c r="O200">
        <v>34</v>
      </c>
      <c r="P200" t="s">
        <v>142</v>
      </c>
      <c r="Q200" t="s">
        <v>143</v>
      </c>
      <c r="R200">
        <v>2</v>
      </c>
      <c r="S200" t="s">
        <v>168</v>
      </c>
      <c r="T200">
        <v>1</v>
      </c>
      <c r="U200" t="s">
        <v>145</v>
      </c>
      <c r="V200" t="s">
        <v>146</v>
      </c>
      <c r="W200">
        <v>2</v>
      </c>
    </row>
    <row r="201" spans="2:23" x14ac:dyDescent="0.3">
      <c r="B201">
        <v>197</v>
      </c>
      <c r="C201" t="s">
        <v>153</v>
      </c>
      <c r="D201">
        <v>6</v>
      </c>
      <c r="E201" t="s">
        <v>135</v>
      </c>
      <c r="F201" t="s">
        <v>136</v>
      </c>
      <c r="G201">
        <v>1382</v>
      </c>
      <c r="H201" t="s">
        <v>149</v>
      </c>
      <c r="I201" t="s">
        <v>150</v>
      </c>
      <c r="J201">
        <v>1</v>
      </c>
      <c r="K201" t="s">
        <v>151</v>
      </c>
      <c r="L201" t="s">
        <v>140</v>
      </c>
      <c r="M201">
        <v>1</v>
      </c>
      <c r="N201" t="s">
        <v>166</v>
      </c>
      <c r="O201">
        <v>28</v>
      </c>
      <c r="P201" t="s">
        <v>142</v>
      </c>
      <c r="Q201" t="s">
        <v>143</v>
      </c>
      <c r="R201">
        <v>2</v>
      </c>
      <c r="S201" t="s">
        <v>144</v>
      </c>
      <c r="T201">
        <v>1</v>
      </c>
      <c r="U201" t="s">
        <v>145</v>
      </c>
      <c r="V201" t="s">
        <v>146</v>
      </c>
      <c r="W201">
        <v>1</v>
      </c>
    </row>
    <row r="202" spans="2:23" x14ac:dyDescent="0.3">
      <c r="B202">
        <v>198</v>
      </c>
      <c r="C202" t="s">
        <v>147</v>
      </c>
      <c r="D202">
        <v>12</v>
      </c>
      <c r="E202" t="s">
        <v>148</v>
      </c>
      <c r="F202" t="s">
        <v>157</v>
      </c>
      <c r="G202">
        <v>951</v>
      </c>
      <c r="H202" t="s">
        <v>175</v>
      </c>
      <c r="I202" t="s">
        <v>173</v>
      </c>
      <c r="J202">
        <v>4</v>
      </c>
      <c r="K202" t="s">
        <v>151</v>
      </c>
      <c r="L202" t="s">
        <v>140</v>
      </c>
      <c r="M202">
        <v>4</v>
      </c>
      <c r="N202" t="s">
        <v>166</v>
      </c>
      <c r="O202">
        <v>27</v>
      </c>
      <c r="P202" t="s">
        <v>177</v>
      </c>
      <c r="Q202" t="s">
        <v>167</v>
      </c>
      <c r="R202">
        <v>4</v>
      </c>
      <c r="S202" t="s">
        <v>144</v>
      </c>
      <c r="T202">
        <v>1</v>
      </c>
      <c r="U202" t="s">
        <v>152</v>
      </c>
      <c r="V202" t="s">
        <v>146</v>
      </c>
      <c r="W202">
        <v>2</v>
      </c>
    </row>
    <row r="203" spans="2:23" x14ac:dyDescent="0.3">
      <c r="B203">
        <v>199</v>
      </c>
      <c r="C203" t="s">
        <v>147</v>
      </c>
      <c r="D203">
        <v>24</v>
      </c>
      <c r="E203" t="s">
        <v>148</v>
      </c>
      <c r="F203" t="s">
        <v>165</v>
      </c>
      <c r="G203">
        <v>2760</v>
      </c>
      <c r="H203" t="s">
        <v>137</v>
      </c>
      <c r="I203" t="s">
        <v>138</v>
      </c>
      <c r="J203">
        <v>4</v>
      </c>
      <c r="K203" t="s">
        <v>139</v>
      </c>
      <c r="L203" t="s">
        <v>140</v>
      </c>
      <c r="M203">
        <v>4</v>
      </c>
      <c r="N203" t="s">
        <v>163</v>
      </c>
      <c r="O203">
        <v>36</v>
      </c>
      <c r="P203" t="s">
        <v>177</v>
      </c>
      <c r="Q203" t="s">
        <v>160</v>
      </c>
      <c r="R203">
        <v>1</v>
      </c>
      <c r="S203" t="s">
        <v>144</v>
      </c>
      <c r="T203">
        <v>1</v>
      </c>
      <c r="U203" t="s">
        <v>145</v>
      </c>
      <c r="V203" t="s">
        <v>146</v>
      </c>
      <c r="W203">
        <v>1</v>
      </c>
    </row>
    <row r="204" spans="2:23" x14ac:dyDescent="0.3">
      <c r="B204">
        <v>200</v>
      </c>
      <c r="C204" t="s">
        <v>147</v>
      </c>
      <c r="D204">
        <v>18</v>
      </c>
      <c r="E204" t="s">
        <v>161</v>
      </c>
      <c r="F204" t="s">
        <v>157</v>
      </c>
      <c r="G204">
        <v>4297</v>
      </c>
      <c r="H204" t="s">
        <v>149</v>
      </c>
      <c r="I204" t="s">
        <v>138</v>
      </c>
      <c r="J204">
        <v>4</v>
      </c>
      <c r="K204" t="s">
        <v>170</v>
      </c>
      <c r="L204" t="s">
        <v>140</v>
      </c>
      <c r="M204">
        <v>3</v>
      </c>
      <c r="N204" t="s">
        <v>163</v>
      </c>
      <c r="O204">
        <v>40</v>
      </c>
      <c r="P204" t="s">
        <v>142</v>
      </c>
      <c r="Q204" t="s">
        <v>143</v>
      </c>
      <c r="R204">
        <v>1</v>
      </c>
      <c r="S204" t="s">
        <v>168</v>
      </c>
      <c r="T204">
        <v>1</v>
      </c>
      <c r="U204" t="s">
        <v>145</v>
      </c>
      <c r="V204" t="s">
        <v>146</v>
      </c>
      <c r="W204">
        <v>2</v>
      </c>
    </row>
    <row r="205" spans="2:23" x14ac:dyDescent="0.3">
      <c r="B205">
        <v>201</v>
      </c>
      <c r="C205" t="s">
        <v>153</v>
      </c>
      <c r="D205">
        <v>9</v>
      </c>
      <c r="E205" t="s">
        <v>135</v>
      </c>
      <c r="F205" t="s">
        <v>154</v>
      </c>
      <c r="G205">
        <v>936</v>
      </c>
      <c r="H205" t="s">
        <v>164</v>
      </c>
      <c r="I205" t="s">
        <v>138</v>
      </c>
      <c r="J205">
        <v>4</v>
      </c>
      <c r="K205" t="s">
        <v>139</v>
      </c>
      <c r="L205" t="s">
        <v>140</v>
      </c>
      <c r="M205">
        <v>2</v>
      </c>
      <c r="N205" t="s">
        <v>166</v>
      </c>
      <c r="O205">
        <v>52</v>
      </c>
      <c r="P205" t="s">
        <v>142</v>
      </c>
      <c r="Q205" t="s">
        <v>143</v>
      </c>
      <c r="R205">
        <v>2</v>
      </c>
      <c r="S205" t="s">
        <v>144</v>
      </c>
      <c r="T205">
        <v>1</v>
      </c>
      <c r="U205" t="s">
        <v>145</v>
      </c>
      <c r="V205" t="s">
        <v>146</v>
      </c>
      <c r="W205">
        <v>1</v>
      </c>
    </row>
    <row r="206" spans="2:23" x14ac:dyDescent="0.3">
      <c r="B206">
        <v>202</v>
      </c>
      <c r="C206" t="s">
        <v>134</v>
      </c>
      <c r="D206">
        <v>12</v>
      </c>
      <c r="E206" t="s">
        <v>148</v>
      </c>
      <c r="F206" t="s">
        <v>162</v>
      </c>
      <c r="G206">
        <v>1168</v>
      </c>
      <c r="H206" t="s">
        <v>149</v>
      </c>
      <c r="I206" t="s">
        <v>150</v>
      </c>
      <c r="J206">
        <v>4</v>
      </c>
      <c r="K206" t="s">
        <v>172</v>
      </c>
      <c r="L206" t="s">
        <v>140</v>
      </c>
      <c r="M206">
        <v>3</v>
      </c>
      <c r="N206" t="s">
        <v>141</v>
      </c>
      <c r="O206">
        <v>27</v>
      </c>
      <c r="P206" t="s">
        <v>142</v>
      </c>
      <c r="Q206" t="s">
        <v>143</v>
      </c>
      <c r="R206">
        <v>1</v>
      </c>
      <c r="S206" t="s">
        <v>156</v>
      </c>
      <c r="T206">
        <v>1</v>
      </c>
      <c r="U206" t="s">
        <v>152</v>
      </c>
      <c r="V206" t="s">
        <v>146</v>
      </c>
      <c r="W206">
        <v>1</v>
      </c>
    </row>
    <row r="207" spans="2:23" x14ac:dyDescent="0.3">
      <c r="B207">
        <v>203</v>
      </c>
      <c r="C207" t="s">
        <v>153</v>
      </c>
      <c r="D207">
        <v>27</v>
      </c>
      <c r="E207" t="s">
        <v>161</v>
      </c>
      <c r="F207" t="s">
        <v>174</v>
      </c>
      <c r="G207">
        <v>5117</v>
      </c>
      <c r="H207" t="s">
        <v>149</v>
      </c>
      <c r="I207" t="s">
        <v>155</v>
      </c>
      <c r="J207">
        <v>3</v>
      </c>
      <c r="K207" t="s">
        <v>139</v>
      </c>
      <c r="L207" t="s">
        <v>140</v>
      </c>
      <c r="M207">
        <v>4</v>
      </c>
      <c r="N207" t="s">
        <v>166</v>
      </c>
      <c r="O207">
        <v>26</v>
      </c>
      <c r="P207" t="s">
        <v>142</v>
      </c>
      <c r="Q207" t="s">
        <v>143</v>
      </c>
      <c r="R207">
        <v>2</v>
      </c>
      <c r="S207" t="s">
        <v>144</v>
      </c>
      <c r="T207">
        <v>1</v>
      </c>
      <c r="U207" t="s">
        <v>152</v>
      </c>
      <c r="V207" t="s">
        <v>146</v>
      </c>
      <c r="W207">
        <v>1</v>
      </c>
    </row>
    <row r="208" spans="2:23" x14ac:dyDescent="0.3">
      <c r="B208">
        <v>204</v>
      </c>
      <c r="C208" t="s">
        <v>134</v>
      </c>
      <c r="D208">
        <v>12</v>
      </c>
      <c r="E208" t="s">
        <v>148</v>
      </c>
      <c r="F208" t="s">
        <v>187</v>
      </c>
      <c r="G208">
        <v>902</v>
      </c>
      <c r="H208" t="s">
        <v>149</v>
      </c>
      <c r="I208" t="s">
        <v>155</v>
      </c>
      <c r="J208">
        <v>4</v>
      </c>
      <c r="K208" t="s">
        <v>172</v>
      </c>
      <c r="L208" t="s">
        <v>140</v>
      </c>
      <c r="M208">
        <v>4</v>
      </c>
      <c r="N208" t="s">
        <v>159</v>
      </c>
      <c r="O208">
        <v>21</v>
      </c>
      <c r="P208" t="s">
        <v>142</v>
      </c>
      <c r="Q208" t="s">
        <v>167</v>
      </c>
      <c r="R208">
        <v>1</v>
      </c>
      <c r="S208" t="s">
        <v>144</v>
      </c>
      <c r="T208">
        <v>1</v>
      </c>
      <c r="U208" t="s">
        <v>152</v>
      </c>
      <c r="V208" t="s">
        <v>146</v>
      </c>
      <c r="W208">
        <v>2</v>
      </c>
    </row>
    <row r="209" spans="2:23" x14ac:dyDescent="0.3">
      <c r="B209">
        <v>205</v>
      </c>
      <c r="C209" t="s">
        <v>153</v>
      </c>
      <c r="D209">
        <v>12</v>
      </c>
      <c r="E209" t="s">
        <v>135</v>
      </c>
      <c r="F209" t="s">
        <v>162</v>
      </c>
      <c r="G209">
        <v>1495</v>
      </c>
      <c r="H209" t="s">
        <v>149</v>
      </c>
      <c r="I209" t="s">
        <v>138</v>
      </c>
      <c r="J209">
        <v>4</v>
      </c>
      <c r="K209" t="s">
        <v>139</v>
      </c>
      <c r="L209" t="s">
        <v>140</v>
      </c>
      <c r="M209">
        <v>1</v>
      </c>
      <c r="N209" t="s">
        <v>141</v>
      </c>
      <c r="O209">
        <v>38</v>
      </c>
      <c r="P209" t="s">
        <v>142</v>
      </c>
      <c r="Q209" t="s">
        <v>143</v>
      </c>
      <c r="R209">
        <v>2</v>
      </c>
      <c r="S209" t="s">
        <v>156</v>
      </c>
      <c r="T209">
        <v>2</v>
      </c>
      <c r="U209" t="s">
        <v>152</v>
      </c>
      <c r="V209" t="s">
        <v>146</v>
      </c>
      <c r="W209">
        <v>1</v>
      </c>
    </row>
    <row r="210" spans="2:23" x14ac:dyDescent="0.3">
      <c r="B210">
        <v>206</v>
      </c>
      <c r="C210" t="s">
        <v>134</v>
      </c>
      <c r="D210">
        <v>30</v>
      </c>
      <c r="E210" t="s">
        <v>135</v>
      </c>
      <c r="F210" t="s">
        <v>165</v>
      </c>
      <c r="G210">
        <v>10623</v>
      </c>
      <c r="H210" t="s">
        <v>149</v>
      </c>
      <c r="I210" t="s">
        <v>138</v>
      </c>
      <c r="J210">
        <v>3</v>
      </c>
      <c r="K210" t="s">
        <v>139</v>
      </c>
      <c r="L210" t="s">
        <v>140</v>
      </c>
      <c r="M210">
        <v>4</v>
      </c>
      <c r="N210" t="s">
        <v>163</v>
      </c>
      <c r="O210">
        <v>38</v>
      </c>
      <c r="P210" t="s">
        <v>142</v>
      </c>
      <c r="Q210" t="s">
        <v>160</v>
      </c>
      <c r="R210">
        <v>3</v>
      </c>
      <c r="S210" t="s">
        <v>168</v>
      </c>
      <c r="T210">
        <v>2</v>
      </c>
      <c r="U210" t="s">
        <v>145</v>
      </c>
      <c r="V210" t="s">
        <v>146</v>
      </c>
      <c r="W210">
        <v>1</v>
      </c>
    </row>
    <row r="211" spans="2:23" x14ac:dyDescent="0.3">
      <c r="B211">
        <v>207</v>
      </c>
      <c r="C211" t="s">
        <v>153</v>
      </c>
      <c r="D211">
        <v>12</v>
      </c>
      <c r="E211" t="s">
        <v>135</v>
      </c>
      <c r="F211" t="s">
        <v>157</v>
      </c>
      <c r="G211">
        <v>1935</v>
      </c>
      <c r="H211" t="s">
        <v>149</v>
      </c>
      <c r="I211" t="s">
        <v>138</v>
      </c>
      <c r="J211">
        <v>4</v>
      </c>
      <c r="K211" t="s">
        <v>139</v>
      </c>
      <c r="L211" t="s">
        <v>140</v>
      </c>
      <c r="M211">
        <v>4</v>
      </c>
      <c r="N211" t="s">
        <v>141</v>
      </c>
      <c r="O211">
        <v>43</v>
      </c>
      <c r="P211" t="s">
        <v>142</v>
      </c>
      <c r="Q211" t="s">
        <v>143</v>
      </c>
      <c r="R211">
        <v>3</v>
      </c>
      <c r="S211" t="s">
        <v>144</v>
      </c>
      <c r="T211">
        <v>1</v>
      </c>
      <c r="U211" t="s">
        <v>145</v>
      </c>
      <c r="V211" t="s">
        <v>146</v>
      </c>
      <c r="W211">
        <v>1</v>
      </c>
    </row>
    <row r="212" spans="2:23" x14ac:dyDescent="0.3">
      <c r="B212">
        <v>208</v>
      </c>
      <c r="C212" t="s">
        <v>147</v>
      </c>
      <c r="D212">
        <v>12</v>
      </c>
      <c r="E212" t="s">
        <v>135</v>
      </c>
      <c r="F212" t="s">
        <v>183</v>
      </c>
      <c r="G212">
        <v>1424</v>
      </c>
      <c r="H212" t="s">
        <v>149</v>
      </c>
      <c r="I212" t="s">
        <v>155</v>
      </c>
      <c r="J212">
        <v>4</v>
      </c>
      <c r="K212" t="s">
        <v>139</v>
      </c>
      <c r="L212" t="s">
        <v>140</v>
      </c>
      <c r="M212">
        <v>3</v>
      </c>
      <c r="N212" t="s">
        <v>159</v>
      </c>
      <c r="O212">
        <v>26</v>
      </c>
      <c r="P212" t="s">
        <v>142</v>
      </c>
      <c r="Q212" t="s">
        <v>143</v>
      </c>
      <c r="R212">
        <v>1</v>
      </c>
      <c r="S212" t="s">
        <v>144</v>
      </c>
      <c r="T212">
        <v>1</v>
      </c>
      <c r="U212" t="s">
        <v>152</v>
      </c>
      <c r="V212" t="s">
        <v>146</v>
      </c>
      <c r="W212">
        <v>1</v>
      </c>
    </row>
    <row r="213" spans="2:23" x14ac:dyDescent="0.3">
      <c r="B213">
        <v>209</v>
      </c>
      <c r="C213" t="s">
        <v>134</v>
      </c>
      <c r="D213">
        <v>24</v>
      </c>
      <c r="E213" t="s">
        <v>148</v>
      </c>
      <c r="F213" t="s">
        <v>174</v>
      </c>
      <c r="G213">
        <v>6568</v>
      </c>
      <c r="H213" t="s">
        <v>149</v>
      </c>
      <c r="I213" t="s">
        <v>150</v>
      </c>
      <c r="J213">
        <v>2</v>
      </c>
      <c r="K213" t="s">
        <v>172</v>
      </c>
      <c r="L213" t="s">
        <v>140</v>
      </c>
      <c r="M213">
        <v>2</v>
      </c>
      <c r="N213" t="s">
        <v>166</v>
      </c>
      <c r="O213">
        <v>21</v>
      </c>
      <c r="P213" t="s">
        <v>181</v>
      </c>
      <c r="Q213" t="s">
        <v>143</v>
      </c>
      <c r="R213">
        <v>1</v>
      </c>
      <c r="S213" t="s">
        <v>156</v>
      </c>
      <c r="T213">
        <v>1</v>
      </c>
      <c r="U213" t="s">
        <v>152</v>
      </c>
      <c r="V213" t="s">
        <v>146</v>
      </c>
      <c r="W213">
        <v>1</v>
      </c>
    </row>
    <row r="214" spans="2:23" x14ac:dyDescent="0.3">
      <c r="B214">
        <v>210</v>
      </c>
      <c r="C214" t="s">
        <v>153</v>
      </c>
      <c r="D214">
        <v>12</v>
      </c>
      <c r="E214" t="s">
        <v>148</v>
      </c>
      <c r="F214" t="s">
        <v>165</v>
      </c>
      <c r="G214">
        <v>1413</v>
      </c>
      <c r="H214" t="s">
        <v>169</v>
      </c>
      <c r="I214" t="s">
        <v>155</v>
      </c>
      <c r="J214">
        <v>3</v>
      </c>
      <c r="K214" t="s">
        <v>139</v>
      </c>
      <c r="L214" t="s">
        <v>140</v>
      </c>
      <c r="M214">
        <v>2</v>
      </c>
      <c r="N214" t="s">
        <v>159</v>
      </c>
      <c r="O214">
        <v>55</v>
      </c>
      <c r="P214" t="s">
        <v>142</v>
      </c>
      <c r="Q214" t="s">
        <v>143</v>
      </c>
      <c r="R214">
        <v>1</v>
      </c>
      <c r="S214" t="s">
        <v>144</v>
      </c>
      <c r="T214">
        <v>1</v>
      </c>
      <c r="U214" t="s">
        <v>152</v>
      </c>
      <c r="V214" t="s">
        <v>178</v>
      </c>
      <c r="W214">
        <v>1</v>
      </c>
    </row>
    <row r="215" spans="2:23" x14ac:dyDescent="0.3">
      <c r="B215">
        <v>211</v>
      </c>
      <c r="C215" t="s">
        <v>153</v>
      </c>
      <c r="D215">
        <v>9</v>
      </c>
      <c r="E215" t="s">
        <v>135</v>
      </c>
      <c r="F215" t="s">
        <v>136</v>
      </c>
      <c r="G215">
        <v>3074</v>
      </c>
      <c r="H215" t="s">
        <v>137</v>
      </c>
      <c r="I215" t="s">
        <v>150</v>
      </c>
      <c r="J215">
        <v>1</v>
      </c>
      <c r="K215" t="s">
        <v>139</v>
      </c>
      <c r="L215" t="s">
        <v>140</v>
      </c>
      <c r="M215">
        <v>2</v>
      </c>
      <c r="N215" t="s">
        <v>141</v>
      </c>
      <c r="O215">
        <v>33</v>
      </c>
      <c r="P215" t="s">
        <v>142</v>
      </c>
      <c r="Q215" t="s">
        <v>143</v>
      </c>
      <c r="R215">
        <v>2</v>
      </c>
      <c r="S215" t="s">
        <v>144</v>
      </c>
      <c r="T215">
        <v>2</v>
      </c>
      <c r="U215" t="s">
        <v>152</v>
      </c>
      <c r="V215" t="s">
        <v>146</v>
      </c>
      <c r="W215">
        <v>1</v>
      </c>
    </row>
    <row r="216" spans="2:23" x14ac:dyDescent="0.3">
      <c r="B216">
        <v>212</v>
      </c>
      <c r="C216" t="s">
        <v>153</v>
      </c>
      <c r="D216">
        <v>36</v>
      </c>
      <c r="E216" t="s">
        <v>148</v>
      </c>
      <c r="F216" t="s">
        <v>136</v>
      </c>
      <c r="G216">
        <v>3835</v>
      </c>
      <c r="H216" t="s">
        <v>137</v>
      </c>
      <c r="I216" t="s">
        <v>138</v>
      </c>
      <c r="J216">
        <v>2</v>
      </c>
      <c r="K216" t="s">
        <v>151</v>
      </c>
      <c r="L216" t="s">
        <v>140</v>
      </c>
      <c r="M216">
        <v>4</v>
      </c>
      <c r="N216" t="s">
        <v>141</v>
      </c>
      <c r="O216">
        <v>45</v>
      </c>
      <c r="P216" t="s">
        <v>142</v>
      </c>
      <c r="Q216" t="s">
        <v>143</v>
      </c>
      <c r="R216">
        <v>1</v>
      </c>
      <c r="S216" t="s">
        <v>156</v>
      </c>
      <c r="T216">
        <v>1</v>
      </c>
      <c r="U216" t="s">
        <v>145</v>
      </c>
      <c r="V216" t="s">
        <v>146</v>
      </c>
      <c r="W216">
        <v>1</v>
      </c>
    </row>
    <row r="217" spans="2:23" x14ac:dyDescent="0.3">
      <c r="B217">
        <v>213</v>
      </c>
      <c r="C217" t="s">
        <v>134</v>
      </c>
      <c r="D217">
        <v>27</v>
      </c>
      <c r="E217" t="s">
        <v>176</v>
      </c>
      <c r="F217" t="s">
        <v>174</v>
      </c>
      <c r="G217">
        <v>5293</v>
      </c>
      <c r="H217" t="s">
        <v>149</v>
      </c>
      <c r="I217" t="s">
        <v>171</v>
      </c>
      <c r="J217">
        <v>2</v>
      </c>
      <c r="K217" t="s">
        <v>139</v>
      </c>
      <c r="L217" t="s">
        <v>140</v>
      </c>
      <c r="M217">
        <v>4</v>
      </c>
      <c r="N217" t="s">
        <v>159</v>
      </c>
      <c r="O217">
        <v>50</v>
      </c>
      <c r="P217" t="s">
        <v>181</v>
      </c>
      <c r="Q217" t="s">
        <v>143</v>
      </c>
      <c r="R217">
        <v>2</v>
      </c>
      <c r="S217" t="s">
        <v>144</v>
      </c>
      <c r="T217">
        <v>1</v>
      </c>
      <c r="U217" t="s">
        <v>145</v>
      </c>
      <c r="V217" t="s">
        <v>146</v>
      </c>
      <c r="W217">
        <v>2</v>
      </c>
    </row>
    <row r="218" spans="2:23" x14ac:dyDescent="0.3">
      <c r="B218">
        <v>214</v>
      </c>
      <c r="C218" t="s">
        <v>179</v>
      </c>
      <c r="D218">
        <v>30</v>
      </c>
      <c r="E218" t="s">
        <v>161</v>
      </c>
      <c r="F218" t="s">
        <v>174</v>
      </c>
      <c r="G218">
        <v>1908</v>
      </c>
      <c r="H218" t="s">
        <v>149</v>
      </c>
      <c r="I218" t="s">
        <v>138</v>
      </c>
      <c r="J218">
        <v>4</v>
      </c>
      <c r="K218" t="s">
        <v>139</v>
      </c>
      <c r="L218" t="s">
        <v>140</v>
      </c>
      <c r="M218">
        <v>4</v>
      </c>
      <c r="N218" t="s">
        <v>141</v>
      </c>
      <c r="O218">
        <v>66</v>
      </c>
      <c r="P218" t="s">
        <v>142</v>
      </c>
      <c r="Q218" t="s">
        <v>143</v>
      </c>
      <c r="R218">
        <v>1</v>
      </c>
      <c r="S218" t="s">
        <v>168</v>
      </c>
      <c r="T218">
        <v>1</v>
      </c>
      <c r="U218" t="s">
        <v>145</v>
      </c>
      <c r="V218" t="s">
        <v>146</v>
      </c>
      <c r="W218">
        <v>2</v>
      </c>
    </row>
    <row r="219" spans="2:23" x14ac:dyDescent="0.3">
      <c r="B219">
        <v>215</v>
      </c>
      <c r="C219" t="s">
        <v>153</v>
      </c>
      <c r="D219">
        <v>36</v>
      </c>
      <c r="E219" t="s">
        <v>135</v>
      </c>
      <c r="F219" t="s">
        <v>136</v>
      </c>
      <c r="G219">
        <v>3342</v>
      </c>
      <c r="H219" t="s">
        <v>137</v>
      </c>
      <c r="I219" t="s">
        <v>138</v>
      </c>
      <c r="J219">
        <v>4</v>
      </c>
      <c r="K219" t="s">
        <v>139</v>
      </c>
      <c r="L219" t="s">
        <v>140</v>
      </c>
      <c r="M219">
        <v>2</v>
      </c>
      <c r="N219" t="s">
        <v>166</v>
      </c>
      <c r="O219">
        <v>51</v>
      </c>
      <c r="P219" t="s">
        <v>142</v>
      </c>
      <c r="Q219" t="s">
        <v>143</v>
      </c>
      <c r="R219">
        <v>1</v>
      </c>
      <c r="S219" t="s">
        <v>144</v>
      </c>
      <c r="T219">
        <v>1</v>
      </c>
      <c r="U219" t="s">
        <v>145</v>
      </c>
      <c r="V219" t="s">
        <v>146</v>
      </c>
      <c r="W219">
        <v>1</v>
      </c>
    </row>
    <row r="220" spans="2:23" x14ac:dyDescent="0.3">
      <c r="B220">
        <v>216</v>
      </c>
      <c r="C220" t="s">
        <v>147</v>
      </c>
      <c r="D220">
        <v>6</v>
      </c>
      <c r="E220" t="s">
        <v>135</v>
      </c>
      <c r="F220" t="s">
        <v>187</v>
      </c>
      <c r="G220">
        <v>932</v>
      </c>
      <c r="H220" t="s">
        <v>137</v>
      </c>
      <c r="I220" t="s">
        <v>155</v>
      </c>
      <c r="J220">
        <v>1</v>
      </c>
      <c r="K220" t="s">
        <v>151</v>
      </c>
      <c r="L220" t="s">
        <v>140</v>
      </c>
      <c r="M220">
        <v>3</v>
      </c>
      <c r="N220" t="s">
        <v>159</v>
      </c>
      <c r="O220">
        <v>39</v>
      </c>
      <c r="P220" t="s">
        <v>142</v>
      </c>
      <c r="Q220" t="s">
        <v>143</v>
      </c>
      <c r="R220">
        <v>2</v>
      </c>
      <c r="S220" t="s">
        <v>156</v>
      </c>
      <c r="T220">
        <v>1</v>
      </c>
      <c r="U220" t="s">
        <v>152</v>
      </c>
      <c r="V220" t="s">
        <v>146</v>
      </c>
      <c r="W220">
        <v>1</v>
      </c>
    </row>
    <row r="221" spans="2:23" x14ac:dyDescent="0.3">
      <c r="B221">
        <v>217</v>
      </c>
      <c r="C221" t="s">
        <v>134</v>
      </c>
      <c r="D221">
        <v>18</v>
      </c>
      <c r="E221" t="s">
        <v>176</v>
      </c>
      <c r="F221" t="s">
        <v>174</v>
      </c>
      <c r="G221">
        <v>3104</v>
      </c>
      <c r="H221" t="s">
        <v>149</v>
      </c>
      <c r="I221" t="s">
        <v>155</v>
      </c>
      <c r="J221">
        <v>3</v>
      </c>
      <c r="K221" t="s">
        <v>139</v>
      </c>
      <c r="L221" t="s">
        <v>140</v>
      </c>
      <c r="M221">
        <v>1</v>
      </c>
      <c r="N221" t="s">
        <v>159</v>
      </c>
      <c r="O221">
        <v>31</v>
      </c>
      <c r="P221" t="s">
        <v>177</v>
      </c>
      <c r="Q221" t="s">
        <v>143</v>
      </c>
      <c r="R221">
        <v>1</v>
      </c>
      <c r="S221" t="s">
        <v>144</v>
      </c>
      <c r="T221">
        <v>1</v>
      </c>
      <c r="U221" t="s">
        <v>145</v>
      </c>
      <c r="V221" t="s">
        <v>146</v>
      </c>
      <c r="W221">
        <v>1</v>
      </c>
    </row>
    <row r="222" spans="2:23" x14ac:dyDescent="0.3">
      <c r="B222">
        <v>218</v>
      </c>
      <c r="C222" t="s">
        <v>179</v>
      </c>
      <c r="D222">
        <v>36</v>
      </c>
      <c r="E222" t="s">
        <v>148</v>
      </c>
      <c r="F222" t="s">
        <v>136</v>
      </c>
      <c r="G222">
        <v>3913</v>
      </c>
      <c r="H222" t="s">
        <v>149</v>
      </c>
      <c r="I222" t="s">
        <v>150</v>
      </c>
      <c r="J222">
        <v>2</v>
      </c>
      <c r="K222" t="s">
        <v>139</v>
      </c>
      <c r="L222" t="s">
        <v>140</v>
      </c>
      <c r="M222">
        <v>2</v>
      </c>
      <c r="N222" t="s">
        <v>141</v>
      </c>
      <c r="O222">
        <v>23</v>
      </c>
      <c r="P222" t="s">
        <v>142</v>
      </c>
      <c r="Q222" t="s">
        <v>143</v>
      </c>
      <c r="R222">
        <v>1</v>
      </c>
      <c r="S222" t="s">
        <v>144</v>
      </c>
      <c r="T222">
        <v>1</v>
      </c>
      <c r="U222" t="s">
        <v>145</v>
      </c>
      <c r="V222" t="s">
        <v>146</v>
      </c>
      <c r="W222">
        <v>1</v>
      </c>
    </row>
    <row r="223" spans="2:23" x14ac:dyDescent="0.3">
      <c r="B223">
        <v>219</v>
      </c>
      <c r="C223" t="s">
        <v>134</v>
      </c>
      <c r="D223">
        <v>24</v>
      </c>
      <c r="E223" t="s">
        <v>148</v>
      </c>
      <c r="F223" t="s">
        <v>157</v>
      </c>
      <c r="G223">
        <v>3021</v>
      </c>
      <c r="H223" t="s">
        <v>149</v>
      </c>
      <c r="I223" t="s">
        <v>150</v>
      </c>
      <c r="J223">
        <v>2</v>
      </c>
      <c r="K223" t="s">
        <v>170</v>
      </c>
      <c r="L223" t="s">
        <v>140</v>
      </c>
      <c r="M223">
        <v>2</v>
      </c>
      <c r="N223" t="s">
        <v>141</v>
      </c>
      <c r="O223">
        <v>24</v>
      </c>
      <c r="P223" t="s">
        <v>142</v>
      </c>
      <c r="Q223" t="s">
        <v>167</v>
      </c>
      <c r="R223">
        <v>1</v>
      </c>
      <c r="S223" t="s">
        <v>156</v>
      </c>
      <c r="T223">
        <v>1</v>
      </c>
      <c r="U223" t="s">
        <v>152</v>
      </c>
      <c r="V223" t="s">
        <v>146</v>
      </c>
      <c r="W223">
        <v>1</v>
      </c>
    </row>
    <row r="224" spans="2:23" x14ac:dyDescent="0.3">
      <c r="B224">
        <v>220</v>
      </c>
      <c r="C224" t="s">
        <v>153</v>
      </c>
      <c r="D224">
        <v>10</v>
      </c>
      <c r="E224" t="s">
        <v>148</v>
      </c>
      <c r="F224" t="s">
        <v>162</v>
      </c>
      <c r="G224">
        <v>1364</v>
      </c>
      <c r="H224" t="s">
        <v>149</v>
      </c>
      <c r="I224" t="s">
        <v>150</v>
      </c>
      <c r="J224">
        <v>2</v>
      </c>
      <c r="K224" t="s">
        <v>151</v>
      </c>
      <c r="L224" t="s">
        <v>140</v>
      </c>
      <c r="M224">
        <v>4</v>
      </c>
      <c r="N224" t="s">
        <v>166</v>
      </c>
      <c r="O224">
        <v>64</v>
      </c>
      <c r="P224" t="s">
        <v>142</v>
      </c>
      <c r="Q224" t="s">
        <v>143</v>
      </c>
      <c r="R224">
        <v>1</v>
      </c>
      <c r="S224" t="s">
        <v>144</v>
      </c>
      <c r="T224">
        <v>1</v>
      </c>
      <c r="U224" t="s">
        <v>145</v>
      </c>
      <c r="V224" t="s">
        <v>146</v>
      </c>
      <c r="W224">
        <v>1</v>
      </c>
    </row>
    <row r="225" spans="2:23" x14ac:dyDescent="0.3">
      <c r="B225">
        <v>221</v>
      </c>
      <c r="C225" t="s">
        <v>147</v>
      </c>
      <c r="D225">
        <v>12</v>
      </c>
      <c r="E225" t="s">
        <v>148</v>
      </c>
      <c r="F225" t="s">
        <v>136</v>
      </c>
      <c r="G225">
        <v>625</v>
      </c>
      <c r="H225" t="s">
        <v>149</v>
      </c>
      <c r="I225" t="s">
        <v>173</v>
      </c>
      <c r="J225">
        <v>4</v>
      </c>
      <c r="K225" t="s">
        <v>172</v>
      </c>
      <c r="L225" t="s">
        <v>158</v>
      </c>
      <c r="M225">
        <v>1</v>
      </c>
      <c r="N225" t="s">
        <v>141</v>
      </c>
      <c r="O225">
        <v>26</v>
      </c>
      <c r="P225" t="s">
        <v>177</v>
      </c>
      <c r="Q225" t="s">
        <v>143</v>
      </c>
      <c r="R225">
        <v>1</v>
      </c>
      <c r="S225" t="s">
        <v>156</v>
      </c>
      <c r="T225">
        <v>1</v>
      </c>
      <c r="U225" t="s">
        <v>152</v>
      </c>
      <c r="V225" t="s">
        <v>146</v>
      </c>
      <c r="W225">
        <v>1</v>
      </c>
    </row>
    <row r="226" spans="2:23" x14ac:dyDescent="0.3">
      <c r="B226">
        <v>222</v>
      </c>
      <c r="C226" t="s">
        <v>134</v>
      </c>
      <c r="D226">
        <v>12</v>
      </c>
      <c r="E226" t="s">
        <v>148</v>
      </c>
      <c r="F226" t="s">
        <v>154</v>
      </c>
      <c r="G226">
        <v>1200</v>
      </c>
      <c r="H226" t="s">
        <v>137</v>
      </c>
      <c r="I226" t="s">
        <v>150</v>
      </c>
      <c r="J226">
        <v>4</v>
      </c>
      <c r="K226" t="s">
        <v>151</v>
      </c>
      <c r="L226" t="s">
        <v>140</v>
      </c>
      <c r="M226">
        <v>4</v>
      </c>
      <c r="N226" t="s">
        <v>159</v>
      </c>
      <c r="O226">
        <v>23</v>
      </c>
      <c r="P226" t="s">
        <v>177</v>
      </c>
      <c r="Q226" t="s">
        <v>167</v>
      </c>
      <c r="R226">
        <v>1</v>
      </c>
      <c r="S226" t="s">
        <v>144</v>
      </c>
      <c r="T226">
        <v>1</v>
      </c>
      <c r="U226" t="s">
        <v>145</v>
      </c>
      <c r="V226" t="s">
        <v>146</v>
      </c>
      <c r="W226">
        <v>1</v>
      </c>
    </row>
    <row r="227" spans="2:23" x14ac:dyDescent="0.3">
      <c r="B227">
        <v>223</v>
      </c>
      <c r="C227" t="s">
        <v>153</v>
      </c>
      <c r="D227">
        <v>12</v>
      </c>
      <c r="E227" t="s">
        <v>148</v>
      </c>
      <c r="F227" t="s">
        <v>136</v>
      </c>
      <c r="G227">
        <v>707</v>
      </c>
      <c r="H227" t="s">
        <v>149</v>
      </c>
      <c r="I227" t="s">
        <v>150</v>
      </c>
      <c r="J227">
        <v>4</v>
      </c>
      <c r="K227" t="s">
        <v>139</v>
      </c>
      <c r="L227" t="s">
        <v>140</v>
      </c>
      <c r="M227">
        <v>2</v>
      </c>
      <c r="N227" t="s">
        <v>141</v>
      </c>
      <c r="O227">
        <v>30</v>
      </c>
      <c r="P227" t="s">
        <v>177</v>
      </c>
      <c r="Q227" t="s">
        <v>143</v>
      </c>
      <c r="R227">
        <v>2</v>
      </c>
      <c r="S227" t="s">
        <v>144</v>
      </c>
      <c r="T227">
        <v>1</v>
      </c>
      <c r="U227" t="s">
        <v>152</v>
      </c>
      <c r="V227" t="s">
        <v>146</v>
      </c>
      <c r="W227">
        <v>1</v>
      </c>
    </row>
    <row r="228" spans="2:23" x14ac:dyDescent="0.3">
      <c r="B228">
        <v>224</v>
      </c>
      <c r="C228" t="s">
        <v>153</v>
      </c>
      <c r="D228">
        <v>24</v>
      </c>
      <c r="E228" t="s">
        <v>161</v>
      </c>
      <c r="F228" t="s">
        <v>174</v>
      </c>
      <c r="G228">
        <v>2978</v>
      </c>
      <c r="H228" t="s">
        <v>137</v>
      </c>
      <c r="I228" t="s">
        <v>150</v>
      </c>
      <c r="J228">
        <v>4</v>
      </c>
      <c r="K228" t="s">
        <v>139</v>
      </c>
      <c r="L228" t="s">
        <v>140</v>
      </c>
      <c r="M228">
        <v>4</v>
      </c>
      <c r="N228" t="s">
        <v>141</v>
      </c>
      <c r="O228">
        <v>32</v>
      </c>
      <c r="P228" t="s">
        <v>142</v>
      </c>
      <c r="Q228" t="s">
        <v>143</v>
      </c>
      <c r="R228">
        <v>2</v>
      </c>
      <c r="S228" t="s">
        <v>144</v>
      </c>
      <c r="T228">
        <v>2</v>
      </c>
      <c r="U228" t="s">
        <v>145</v>
      </c>
      <c r="V228" t="s">
        <v>146</v>
      </c>
      <c r="W228">
        <v>1</v>
      </c>
    </row>
    <row r="229" spans="2:23" x14ac:dyDescent="0.3">
      <c r="B229">
        <v>225</v>
      </c>
      <c r="C229" t="s">
        <v>153</v>
      </c>
      <c r="D229">
        <v>15</v>
      </c>
      <c r="E229" t="s">
        <v>148</v>
      </c>
      <c r="F229" t="s">
        <v>165</v>
      </c>
      <c r="G229">
        <v>4657</v>
      </c>
      <c r="H229" t="s">
        <v>149</v>
      </c>
      <c r="I229" t="s">
        <v>150</v>
      </c>
      <c r="J229">
        <v>3</v>
      </c>
      <c r="K229" t="s">
        <v>139</v>
      </c>
      <c r="L229" t="s">
        <v>140</v>
      </c>
      <c r="M229">
        <v>2</v>
      </c>
      <c r="N229" t="s">
        <v>166</v>
      </c>
      <c r="O229">
        <v>30</v>
      </c>
      <c r="P229" t="s">
        <v>142</v>
      </c>
      <c r="Q229" t="s">
        <v>143</v>
      </c>
      <c r="R229">
        <v>1</v>
      </c>
      <c r="S229" t="s">
        <v>144</v>
      </c>
      <c r="T229">
        <v>1</v>
      </c>
      <c r="U229" t="s">
        <v>145</v>
      </c>
      <c r="V229" t="s">
        <v>146</v>
      </c>
      <c r="W229">
        <v>1</v>
      </c>
    </row>
    <row r="230" spans="2:23" x14ac:dyDescent="0.3">
      <c r="B230">
        <v>226</v>
      </c>
      <c r="C230" t="s">
        <v>153</v>
      </c>
      <c r="D230">
        <v>36</v>
      </c>
      <c r="E230" t="s">
        <v>176</v>
      </c>
      <c r="F230" t="s">
        <v>184</v>
      </c>
      <c r="G230">
        <v>2613</v>
      </c>
      <c r="H230" t="s">
        <v>149</v>
      </c>
      <c r="I230" t="s">
        <v>150</v>
      </c>
      <c r="J230">
        <v>4</v>
      </c>
      <c r="K230" t="s">
        <v>139</v>
      </c>
      <c r="L230" t="s">
        <v>140</v>
      </c>
      <c r="M230">
        <v>2</v>
      </c>
      <c r="N230" t="s">
        <v>166</v>
      </c>
      <c r="O230">
        <v>27</v>
      </c>
      <c r="P230" t="s">
        <v>142</v>
      </c>
      <c r="Q230" t="s">
        <v>143</v>
      </c>
      <c r="R230">
        <v>2</v>
      </c>
      <c r="S230" t="s">
        <v>144</v>
      </c>
      <c r="T230">
        <v>1</v>
      </c>
      <c r="U230" t="s">
        <v>152</v>
      </c>
      <c r="V230" t="s">
        <v>146</v>
      </c>
      <c r="W230">
        <v>1</v>
      </c>
    </row>
    <row r="231" spans="2:23" x14ac:dyDescent="0.3">
      <c r="B231">
        <v>227</v>
      </c>
      <c r="C231" t="s">
        <v>147</v>
      </c>
      <c r="D231">
        <v>48</v>
      </c>
      <c r="E231" t="s">
        <v>148</v>
      </c>
      <c r="F231" t="s">
        <v>136</v>
      </c>
      <c r="G231">
        <v>10961</v>
      </c>
      <c r="H231" t="s">
        <v>169</v>
      </c>
      <c r="I231" t="s">
        <v>155</v>
      </c>
      <c r="J231">
        <v>1</v>
      </c>
      <c r="K231" t="s">
        <v>139</v>
      </c>
      <c r="L231" t="s">
        <v>182</v>
      </c>
      <c r="M231">
        <v>2</v>
      </c>
      <c r="N231" t="s">
        <v>163</v>
      </c>
      <c r="O231">
        <v>27</v>
      </c>
      <c r="P231" t="s">
        <v>177</v>
      </c>
      <c r="Q231" t="s">
        <v>143</v>
      </c>
      <c r="R231">
        <v>2</v>
      </c>
      <c r="S231" t="s">
        <v>144</v>
      </c>
      <c r="T231">
        <v>1</v>
      </c>
      <c r="U231" t="s">
        <v>145</v>
      </c>
      <c r="V231" t="s">
        <v>146</v>
      </c>
      <c r="W231">
        <v>2</v>
      </c>
    </row>
    <row r="232" spans="2:23" x14ac:dyDescent="0.3">
      <c r="B232">
        <v>228</v>
      </c>
      <c r="C232" t="s">
        <v>134</v>
      </c>
      <c r="D232">
        <v>12</v>
      </c>
      <c r="E232" t="s">
        <v>148</v>
      </c>
      <c r="F232" t="s">
        <v>157</v>
      </c>
      <c r="G232">
        <v>7865</v>
      </c>
      <c r="H232" t="s">
        <v>149</v>
      </c>
      <c r="I232" t="s">
        <v>138</v>
      </c>
      <c r="J232">
        <v>4</v>
      </c>
      <c r="K232" t="s">
        <v>139</v>
      </c>
      <c r="L232" t="s">
        <v>140</v>
      </c>
      <c r="M232">
        <v>4</v>
      </c>
      <c r="N232" t="s">
        <v>163</v>
      </c>
      <c r="O232">
        <v>53</v>
      </c>
      <c r="P232" t="s">
        <v>142</v>
      </c>
      <c r="Q232" t="s">
        <v>160</v>
      </c>
      <c r="R232">
        <v>1</v>
      </c>
      <c r="S232" t="s">
        <v>168</v>
      </c>
      <c r="T232">
        <v>1</v>
      </c>
      <c r="U232" t="s">
        <v>145</v>
      </c>
      <c r="V232" t="s">
        <v>146</v>
      </c>
      <c r="W232">
        <v>2</v>
      </c>
    </row>
    <row r="233" spans="2:23" x14ac:dyDescent="0.3">
      <c r="B233">
        <v>229</v>
      </c>
      <c r="C233" t="s">
        <v>153</v>
      </c>
      <c r="D233">
        <v>9</v>
      </c>
      <c r="E233" t="s">
        <v>148</v>
      </c>
      <c r="F233" t="s">
        <v>136</v>
      </c>
      <c r="G233">
        <v>1478</v>
      </c>
      <c r="H233" t="s">
        <v>149</v>
      </c>
      <c r="I233" t="s">
        <v>155</v>
      </c>
      <c r="J233">
        <v>4</v>
      </c>
      <c r="K233" t="s">
        <v>139</v>
      </c>
      <c r="L233" t="s">
        <v>140</v>
      </c>
      <c r="M233">
        <v>2</v>
      </c>
      <c r="N233" t="s">
        <v>166</v>
      </c>
      <c r="O233">
        <v>22</v>
      </c>
      <c r="P233" t="s">
        <v>142</v>
      </c>
      <c r="Q233" t="s">
        <v>143</v>
      </c>
      <c r="R233">
        <v>1</v>
      </c>
      <c r="S233" t="s">
        <v>144</v>
      </c>
      <c r="T233">
        <v>1</v>
      </c>
      <c r="U233" t="s">
        <v>152</v>
      </c>
      <c r="V233" t="s">
        <v>146</v>
      </c>
      <c r="W233">
        <v>2</v>
      </c>
    </row>
    <row r="234" spans="2:23" x14ac:dyDescent="0.3">
      <c r="B234">
        <v>230</v>
      </c>
      <c r="C234" t="s">
        <v>134</v>
      </c>
      <c r="D234">
        <v>24</v>
      </c>
      <c r="E234" t="s">
        <v>148</v>
      </c>
      <c r="F234" t="s">
        <v>157</v>
      </c>
      <c r="G234">
        <v>3149</v>
      </c>
      <c r="H234" t="s">
        <v>149</v>
      </c>
      <c r="I234" t="s">
        <v>173</v>
      </c>
      <c r="J234">
        <v>4</v>
      </c>
      <c r="K234" t="s">
        <v>139</v>
      </c>
      <c r="L234" t="s">
        <v>140</v>
      </c>
      <c r="M234">
        <v>1</v>
      </c>
      <c r="N234" t="s">
        <v>163</v>
      </c>
      <c r="O234">
        <v>22</v>
      </c>
      <c r="P234" t="s">
        <v>177</v>
      </c>
      <c r="Q234" t="s">
        <v>160</v>
      </c>
      <c r="R234">
        <v>1</v>
      </c>
      <c r="S234" t="s">
        <v>144</v>
      </c>
      <c r="T234">
        <v>1</v>
      </c>
      <c r="U234" t="s">
        <v>152</v>
      </c>
      <c r="V234" t="s">
        <v>146</v>
      </c>
      <c r="W234">
        <v>1</v>
      </c>
    </row>
    <row r="235" spans="2:23" x14ac:dyDescent="0.3">
      <c r="B235">
        <v>231</v>
      </c>
      <c r="C235" t="s">
        <v>179</v>
      </c>
      <c r="D235">
        <v>36</v>
      </c>
      <c r="E235" t="s">
        <v>148</v>
      </c>
      <c r="F235" t="s">
        <v>136</v>
      </c>
      <c r="G235">
        <v>4210</v>
      </c>
      <c r="H235" t="s">
        <v>149</v>
      </c>
      <c r="I235" t="s">
        <v>150</v>
      </c>
      <c r="J235">
        <v>4</v>
      </c>
      <c r="K235" t="s">
        <v>139</v>
      </c>
      <c r="L235" t="s">
        <v>140</v>
      </c>
      <c r="M235">
        <v>2</v>
      </c>
      <c r="N235" t="s">
        <v>166</v>
      </c>
      <c r="O235">
        <v>26</v>
      </c>
      <c r="P235" t="s">
        <v>142</v>
      </c>
      <c r="Q235" t="s">
        <v>143</v>
      </c>
      <c r="R235">
        <v>1</v>
      </c>
      <c r="S235" t="s">
        <v>144</v>
      </c>
      <c r="T235">
        <v>1</v>
      </c>
      <c r="U235" t="s">
        <v>152</v>
      </c>
      <c r="V235" t="s">
        <v>146</v>
      </c>
      <c r="W235">
        <v>2</v>
      </c>
    </row>
    <row r="236" spans="2:23" x14ac:dyDescent="0.3">
      <c r="B236">
        <v>232</v>
      </c>
      <c r="C236" t="s">
        <v>153</v>
      </c>
      <c r="D236">
        <v>9</v>
      </c>
      <c r="E236" t="s">
        <v>148</v>
      </c>
      <c r="F236" t="s">
        <v>162</v>
      </c>
      <c r="G236">
        <v>2507</v>
      </c>
      <c r="H236" t="s">
        <v>164</v>
      </c>
      <c r="I236" t="s">
        <v>138</v>
      </c>
      <c r="J236">
        <v>2</v>
      </c>
      <c r="K236" t="s">
        <v>139</v>
      </c>
      <c r="L236" t="s">
        <v>140</v>
      </c>
      <c r="M236">
        <v>4</v>
      </c>
      <c r="N236" t="s">
        <v>163</v>
      </c>
      <c r="O236">
        <v>51</v>
      </c>
      <c r="P236" t="s">
        <v>142</v>
      </c>
      <c r="Q236" t="s">
        <v>160</v>
      </c>
      <c r="R236">
        <v>1</v>
      </c>
      <c r="S236" t="s">
        <v>156</v>
      </c>
      <c r="T236">
        <v>1</v>
      </c>
      <c r="U236" t="s">
        <v>152</v>
      </c>
      <c r="V236" t="s">
        <v>146</v>
      </c>
      <c r="W236">
        <v>1</v>
      </c>
    </row>
    <row r="237" spans="2:23" x14ac:dyDescent="0.3">
      <c r="B237">
        <v>233</v>
      </c>
      <c r="C237" t="s">
        <v>153</v>
      </c>
      <c r="D237">
        <v>12</v>
      </c>
      <c r="E237" t="s">
        <v>148</v>
      </c>
      <c r="F237" t="s">
        <v>136</v>
      </c>
      <c r="G237">
        <v>2141</v>
      </c>
      <c r="H237" t="s">
        <v>175</v>
      </c>
      <c r="I237" t="s">
        <v>155</v>
      </c>
      <c r="J237">
        <v>3</v>
      </c>
      <c r="K237" t="s">
        <v>139</v>
      </c>
      <c r="L237" t="s">
        <v>140</v>
      </c>
      <c r="M237">
        <v>1</v>
      </c>
      <c r="N237" t="s">
        <v>163</v>
      </c>
      <c r="O237">
        <v>35</v>
      </c>
      <c r="P237" t="s">
        <v>142</v>
      </c>
      <c r="Q237" t="s">
        <v>143</v>
      </c>
      <c r="R237">
        <v>1</v>
      </c>
      <c r="S237" t="s">
        <v>144</v>
      </c>
      <c r="T237">
        <v>1</v>
      </c>
      <c r="U237" t="s">
        <v>152</v>
      </c>
      <c r="V237" t="s">
        <v>146</v>
      </c>
      <c r="W237">
        <v>1</v>
      </c>
    </row>
    <row r="238" spans="2:23" x14ac:dyDescent="0.3">
      <c r="B238">
        <v>234</v>
      </c>
      <c r="C238" t="s">
        <v>147</v>
      </c>
      <c r="D238">
        <v>18</v>
      </c>
      <c r="E238" t="s">
        <v>148</v>
      </c>
      <c r="F238" t="s">
        <v>136</v>
      </c>
      <c r="G238">
        <v>866</v>
      </c>
      <c r="H238" t="s">
        <v>149</v>
      </c>
      <c r="I238" t="s">
        <v>150</v>
      </c>
      <c r="J238">
        <v>4</v>
      </c>
      <c r="K238" t="s">
        <v>172</v>
      </c>
      <c r="L238" t="s">
        <v>158</v>
      </c>
      <c r="M238">
        <v>2</v>
      </c>
      <c r="N238" t="s">
        <v>141</v>
      </c>
      <c r="O238">
        <v>25</v>
      </c>
      <c r="P238" t="s">
        <v>142</v>
      </c>
      <c r="Q238" t="s">
        <v>143</v>
      </c>
      <c r="R238">
        <v>1</v>
      </c>
      <c r="S238" t="s">
        <v>156</v>
      </c>
      <c r="T238">
        <v>1</v>
      </c>
      <c r="U238" t="s">
        <v>152</v>
      </c>
      <c r="V238" t="s">
        <v>146</v>
      </c>
      <c r="W238">
        <v>1</v>
      </c>
    </row>
    <row r="239" spans="2:23" x14ac:dyDescent="0.3">
      <c r="B239">
        <v>235</v>
      </c>
      <c r="C239" t="s">
        <v>153</v>
      </c>
      <c r="D239">
        <v>4</v>
      </c>
      <c r="E239" t="s">
        <v>135</v>
      </c>
      <c r="F239" t="s">
        <v>136</v>
      </c>
      <c r="G239">
        <v>1544</v>
      </c>
      <c r="H239" t="s">
        <v>149</v>
      </c>
      <c r="I239" t="s">
        <v>155</v>
      </c>
      <c r="J239">
        <v>2</v>
      </c>
      <c r="K239" t="s">
        <v>139</v>
      </c>
      <c r="L239" t="s">
        <v>140</v>
      </c>
      <c r="M239">
        <v>1</v>
      </c>
      <c r="N239" t="s">
        <v>141</v>
      </c>
      <c r="O239">
        <v>42</v>
      </c>
      <c r="P239" t="s">
        <v>142</v>
      </c>
      <c r="Q239" t="s">
        <v>143</v>
      </c>
      <c r="R239">
        <v>3</v>
      </c>
      <c r="S239" t="s">
        <v>156</v>
      </c>
      <c r="T239">
        <v>2</v>
      </c>
      <c r="U239" t="s">
        <v>152</v>
      </c>
      <c r="V239" t="s">
        <v>146</v>
      </c>
      <c r="W239">
        <v>1</v>
      </c>
    </row>
    <row r="240" spans="2:23" x14ac:dyDescent="0.3">
      <c r="B240">
        <v>236</v>
      </c>
      <c r="C240" t="s">
        <v>134</v>
      </c>
      <c r="D240">
        <v>24</v>
      </c>
      <c r="E240" t="s">
        <v>148</v>
      </c>
      <c r="F240" t="s">
        <v>136</v>
      </c>
      <c r="G240">
        <v>1823</v>
      </c>
      <c r="H240" t="s">
        <v>149</v>
      </c>
      <c r="I240" t="s">
        <v>171</v>
      </c>
      <c r="J240">
        <v>4</v>
      </c>
      <c r="K240" t="s">
        <v>139</v>
      </c>
      <c r="L240" t="s">
        <v>140</v>
      </c>
      <c r="M240">
        <v>2</v>
      </c>
      <c r="N240" t="s">
        <v>166</v>
      </c>
      <c r="O240">
        <v>30</v>
      </c>
      <c r="P240" t="s">
        <v>181</v>
      </c>
      <c r="Q240" t="s">
        <v>143</v>
      </c>
      <c r="R240">
        <v>1</v>
      </c>
      <c r="S240" t="s">
        <v>168</v>
      </c>
      <c r="T240">
        <v>2</v>
      </c>
      <c r="U240" t="s">
        <v>152</v>
      </c>
      <c r="V240" t="s">
        <v>146</v>
      </c>
      <c r="W240">
        <v>2</v>
      </c>
    </row>
    <row r="241" spans="2:23" x14ac:dyDescent="0.3">
      <c r="B241">
        <v>237</v>
      </c>
      <c r="C241" t="s">
        <v>147</v>
      </c>
      <c r="D241">
        <v>6</v>
      </c>
      <c r="E241" t="s">
        <v>148</v>
      </c>
      <c r="F241" t="s">
        <v>162</v>
      </c>
      <c r="G241">
        <v>14555</v>
      </c>
      <c r="H241" t="s">
        <v>137</v>
      </c>
      <c r="I241" t="s">
        <v>171</v>
      </c>
      <c r="J241">
        <v>1</v>
      </c>
      <c r="K241" t="s">
        <v>139</v>
      </c>
      <c r="L241" t="s">
        <v>140</v>
      </c>
      <c r="M241">
        <v>2</v>
      </c>
      <c r="N241" t="s">
        <v>159</v>
      </c>
      <c r="O241">
        <v>23</v>
      </c>
      <c r="P241" t="s">
        <v>142</v>
      </c>
      <c r="Q241" t="s">
        <v>143</v>
      </c>
      <c r="R241">
        <v>1</v>
      </c>
      <c r="S241" t="s">
        <v>185</v>
      </c>
      <c r="T241">
        <v>1</v>
      </c>
      <c r="U241" t="s">
        <v>145</v>
      </c>
      <c r="V241" t="s">
        <v>146</v>
      </c>
      <c r="W241">
        <v>2</v>
      </c>
    </row>
    <row r="242" spans="2:23" x14ac:dyDescent="0.3">
      <c r="B242">
        <v>238</v>
      </c>
      <c r="C242" t="s">
        <v>147</v>
      </c>
      <c r="D242">
        <v>21</v>
      </c>
      <c r="E242" t="s">
        <v>148</v>
      </c>
      <c r="F242" t="s">
        <v>174</v>
      </c>
      <c r="G242">
        <v>2767</v>
      </c>
      <c r="H242" t="s">
        <v>175</v>
      </c>
      <c r="I242" t="s">
        <v>138</v>
      </c>
      <c r="J242">
        <v>4</v>
      </c>
      <c r="K242" t="s">
        <v>170</v>
      </c>
      <c r="L242" t="s">
        <v>140</v>
      </c>
      <c r="M242">
        <v>2</v>
      </c>
      <c r="N242" t="s">
        <v>166</v>
      </c>
      <c r="O242">
        <v>61</v>
      </c>
      <c r="P242" t="s">
        <v>177</v>
      </c>
      <c r="Q242" t="s">
        <v>167</v>
      </c>
      <c r="R242">
        <v>2</v>
      </c>
      <c r="S242" t="s">
        <v>156</v>
      </c>
      <c r="T242">
        <v>1</v>
      </c>
      <c r="U242" t="s">
        <v>152</v>
      </c>
      <c r="V242" t="s">
        <v>146</v>
      </c>
      <c r="W242">
        <v>2</v>
      </c>
    </row>
    <row r="243" spans="2:23" x14ac:dyDescent="0.3">
      <c r="B243">
        <v>239</v>
      </c>
      <c r="C243" t="s">
        <v>153</v>
      </c>
      <c r="D243">
        <v>12</v>
      </c>
      <c r="E243" t="s">
        <v>135</v>
      </c>
      <c r="F243" t="s">
        <v>136</v>
      </c>
      <c r="G243">
        <v>1291</v>
      </c>
      <c r="H243" t="s">
        <v>149</v>
      </c>
      <c r="I243" t="s">
        <v>150</v>
      </c>
      <c r="J243">
        <v>4</v>
      </c>
      <c r="K243" t="s">
        <v>151</v>
      </c>
      <c r="L243" t="s">
        <v>140</v>
      </c>
      <c r="M243">
        <v>2</v>
      </c>
      <c r="N243" t="s">
        <v>159</v>
      </c>
      <c r="O243">
        <v>35</v>
      </c>
      <c r="P243" t="s">
        <v>142</v>
      </c>
      <c r="Q243" t="s">
        <v>143</v>
      </c>
      <c r="R243">
        <v>2</v>
      </c>
      <c r="S243" t="s">
        <v>144</v>
      </c>
      <c r="T243">
        <v>1</v>
      </c>
      <c r="U243" t="s">
        <v>152</v>
      </c>
      <c r="V243" t="s">
        <v>146</v>
      </c>
      <c r="W243">
        <v>1</v>
      </c>
    </row>
    <row r="244" spans="2:23" x14ac:dyDescent="0.3">
      <c r="B244">
        <v>240</v>
      </c>
      <c r="C244" t="s">
        <v>134</v>
      </c>
      <c r="D244">
        <v>30</v>
      </c>
      <c r="E244" t="s">
        <v>148</v>
      </c>
      <c r="F244" t="s">
        <v>136</v>
      </c>
      <c r="G244">
        <v>2522</v>
      </c>
      <c r="H244" t="s">
        <v>149</v>
      </c>
      <c r="I244" t="s">
        <v>138</v>
      </c>
      <c r="J244">
        <v>1</v>
      </c>
      <c r="K244" t="s">
        <v>139</v>
      </c>
      <c r="L244" t="s">
        <v>158</v>
      </c>
      <c r="M244">
        <v>3</v>
      </c>
      <c r="N244" t="s">
        <v>159</v>
      </c>
      <c r="O244">
        <v>39</v>
      </c>
      <c r="P244" t="s">
        <v>142</v>
      </c>
      <c r="Q244" t="s">
        <v>143</v>
      </c>
      <c r="R244">
        <v>1</v>
      </c>
      <c r="S244" t="s">
        <v>144</v>
      </c>
      <c r="T244">
        <v>2</v>
      </c>
      <c r="U244" t="s">
        <v>152</v>
      </c>
      <c r="V244" t="s">
        <v>146</v>
      </c>
      <c r="W244">
        <v>1</v>
      </c>
    </row>
    <row r="245" spans="2:23" x14ac:dyDescent="0.3">
      <c r="B245">
        <v>241</v>
      </c>
      <c r="C245" t="s">
        <v>134</v>
      </c>
      <c r="D245">
        <v>24</v>
      </c>
      <c r="E245" t="s">
        <v>148</v>
      </c>
      <c r="F245" t="s">
        <v>162</v>
      </c>
      <c r="G245">
        <v>915</v>
      </c>
      <c r="H245" t="s">
        <v>137</v>
      </c>
      <c r="I245" t="s">
        <v>138</v>
      </c>
      <c r="J245">
        <v>4</v>
      </c>
      <c r="K245" t="s">
        <v>151</v>
      </c>
      <c r="L245" t="s">
        <v>140</v>
      </c>
      <c r="M245">
        <v>2</v>
      </c>
      <c r="N245" t="s">
        <v>166</v>
      </c>
      <c r="O245">
        <v>29</v>
      </c>
      <c r="P245" t="s">
        <v>177</v>
      </c>
      <c r="Q245" t="s">
        <v>143</v>
      </c>
      <c r="R245">
        <v>1</v>
      </c>
      <c r="S245" t="s">
        <v>144</v>
      </c>
      <c r="T245">
        <v>1</v>
      </c>
      <c r="U245" t="s">
        <v>152</v>
      </c>
      <c r="V245" t="s">
        <v>146</v>
      </c>
      <c r="W245">
        <v>2</v>
      </c>
    </row>
    <row r="246" spans="2:23" x14ac:dyDescent="0.3">
      <c r="B246">
        <v>242</v>
      </c>
      <c r="C246" t="s">
        <v>153</v>
      </c>
      <c r="D246">
        <v>6</v>
      </c>
      <c r="E246" t="s">
        <v>148</v>
      </c>
      <c r="F246" t="s">
        <v>136</v>
      </c>
      <c r="G246">
        <v>1595</v>
      </c>
      <c r="H246" t="s">
        <v>149</v>
      </c>
      <c r="I246" t="s">
        <v>155</v>
      </c>
      <c r="J246">
        <v>3</v>
      </c>
      <c r="K246" t="s">
        <v>139</v>
      </c>
      <c r="L246" t="s">
        <v>140</v>
      </c>
      <c r="M246">
        <v>2</v>
      </c>
      <c r="N246" t="s">
        <v>159</v>
      </c>
      <c r="O246">
        <v>51</v>
      </c>
      <c r="P246" t="s">
        <v>142</v>
      </c>
      <c r="Q246" t="s">
        <v>143</v>
      </c>
      <c r="R246">
        <v>1</v>
      </c>
      <c r="S246" t="s">
        <v>144</v>
      </c>
      <c r="T246">
        <v>2</v>
      </c>
      <c r="U246" t="s">
        <v>152</v>
      </c>
      <c r="V246" t="s">
        <v>146</v>
      </c>
      <c r="W246">
        <v>1</v>
      </c>
    </row>
    <row r="247" spans="2:23" x14ac:dyDescent="0.3">
      <c r="B247">
        <v>243</v>
      </c>
      <c r="C247" t="s">
        <v>134</v>
      </c>
      <c r="D247">
        <v>48</v>
      </c>
      <c r="E247" t="s">
        <v>176</v>
      </c>
      <c r="F247" t="s">
        <v>165</v>
      </c>
      <c r="G247">
        <v>4605</v>
      </c>
      <c r="H247" t="s">
        <v>149</v>
      </c>
      <c r="I247" t="s">
        <v>138</v>
      </c>
      <c r="J247">
        <v>3</v>
      </c>
      <c r="K247" t="s">
        <v>139</v>
      </c>
      <c r="L247" t="s">
        <v>140</v>
      </c>
      <c r="M247">
        <v>4</v>
      </c>
      <c r="N247" t="s">
        <v>163</v>
      </c>
      <c r="O247">
        <v>24</v>
      </c>
      <c r="P247" t="s">
        <v>142</v>
      </c>
      <c r="Q247" t="s">
        <v>160</v>
      </c>
      <c r="R247">
        <v>2</v>
      </c>
      <c r="S247" t="s">
        <v>144</v>
      </c>
      <c r="T247">
        <v>2</v>
      </c>
      <c r="U247" t="s">
        <v>152</v>
      </c>
      <c r="V247" t="s">
        <v>146</v>
      </c>
      <c r="W247">
        <v>2</v>
      </c>
    </row>
    <row r="248" spans="2:23" x14ac:dyDescent="0.3">
      <c r="B248">
        <v>244</v>
      </c>
      <c r="C248" t="s">
        <v>153</v>
      </c>
      <c r="D248">
        <v>12</v>
      </c>
      <c r="E248" t="s">
        <v>135</v>
      </c>
      <c r="F248" t="s">
        <v>174</v>
      </c>
      <c r="G248">
        <v>1185</v>
      </c>
      <c r="H248" t="s">
        <v>149</v>
      </c>
      <c r="I248" t="s">
        <v>150</v>
      </c>
      <c r="J248">
        <v>3</v>
      </c>
      <c r="K248" t="s">
        <v>151</v>
      </c>
      <c r="L248" t="s">
        <v>140</v>
      </c>
      <c r="M248">
        <v>2</v>
      </c>
      <c r="N248" t="s">
        <v>141</v>
      </c>
      <c r="O248">
        <v>27</v>
      </c>
      <c r="P248" t="s">
        <v>142</v>
      </c>
      <c r="Q248" t="s">
        <v>143</v>
      </c>
      <c r="R248">
        <v>2</v>
      </c>
      <c r="S248" t="s">
        <v>144</v>
      </c>
      <c r="T248">
        <v>1</v>
      </c>
      <c r="U248" t="s">
        <v>152</v>
      </c>
      <c r="V248" t="s">
        <v>146</v>
      </c>
      <c r="W248">
        <v>1</v>
      </c>
    </row>
    <row r="249" spans="2:23" x14ac:dyDescent="0.3">
      <c r="B249">
        <v>245</v>
      </c>
      <c r="C249" t="s">
        <v>153</v>
      </c>
      <c r="D249">
        <v>12</v>
      </c>
      <c r="E249" t="s">
        <v>180</v>
      </c>
      <c r="F249" t="s">
        <v>187</v>
      </c>
      <c r="G249">
        <v>3447</v>
      </c>
      <c r="H249" t="s">
        <v>164</v>
      </c>
      <c r="I249" t="s">
        <v>150</v>
      </c>
      <c r="J249">
        <v>4</v>
      </c>
      <c r="K249" t="s">
        <v>151</v>
      </c>
      <c r="L249" t="s">
        <v>140</v>
      </c>
      <c r="M249">
        <v>3</v>
      </c>
      <c r="N249" t="s">
        <v>141</v>
      </c>
      <c r="O249">
        <v>35</v>
      </c>
      <c r="P249" t="s">
        <v>142</v>
      </c>
      <c r="Q249" t="s">
        <v>143</v>
      </c>
      <c r="R249">
        <v>1</v>
      </c>
      <c r="S249" t="s">
        <v>156</v>
      </c>
      <c r="T249">
        <v>2</v>
      </c>
      <c r="U249" t="s">
        <v>152</v>
      </c>
      <c r="V249" t="s">
        <v>146</v>
      </c>
      <c r="W249">
        <v>1</v>
      </c>
    </row>
    <row r="250" spans="2:23" x14ac:dyDescent="0.3">
      <c r="B250">
        <v>246</v>
      </c>
      <c r="C250" t="s">
        <v>153</v>
      </c>
      <c r="D250">
        <v>24</v>
      </c>
      <c r="E250" t="s">
        <v>148</v>
      </c>
      <c r="F250" t="s">
        <v>174</v>
      </c>
      <c r="G250">
        <v>1258</v>
      </c>
      <c r="H250" t="s">
        <v>149</v>
      </c>
      <c r="I250" t="s">
        <v>155</v>
      </c>
      <c r="J250">
        <v>4</v>
      </c>
      <c r="K250" t="s">
        <v>139</v>
      </c>
      <c r="L250" t="s">
        <v>140</v>
      </c>
      <c r="M250">
        <v>1</v>
      </c>
      <c r="N250" t="s">
        <v>141</v>
      </c>
      <c r="O250">
        <v>25</v>
      </c>
      <c r="P250" t="s">
        <v>142</v>
      </c>
      <c r="Q250" t="s">
        <v>143</v>
      </c>
      <c r="R250">
        <v>1</v>
      </c>
      <c r="S250" t="s">
        <v>144</v>
      </c>
      <c r="T250">
        <v>1</v>
      </c>
      <c r="U250" t="s">
        <v>145</v>
      </c>
      <c r="V250" t="s">
        <v>146</v>
      </c>
      <c r="W250">
        <v>1</v>
      </c>
    </row>
    <row r="251" spans="2:23" x14ac:dyDescent="0.3">
      <c r="B251">
        <v>247</v>
      </c>
      <c r="C251" t="s">
        <v>153</v>
      </c>
      <c r="D251">
        <v>12</v>
      </c>
      <c r="E251" t="s">
        <v>135</v>
      </c>
      <c r="F251" t="s">
        <v>136</v>
      </c>
      <c r="G251">
        <v>717</v>
      </c>
      <c r="H251" t="s">
        <v>149</v>
      </c>
      <c r="I251" t="s">
        <v>138</v>
      </c>
      <c r="J251">
        <v>4</v>
      </c>
      <c r="K251" t="s">
        <v>139</v>
      </c>
      <c r="L251" t="s">
        <v>140</v>
      </c>
      <c r="M251">
        <v>4</v>
      </c>
      <c r="N251" t="s">
        <v>141</v>
      </c>
      <c r="O251">
        <v>52</v>
      </c>
      <c r="P251" t="s">
        <v>142</v>
      </c>
      <c r="Q251" t="s">
        <v>143</v>
      </c>
      <c r="R251">
        <v>3</v>
      </c>
      <c r="S251" t="s">
        <v>144</v>
      </c>
      <c r="T251">
        <v>1</v>
      </c>
      <c r="U251" t="s">
        <v>152</v>
      </c>
      <c r="V251" t="s">
        <v>146</v>
      </c>
      <c r="W251">
        <v>1</v>
      </c>
    </row>
    <row r="252" spans="2:23" x14ac:dyDescent="0.3">
      <c r="B252">
        <v>248</v>
      </c>
      <c r="C252" t="s">
        <v>153</v>
      </c>
      <c r="D252">
        <v>6</v>
      </c>
      <c r="E252" t="s">
        <v>176</v>
      </c>
      <c r="F252" t="s">
        <v>162</v>
      </c>
      <c r="G252">
        <v>1204</v>
      </c>
      <c r="H252" t="s">
        <v>175</v>
      </c>
      <c r="I252" t="s">
        <v>150</v>
      </c>
      <c r="J252">
        <v>4</v>
      </c>
      <c r="K252" t="s">
        <v>139</v>
      </c>
      <c r="L252" t="s">
        <v>140</v>
      </c>
      <c r="M252">
        <v>1</v>
      </c>
      <c r="N252" t="s">
        <v>163</v>
      </c>
      <c r="O252">
        <v>35</v>
      </c>
      <c r="P252" t="s">
        <v>177</v>
      </c>
      <c r="Q252" t="s">
        <v>167</v>
      </c>
      <c r="R252">
        <v>1</v>
      </c>
      <c r="S252" t="s">
        <v>144</v>
      </c>
      <c r="T252">
        <v>1</v>
      </c>
      <c r="U252" t="s">
        <v>152</v>
      </c>
      <c r="V252" t="s">
        <v>178</v>
      </c>
      <c r="W252">
        <v>1</v>
      </c>
    </row>
    <row r="253" spans="2:23" x14ac:dyDescent="0.3">
      <c r="B253">
        <v>249</v>
      </c>
      <c r="C253" t="s">
        <v>179</v>
      </c>
      <c r="D253">
        <v>24</v>
      </c>
      <c r="E253" t="s">
        <v>148</v>
      </c>
      <c r="F253" t="s">
        <v>157</v>
      </c>
      <c r="G253">
        <v>1925</v>
      </c>
      <c r="H253" t="s">
        <v>149</v>
      </c>
      <c r="I253" t="s">
        <v>150</v>
      </c>
      <c r="J253">
        <v>2</v>
      </c>
      <c r="K253" t="s">
        <v>139</v>
      </c>
      <c r="L253" t="s">
        <v>140</v>
      </c>
      <c r="M253">
        <v>2</v>
      </c>
      <c r="N253" t="s">
        <v>141</v>
      </c>
      <c r="O253">
        <v>26</v>
      </c>
      <c r="P253" t="s">
        <v>142</v>
      </c>
      <c r="Q253" t="s">
        <v>143</v>
      </c>
      <c r="R253">
        <v>1</v>
      </c>
      <c r="S253" t="s">
        <v>144</v>
      </c>
      <c r="T253">
        <v>1</v>
      </c>
      <c r="U253" t="s">
        <v>152</v>
      </c>
      <c r="V253" t="s">
        <v>146</v>
      </c>
      <c r="W253">
        <v>1</v>
      </c>
    </row>
    <row r="254" spans="2:23" x14ac:dyDescent="0.3">
      <c r="B254">
        <v>250</v>
      </c>
      <c r="C254" t="s">
        <v>153</v>
      </c>
      <c r="D254">
        <v>18</v>
      </c>
      <c r="E254" t="s">
        <v>148</v>
      </c>
      <c r="F254" t="s">
        <v>136</v>
      </c>
      <c r="G254">
        <v>433</v>
      </c>
      <c r="H254" t="s">
        <v>149</v>
      </c>
      <c r="I254" t="s">
        <v>171</v>
      </c>
      <c r="J254">
        <v>3</v>
      </c>
      <c r="K254" t="s">
        <v>151</v>
      </c>
      <c r="L254" t="s">
        <v>182</v>
      </c>
      <c r="M254">
        <v>4</v>
      </c>
      <c r="N254" t="s">
        <v>141</v>
      </c>
      <c r="O254">
        <v>22</v>
      </c>
      <c r="P254" t="s">
        <v>142</v>
      </c>
      <c r="Q254" t="s">
        <v>167</v>
      </c>
      <c r="R254">
        <v>1</v>
      </c>
      <c r="S254" t="s">
        <v>144</v>
      </c>
      <c r="T254">
        <v>1</v>
      </c>
      <c r="U254" t="s">
        <v>152</v>
      </c>
      <c r="V254" t="s">
        <v>146</v>
      </c>
      <c r="W254">
        <v>2</v>
      </c>
    </row>
    <row r="255" spans="2:23" x14ac:dyDescent="0.3">
      <c r="B255">
        <v>251</v>
      </c>
      <c r="C255" t="s">
        <v>134</v>
      </c>
      <c r="D255">
        <v>6</v>
      </c>
      <c r="E255" t="s">
        <v>135</v>
      </c>
      <c r="F255" t="s">
        <v>162</v>
      </c>
      <c r="G255">
        <v>666</v>
      </c>
      <c r="H255" t="s">
        <v>169</v>
      </c>
      <c r="I255" t="s">
        <v>155</v>
      </c>
      <c r="J255">
        <v>3</v>
      </c>
      <c r="K255" t="s">
        <v>151</v>
      </c>
      <c r="L255" t="s">
        <v>140</v>
      </c>
      <c r="M255">
        <v>4</v>
      </c>
      <c r="N255" t="s">
        <v>141</v>
      </c>
      <c r="O255">
        <v>39</v>
      </c>
      <c r="P255" t="s">
        <v>142</v>
      </c>
      <c r="Q255" t="s">
        <v>143</v>
      </c>
      <c r="R255">
        <v>2</v>
      </c>
      <c r="S255" t="s">
        <v>156</v>
      </c>
      <c r="T255">
        <v>1</v>
      </c>
      <c r="U255" t="s">
        <v>145</v>
      </c>
      <c r="V255" t="s">
        <v>146</v>
      </c>
      <c r="W255">
        <v>1</v>
      </c>
    </row>
    <row r="256" spans="2:23" x14ac:dyDescent="0.3">
      <c r="B256">
        <v>252</v>
      </c>
      <c r="C256" t="s">
        <v>179</v>
      </c>
      <c r="D256">
        <v>12</v>
      </c>
      <c r="E256" t="s">
        <v>148</v>
      </c>
      <c r="F256" t="s">
        <v>157</v>
      </c>
      <c r="G256">
        <v>2251</v>
      </c>
      <c r="H256" t="s">
        <v>149</v>
      </c>
      <c r="I256" t="s">
        <v>150</v>
      </c>
      <c r="J256">
        <v>1</v>
      </c>
      <c r="K256" t="s">
        <v>151</v>
      </c>
      <c r="L256" t="s">
        <v>140</v>
      </c>
      <c r="M256">
        <v>2</v>
      </c>
      <c r="N256" t="s">
        <v>166</v>
      </c>
      <c r="O256">
        <v>46</v>
      </c>
      <c r="P256" t="s">
        <v>142</v>
      </c>
      <c r="Q256" t="s">
        <v>143</v>
      </c>
      <c r="R256">
        <v>1</v>
      </c>
      <c r="S256" t="s">
        <v>156</v>
      </c>
      <c r="T256">
        <v>1</v>
      </c>
      <c r="U256" t="s">
        <v>152</v>
      </c>
      <c r="V256" t="s">
        <v>146</v>
      </c>
      <c r="W256">
        <v>1</v>
      </c>
    </row>
    <row r="257" spans="2:23" x14ac:dyDescent="0.3">
      <c r="B257">
        <v>253</v>
      </c>
      <c r="C257" t="s">
        <v>147</v>
      </c>
      <c r="D257">
        <v>30</v>
      </c>
      <c r="E257" t="s">
        <v>148</v>
      </c>
      <c r="F257" t="s">
        <v>162</v>
      </c>
      <c r="G257">
        <v>2150</v>
      </c>
      <c r="H257" t="s">
        <v>149</v>
      </c>
      <c r="I257" t="s">
        <v>150</v>
      </c>
      <c r="J257">
        <v>4</v>
      </c>
      <c r="K257" t="s">
        <v>151</v>
      </c>
      <c r="L257" t="s">
        <v>158</v>
      </c>
      <c r="M257">
        <v>2</v>
      </c>
      <c r="N257" t="s">
        <v>163</v>
      </c>
      <c r="O257">
        <v>24</v>
      </c>
      <c r="P257" t="s">
        <v>177</v>
      </c>
      <c r="Q257" t="s">
        <v>143</v>
      </c>
      <c r="R257">
        <v>1</v>
      </c>
      <c r="S257" t="s">
        <v>144</v>
      </c>
      <c r="T257">
        <v>1</v>
      </c>
      <c r="U257" t="s">
        <v>152</v>
      </c>
      <c r="V257" t="s">
        <v>146</v>
      </c>
      <c r="W257">
        <v>2</v>
      </c>
    </row>
    <row r="258" spans="2:23" x14ac:dyDescent="0.3">
      <c r="B258">
        <v>254</v>
      </c>
      <c r="C258" t="s">
        <v>153</v>
      </c>
      <c r="D258">
        <v>24</v>
      </c>
      <c r="E258" t="s">
        <v>161</v>
      </c>
      <c r="F258" t="s">
        <v>157</v>
      </c>
      <c r="G258">
        <v>4151</v>
      </c>
      <c r="H258" t="s">
        <v>175</v>
      </c>
      <c r="I258" t="s">
        <v>150</v>
      </c>
      <c r="J258">
        <v>2</v>
      </c>
      <c r="K258" t="s">
        <v>139</v>
      </c>
      <c r="L258" t="s">
        <v>140</v>
      </c>
      <c r="M258">
        <v>3</v>
      </c>
      <c r="N258" t="s">
        <v>159</v>
      </c>
      <c r="O258">
        <v>35</v>
      </c>
      <c r="P258" t="s">
        <v>142</v>
      </c>
      <c r="Q258" t="s">
        <v>143</v>
      </c>
      <c r="R258">
        <v>2</v>
      </c>
      <c r="S258" t="s">
        <v>144</v>
      </c>
      <c r="T258">
        <v>1</v>
      </c>
      <c r="U258" t="s">
        <v>152</v>
      </c>
      <c r="V258" t="s">
        <v>146</v>
      </c>
      <c r="W258">
        <v>1</v>
      </c>
    </row>
    <row r="259" spans="2:23" x14ac:dyDescent="0.3">
      <c r="B259">
        <v>255</v>
      </c>
      <c r="C259" t="s">
        <v>147</v>
      </c>
      <c r="D259">
        <v>9</v>
      </c>
      <c r="E259" t="s">
        <v>148</v>
      </c>
      <c r="F259" t="s">
        <v>157</v>
      </c>
      <c r="G259">
        <v>2030</v>
      </c>
      <c r="H259" t="s">
        <v>137</v>
      </c>
      <c r="I259" t="s">
        <v>155</v>
      </c>
      <c r="J259">
        <v>2</v>
      </c>
      <c r="K259" t="s">
        <v>139</v>
      </c>
      <c r="L259" t="s">
        <v>140</v>
      </c>
      <c r="M259">
        <v>1</v>
      </c>
      <c r="N259" t="s">
        <v>166</v>
      </c>
      <c r="O259">
        <v>24</v>
      </c>
      <c r="P259" t="s">
        <v>142</v>
      </c>
      <c r="Q259" t="s">
        <v>143</v>
      </c>
      <c r="R259">
        <v>1</v>
      </c>
      <c r="S259" t="s">
        <v>144</v>
      </c>
      <c r="T259">
        <v>1</v>
      </c>
      <c r="U259" t="s">
        <v>145</v>
      </c>
      <c r="V259" t="s">
        <v>146</v>
      </c>
      <c r="W259">
        <v>1</v>
      </c>
    </row>
    <row r="260" spans="2:23" x14ac:dyDescent="0.3">
      <c r="B260">
        <v>256</v>
      </c>
      <c r="C260" t="s">
        <v>147</v>
      </c>
      <c r="D260">
        <v>60</v>
      </c>
      <c r="E260" t="s">
        <v>161</v>
      </c>
      <c r="F260" t="s">
        <v>136</v>
      </c>
      <c r="G260">
        <v>7418</v>
      </c>
      <c r="H260" t="s">
        <v>137</v>
      </c>
      <c r="I260" t="s">
        <v>150</v>
      </c>
      <c r="J260">
        <v>1</v>
      </c>
      <c r="K260" t="s">
        <v>139</v>
      </c>
      <c r="L260" t="s">
        <v>140</v>
      </c>
      <c r="M260">
        <v>1</v>
      </c>
      <c r="N260" t="s">
        <v>141</v>
      </c>
      <c r="O260">
        <v>27</v>
      </c>
      <c r="P260" t="s">
        <v>142</v>
      </c>
      <c r="Q260" t="s">
        <v>143</v>
      </c>
      <c r="R260">
        <v>1</v>
      </c>
      <c r="S260" t="s">
        <v>156</v>
      </c>
      <c r="T260">
        <v>1</v>
      </c>
      <c r="U260" t="s">
        <v>152</v>
      </c>
      <c r="V260" t="s">
        <v>146</v>
      </c>
      <c r="W260">
        <v>1</v>
      </c>
    </row>
    <row r="261" spans="2:23" x14ac:dyDescent="0.3">
      <c r="B261">
        <v>257</v>
      </c>
      <c r="C261" t="s">
        <v>153</v>
      </c>
      <c r="D261">
        <v>24</v>
      </c>
      <c r="E261" t="s">
        <v>135</v>
      </c>
      <c r="F261" t="s">
        <v>136</v>
      </c>
      <c r="G261">
        <v>2684</v>
      </c>
      <c r="H261" t="s">
        <v>149</v>
      </c>
      <c r="I261" t="s">
        <v>150</v>
      </c>
      <c r="J261">
        <v>4</v>
      </c>
      <c r="K261" t="s">
        <v>139</v>
      </c>
      <c r="L261" t="s">
        <v>140</v>
      </c>
      <c r="M261">
        <v>2</v>
      </c>
      <c r="N261" t="s">
        <v>141</v>
      </c>
      <c r="O261">
        <v>35</v>
      </c>
      <c r="P261" t="s">
        <v>142</v>
      </c>
      <c r="Q261" t="s">
        <v>143</v>
      </c>
      <c r="R261">
        <v>2</v>
      </c>
      <c r="S261" t="s">
        <v>156</v>
      </c>
      <c r="T261">
        <v>1</v>
      </c>
      <c r="U261" t="s">
        <v>152</v>
      </c>
      <c r="V261" t="s">
        <v>146</v>
      </c>
      <c r="W261">
        <v>1</v>
      </c>
    </row>
    <row r="262" spans="2:23" x14ac:dyDescent="0.3">
      <c r="B262">
        <v>258</v>
      </c>
      <c r="C262" t="s">
        <v>134</v>
      </c>
      <c r="D262">
        <v>12</v>
      </c>
      <c r="E262" t="s">
        <v>180</v>
      </c>
      <c r="F262" t="s">
        <v>136</v>
      </c>
      <c r="G262">
        <v>2149</v>
      </c>
      <c r="H262" t="s">
        <v>149</v>
      </c>
      <c r="I262" t="s">
        <v>150</v>
      </c>
      <c r="J262">
        <v>4</v>
      </c>
      <c r="K262" t="s">
        <v>170</v>
      </c>
      <c r="L262" t="s">
        <v>140</v>
      </c>
      <c r="M262">
        <v>1</v>
      </c>
      <c r="N262" t="s">
        <v>163</v>
      </c>
      <c r="O262">
        <v>29</v>
      </c>
      <c r="P262" t="s">
        <v>142</v>
      </c>
      <c r="Q262" t="s">
        <v>160</v>
      </c>
      <c r="R262">
        <v>1</v>
      </c>
      <c r="S262" t="s">
        <v>144</v>
      </c>
      <c r="T262">
        <v>1</v>
      </c>
      <c r="U262" t="s">
        <v>152</v>
      </c>
      <c r="V262" t="s">
        <v>146</v>
      </c>
      <c r="W262">
        <v>2</v>
      </c>
    </row>
    <row r="263" spans="2:23" x14ac:dyDescent="0.3">
      <c r="B263">
        <v>259</v>
      </c>
      <c r="C263" t="s">
        <v>153</v>
      </c>
      <c r="D263">
        <v>15</v>
      </c>
      <c r="E263" t="s">
        <v>148</v>
      </c>
      <c r="F263" t="s">
        <v>165</v>
      </c>
      <c r="G263">
        <v>3812</v>
      </c>
      <c r="H263" t="s">
        <v>175</v>
      </c>
      <c r="I263" t="s">
        <v>173</v>
      </c>
      <c r="J263">
        <v>1</v>
      </c>
      <c r="K263" t="s">
        <v>151</v>
      </c>
      <c r="L263" t="s">
        <v>140</v>
      </c>
      <c r="M263">
        <v>4</v>
      </c>
      <c r="N263" t="s">
        <v>166</v>
      </c>
      <c r="O263">
        <v>23</v>
      </c>
      <c r="P263" t="s">
        <v>142</v>
      </c>
      <c r="Q263" t="s">
        <v>143</v>
      </c>
      <c r="R263">
        <v>1</v>
      </c>
      <c r="S263" t="s">
        <v>144</v>
      </c>
      <c r="T263">
        <v>1</v>
      </c>
      <c r="U263" t="s">
        <v>145</v>
      </c>
      <c r="V263" t="s">
        <v>146</v>
      </c>
      <c r="W263">
        <v>1</v>
      </c>
    </row>
    <row r="264" spans="2:23" x14ac:dyDescent="0.3">
      <c r="B264">
        <v>260</v>
      </c>
      <c r="C264" t="s">
        <v>153</v>
      </c>
      <c r="D264">
        <v>11</v>
      </c>
      <c r="E264" t="s">
        <v>135</v>
      </c>
      <c r="F264" t="s">
        <v>136</v>
      </c>
      <c r="G264">
        <v>1154</v>
      </c>
      <c r="H264" t="s">
        <v>175</v>
      </c>
      <c r="I264" t="s">
        <v>171</v>
      </c>
      <c r="J264">
        <v>4</v>
      </c>
      <c r="K264" t="s">
        <v>151</v>
      </c>
      <c r="L264" t="s">
        <v>140</v>
      </c>
      <c r="M264">
        <v>4</v>
      </c>
      <c r="N264" t="s">
        <v>141</v>
      </c>
      <c r="O264">
        <v>57</v>
      </c>
      <c r="P264" t="s">
        <v>142</v>
      </c>
      <c r="Q264" t="s">
        <v>143</v>
      </c>
      <c r="R264">
        <v>3</v>
      </c>
      <c r="S264" t="s">
        <v>156</v>
      </c>
      <c r="T264">
        <v>1</v>
      </c>
      <c r="U264" t="s">
        <v>152</v>
      </c>
      <c r="V264" t="s">
        <v>146</v>
      </c>
      <c r="W264">
        <v>1</v>
      </c>
    </row>
    <row r="265" spans="2:23" x14ac:dyDescent="0.3">
      <c r="B265">
        <v>261</v>
      </c>
      <c r="C265" t="s">
        <v>134</v>
      </c>
      <c r="D265">
        <v>12</v>
      </c>
      <c r="E265" t="s">
        <v>148</v>
      </c>
      <c r="F265" t="s">
        <v>157</v>
      </c>
      <c r="G265">
        <v>1657</v>
      </c>
      <c r="H265" t="s">
        <v>149</v>
      </c>
      <c r="I265" t="s">
        <v>150</v>
      </c>
      <c r="J265">
        <v>2</v>
      </c>
      <c r="K265" t="s">
        <v>139</v>
      </c>
      <c r="L265" t="s">
        <v>140</v>
      </c>
      <c r="M265">
        <v>2</v>
      </c>
      <c r="N265" t="s">
        <v>141</v>
      </c>
      <c r="O265">
        <v>27</v>
      </c>
      <c r="P265" t="s">
        <v>142</v>
      </c>
      <c r="Q265" t="s">
        <v>143</v>
      </c>
      <c r="R265">
        <v>1</v>
      </c>
      <c r="S265" t="s">
        <v>144</v>
      </c>
      <c r="T265">
        <v>1</v>
      </c>
      <c r="U265" t="s">
        <v>152</v>
      </c>
      <c r="V265" t="s">
        <v>146</v>
      </c>
      <c r="W265">
        <v>1</v>
      </c>
    </row>
    <row r="266" spans="2:23" x14ac:dyDescent="0.3">
      <c r="B266">
        <v>262</v>
      </c>
      <c r="C266" t="s">
        <v>134</v>
      </c>
      <c r="D266">
        <v>24</v>
      </c>
      <c r="E266" t="s">
        <v>148</v>
      </c>
      <c r="F266" t="s">
        <v>136</v>
      </c>
      <c r="G266">
        <v>1603</v>
      </c>
      <c r="H266" t="s">
        <v>149</v>
      </c>
      <c r="I266" t="s">
        <v>138</v>
      </c>
      <c r="J266">
        <v>4</v>
      </c>
      <c r="K266" t="s">
        <v>151</v>
      </c>
      <c r="L266" t="s">
        <v>140</v>
      </c>
      <c r="M266">
        <v>4</v>
      </c>
      <c r="N266" t="s">
        <v>166</v>
      </c>
      <c r="O266">
        <v>55</v>
      </c>
      <c r="P266" t="s">
        <v>142</v>
      </c>
      <c r="Q266" t="s">
        <v>143</v>
      </c>
      <c r="R266">
        <v>1</v>
      </c>
      <c r="S266" t="s">
        <v>144</v>
      </c>
      <c r="T266">
        <v>1</v>
      </c>
      <c r="U266" t="s">
        <v>152</v>
      </c>
      <c r="V266" t="s">
        <v>146</v>
      </c>
      <c r="W266">
        <v>1</v>
      </c>
    </row>
    <row r="267" spans="2:23" x14ac:dyDescent="0.3">
      <c r="B267">
        <v>263</v>
      </c>
      <c r="C267" t="s">
        <v>134</v>
      </c>
      <c r="D267">
        <v>18</v>
      </c>
      <c r="E267" t="s">
        <v>135</v>
      </c>
      <c r="F267" t="s">
        <v>162</v>
      </c>
      <c r="G267">
        <v>5302</v>
      </c>
      <c r="H267" t="s">
        <v>149</v>
      </c>
      <c r="I267" t="s">
        <v>138</v>
      </c>
      <c r="J267">
        <v>2</v>
      </c>
      <c r="K267" t="s">
        <v>139</v>
      </c>
      <c r="L267" t="s">
        <v>140</v>
      </c>
      <c r="M267">
        <v>4</v>
      </c>
      <c r="N267" t="s">
        <v>163</v>
      </c>
      <c r="O267">
        <v>36</v>
      </c>
      <c r="P267" t="s">
        <v>142</v>
      </c>
      <c r="Q267" t="s">
        <v>160</v>
      </c>
      <c r="R267">
        <v>3</v>
      </c>
      <c r="S267" t="s">
        <v>168</v>
      </c>
      <c r="T267">
        <v>1</v>
      </c>
      <c r="U267" t="s">
        <v>145</v>
      </c>
      <c r="V267" t="s">
        <v>146</v>
      </c>
      <c r="W267">
        <v>1</v>
      </c>
    </row>
    <row r="268" spans="2:23" x14ac:dyDescent="0.3">
      <c r="B268">
        <v>264</v>
      </c>
      <c r="C268" t="s">
        <v>153</v>
      </c>
      <c r="D268">
        <v>12</v>
      </c>
      <c r="E268" t="s">
        <v>135</v>
      </c>
      <c r="F268" t="s">
        <v>154</v>
      </c>
      <c r="G268">
        <v>2748</v>
      </c>
      <c r="H268" t="s">
        <v>149</v>
      </c>
      <c r="I268" t="s">
        <v>138</v>
      </c>
      <c r="J268">
        <v>2</v>
      </c>
      <c r="K268" t="s">
        <v>151</v>
      </c>
      <c r="L268" t="s">
        <v>140</v>
      </c>
      <c r="M268">
        <v>4</v>
      </c>
      <c r="N268" t="s">
        <v>163</v>
      </c>
      <c r="O268">
        <v>57</v>
      </c>
      <c r="P268" t="s">
        <v>177</v>
      </c>
      <c r="Q268" t="s">
        <v>160</v>
      </c>
      <c r="R268">
        <v>3</v>
      </c>
      <c r="S268" t="s">
        <v>156</v>
      </c>
      <c r="T268">
        <v>1</v>
      </c>
      <c r="U268" t="s">
        <v>152</v>
      </c>
      <c r="V268" t="s">
        <v>146</v>
      </c>
      <c r="W268">
        <v>1</v>
      </c>
    </row>
    <row r="269" spans="2:23" x14ac:dyDescent="0.3">
      <c r="B269">
        <v>265</v>
      </c>
      <c r="C269" t="s">
        <v>153</v>
      </c>
      <c r="D269">
        <v>10</v>
      </c>
      <c r="E269" t="s">
        <v>135</v>
      </c>
      <c r="F269" t="s">
        <v>162</v>
      </c>
      <c r="G269">
        <v>1231</v>
      </c>
      <c r="H269" t="s">
        <v>149</v>
      </c>
      <c r="I269" t="s">
        <v>138</v>
      </c>
      <c r="J269">
        <v>3</v>
      </c>
      <c r="K269" t="s">
        <v>139</v>
      </c>
      <c r="L269" t="s">
        <v>140</v>
      </c>
      <c r="M269">
        <v>4</v>
      </c>
      <c r="N269" t="s">
        <v>141</v>
      </c>
      <c r="O269">
        <v>32</v>
      </c>
      <c r="P269" t="s">
        <v>142</v>
      </c>
      <c r="Q269" t="s">
        <v>143</v>
      </c>
      <c r="R269">
        <v>2</v>
      </c>
      <c r="S269" t="s">
        <v>156</v>
      </c>
      <c r="T269">
        <v>2</v>
      </c>
      <c r="U269" t="s">
        <v>152</v>
      </c>
      <c r="V269" t="s">
        <v>178</v>
      </c>
      <c r="W269">
        <v>1</v>
      </c>
    </row>
    <row r="270" spans="2:23" x14ac:dyDescent="0.3">
      <c r="B270">
        <v>266</v>
      </c>
      <c r="C270" t="s">
        <v>147</v>
      </c>
      <c r="D270">
        <v>15</v>
      </c>
      <c r="E270" t="s">
        <v>148</v>
      </c>
      <c r="F270" t="s">
        <v>136</v>
      </c>
      <c r="G270">
        <v>802</v>
      </c>
      <c r="H270" t="s">
        <v>149</v>
      </c>
      <c r="I270" t="s">
        <v>138</v>
      </c>
      <c r="J270">
        <v>4</v>
      </c>
      <c r="K270" t="s">
        <v>139</v>
      </c>
      <c r="L270" t="s">
        <v>140</v>
      </c>
      <c r="M270">
        <v>3</v>
      </c>
      <c r="N270" t="s">
        <v>166</v>
      </c>
      <c r="O270">
        <v>37</v>
      </c>
      <c r="P270" t="s">
        <v>142</v>
      </c>
      <c r="Q270" t="s">
        <v>143</v>
      </c>
      <c r="R270">
        <v>1</v>
      </c>
      <c r="S270" t="s">
        <v>144</v>
      </c>
      <c r="T270">
        <v>2</v>
      </c>
      <c r="U270" t="s">
        <v>152</v>
      </c>
      <c r="V270" t="s">
        <v>146</v>
      </c>
      <c r="W270">
        <v>2</v>
      </c>
    </row>
    <row r="271" spans="2:23" x14ac:dyDescent="0.3">
      <c r="B271">
        <v>267</v>
      </c>
      <c r="C271" t="s">
        <v>153</v>
      </c>
      <c r="D271">
        <v>36</v>
      </c>
      <c r="E271" t="s">
        <v>135</v>
      </c>
      <c r="F271" t="s">
        <v>174</v>
      </c>
      <c r="G271">
        <v>6304</v>
      </c>
      <c r="H271" t="s">
        <v>137</v>
      </c>
      <c r="I271" t="s">
        <v>138</v>
      </c>
      <c r="J271">
        <v>4</v>
      </c>
      <c r="K271" t="s">
        <v>139</v>
      </c>
      <c r="L271" t="s">
        <v>140</v>
      </c>
      <c r="M271">
        <v>4</v>
      </c>
      <c r="N271" t="s">
        <v>141</v>
      </c>
      <c r="O271">
        <v>36</v>
      </c>
      <c r="P271" t="s">
        <v>142</v>
      </c>
      <c r="Q271" t="s">
        <v>143</v>
      </c>
      <c r="R271">
        <v>2</v>
      </c>
      <c r="S271" t="s">
        <v>144</v>
      </c>
      <c r="T271">
        <v>1</v>
      </c>
      <c r="U271" t="s">
        <v>152</v>
      </c>
      <c r="V271" t="s">
        <v>146</v>
      </c>
      <c r="W271">
        <v>1</v>
      </c>
    </row>
    <row r="272" spans="2:23" x14ac:dyDescent="0.3">
      <c r="B272">
        <v>268</v>
      </c>
      <c r="C272" t="s">
        <v>153</v>
      </c>
      <c r="D272">
        <v>24</v>
      </c>
      <c r="E272" t="s">
        <v>148</v>
      </c>
      <c r="F272" t="s">
        <v>136</v>
      </c>
      <c r="G272">
        <v>1533</v>
      </c>
      <c r="H272" t="s">
        <v>149</v>
      </c>
      <c r="I272" t="s">
        <v>173</v>
      </c>
      <c r="J272">
        <v>4</v>
      </c>
      <c r="K272" t="s">
        <v>151</v>
      </c>
      <c r="L272" t="s">
        <v>140</v>
      </c>
      <c r="M272">
        <v>3</v>
      </c>
      <c r="N272" t="s">
        <v>166</v>
      </c>
      <c r="O272">
        <v>38</v>
      </c>
      <c r="P272" t="s">
        <v>181</v>
      </c>
      <c r="Q272" t="s">
        <v>143</v>
      </c>
      <c r="R272">
        <v>1</v>
      </c>
      <c r="S272" t="s">
        <v>144</v>
      </c>
      <c r="T272">
        <v>1</v>
      </c>
      <c r="U272" t="s">
        <v>145</v>
      </c>
      <c r="V272" t="s">
        <v>146</v>
      </c>
      <c r="W272">
        <v>1</v>
      </c>
    </row>
    <row r="273" spans="2:23" x14ac:dyDescent="0.3">
      <c r="B273">
        <v>269</v>
      </c>
      <c r="C273" t="s">
        <v>134</v>
      </c>
      <c r="D273">
        <v>14</v>
      </c>
      <c r="E273" t="s">
        <v>148</v>
      </c>
      <c r="F273" t="s">
        <v>162</v>
      </c>
      <c r="G273">
        <v>8978</v>
      </c>
      <c r="H273" t="s">
        <v>149</v>
      </c>
      <c r="I273" t="s">
        <v>138</v>
      </c>
      <c r="J273">
        <v>1</v>
      </c>
      <c r="K273" t="s">
        <v>170</v>
      </c>
      <c r="L273" t="s">
        <v>140</v>
      </c>
      <c r="M273">
        <v>4</v>
      </c>
      <c r="N273" t="s">
        <v>159</v>
      </c>
      <c r="O273">
        <v>45</v>
      </c>
      <c r="P273" t="s">
        <v>142</v>
      </c>
      <c r="Q273" t="s">
        <v>143</v>
      </c>
      <c r="R273">
        <v>1</v>
      </c>
      <c r="S273" t="s">
        <v>168</v>
      </c>
      <c r="T273">
        <v>1</v>
      </c>
      <c r="U273" t="s">
        <v>145</v>
      </c>
      <c r="V273" t="s">
        <v>178</v>
      </c>
      <c r="W273">
        <v>2</v>
      </c>
    </row>
    <row r="274" spans="2:23" x14ac:dyDescent="0.3">
      <c r="B274">
        <v>270</v>
      </c>
      <c r="C274" t="s">
        <v>153</v>
      </c>
      <c r="D274">
        <v>24</v>
      </c>
      <c r="E274" t="s">
        <v>148</v>
      </c>
      <c r="F274" t="s">
        <v>136</v>
      </c>
      <c r="G274">
        <v>999</v>
      </c>
      <c r="H274" t="s">
        <v>137</v>
      </c>
      <c r="I274" t="s">
        <v>138</v>
      </c>
      <c r="J274">
        <v>4</v>
      </c>
      <c r="K274" t="s">
        <v>139</v>
      </c>
      <c r="L274" t="s">
        <v>140</v>
      </c>
      <c r="M274">
        <v>2</v>
      </c>
      <c r="N274" t="s">
        <v>166</v>
      </c>
      <c r="O274">
        <v>25</v>
      </c>
      <c r="P274" t="s">
        <v>142</v>
      </c>
      <c r="Q274" t="s">
        <v>143</v>
      </c>
      <c r="R274">
        <v>2</v>
      </c>
      <c r="S274" t="s">
        <v>144</v>
      </c>
      <c r="T274">
        <v>1</v>
      </c>
      <c r="U274" t="s">
        <v>152</v>
      </c>
      <c r="V274" t="s">
        <v>146</v>
      </c>
      <c r="W274">
        <v>1</v>
      </c>
    </row>
    <row r="275" spans="2:23" x14ac:dyDescent="0.3">
      <c r="B275">
        <v>271</v>
      </c>
      <c r="C275" t="s">
        <v>153</v>
      </c>
      <c r="D275">
        <v>18</v>
      </c>
      <c r="E275" t="s">
        <v>148</v>
      </c>
      <c r="F275" t="s">
        <v>162</v>
      </c>
      <c r="G275">
        <v>2662</v>
      </c>
      <c r="H275" t="s">
        <v>137</v>
      </c>
      <c r="I275" t="s">
        <v>155</v>
      </c>
      <c r="J275">
        <v>4</v>
      </c>
      <c r="K275" t="s">
        <v>139</v>
      </c>
      <c r="L275" t="s">
        <v>140</v>
      </c>
      <c r="M275">
        <v>3</v>
      </c>
      <c r="N275" t="s">
        <v>159</v>
      </c>
      <c r="O275">
        <v>32</v>
      </c>
      <c r="P275" t="s">
        <v>142</v>
      </c>
      <c r="Q275" t="s">
        <v>143</v>
      </c>
      <c r="R275">
        <v>1</v>
      </c>
      <c r="S275" t="s">
        <v>144</v>
      </c>
      <c r="T275">
        <v>1</v>
      </c>
      <c r="U275" t="s">
        <v>152</v>
      </c>
      <c r="V275" t="s">
        <v>178</v>
      </c>
      <c r="W275">
        <v>1</v>
      </c>
    </row>
    <row r="276" spans="2:23" x14ac:dyDescent="0.3">
      <c r="B276">
        <v>272</v>
      </c>
      <c r="C276" t="s">
        <v>153</v>
      </c>
      <c r="D276">
        <v>12</v>
      </c>
      <c r="E276" t="s">
        <v>135</v>
      </c>
      <c r="F276" t="s">
        <v>157</v>
      </c>
      <c r="G276">
        <v>1402</v>
      </c>
      <c r="H276" t="s">
        <v>164</v>
      </c>
      <c r="I276" t="s">
        <v>155</v>
      </c>
      <c r="J276">
        <v>3</v>
      </c>
      <c r="K276" t="s">
        <v>151</v>
      </c>
      <c r="L276" t="s">
        <v>140</v>
      </c>
      <c r="M276">
        <v>4</v>
      </c>
      <c r="N276" t="s">
        <v>166</v>
      </c>
      <c r="O276">
        <v>37</v>
      </c>
      <c r="P276" t="s">
        <v>142</v>
      </c>
      <c r="Q276" t="s">
        <v>167</v>
      </c>
      <c r="R276">
        <v>1</v>
      </c>
      <c r="S276" t="s">
        <v>144</v>
      </c>
      <c r="T276">
        <v>1</v>
      </c>
      <c r="U276" t="s">
        <v>145</v>
      </c>
      <c r="V276" t="s">
        <v>146</v>
      </c>
      <c r="W276">
        <v>1</v>
      </c>
    </row>
    <row r="277" spans="2:23" x14ac:dyDescent="0.3">
      <c r="B277">
        <v>273</v>
      </c>
      <c r="C277" t="s">
        <v>147</v>
      </c>
      <c r="D277">
        <v>48</v>
      </c>
      <c r="E277" t="s">
        <v>180</v>
      </c>
      <c r="F277" t="s">
        <v>162</v>
      </c>
      <c r="G277">
        <v>12169</v>
      </c>
      <c r="H277" t="s">
        <v>137</v>
      </c>
      <c r="I277" t="s">
        <v>171</v>
      </c>
      <c r="J277">
        <v>4</v>
      </c>
      <c r="K277" t="s">
        <v>139</v>
      </c>
      <c r="L277" t="s">
        <v>182</v>
      </c>
      <c r="M277">
        <v>4</v>
      </c>
      <c r="N277" t="s">
        <v>163</v>
      </c>
      <c r="O277">
        <v>36</v>
      </c>
      <c r="P277" t="s">
        <v>142</v>
      </c>
      <c r="Q277" t="s">
        <v>160</v>
      </c>
      <c r="R277">
        <v>1</v>
      </c>
      <c r="S277" t="s">
        <v>168</v>
      </c>
      <c r="T277">
        <v>1</v>
      </c>
      <c r="U277" t="s">
        <v>145</v>
      </c>
      <c r="V277" t="s">
        <v>146</v>
      </c>
      <c r="W277">
        <v>1</v>
      </c>
    </row>
    <row r="278" spans="2:23" x14ac:dyDescent="0.3">
      <c r="B278">
        <v>274</v>
      </c>
      <c r="C278" t="s">
        <v>147</v>
      </c>
      <c r="D278">
        <v>48</v>
      </c>
      <c r="E278" t="s">
        <v>148</v>
      </c>
      <c r="F278" t="s">
        <v>136</v>
      </c>
      <c r="G278">
        <v>3060</v>
      </c>
      <c r="H278" t="s">
        <v>149</v>
      </c>
      <c r="I278" t="s">
        <v>155</v>
      </c>
      <c r="J278">
        <v>4</v>
      </c>
      <c r="K278" t="s">
        <v>139</v>
      </c>
      <c r="L278" t="s">
        <v>140</v>
      </c>
      <c r="M278">
        <v>4</v>
      </c>
      <c r="N278" t="s">
        <v>141</v>
      </c>
      <c r="O278">
        <v>28</v>
      </c>
      <c r="P278" t="s">
        <v>142</v>
      </c>
      <c r="Q278" t="s">
        <v>143</v>
      </c>
      <c r="R278">
        <v>2</v>
      </c>
      <c r="S278" t="s">
        <v>144</v>
      </c>
      <c r="T278">
        <v>1</v>
      </c>
      <c r="U278" t="s">
        <v>152</v>
      </c>
      <c r="V278" t="s">
        <v>146</v>
      </c>
      <c r="W278">
        <v>2</v>
      </c>
    </row>
    <row r="279" spans="2:23" x14ac:dyDescent="0.3">
      <c r="B279">
        <v>275</v>
      </c>
      <c r="C279" t="s">
        <v>134</v>
      </c>
      <c r="D279">
        <v>30</v>
      </c>
      <c r="E279" t="s">
        <v>148</v>
      </c>
      <c r="F279" t="s">
        <v>184</v>
      </c>
      <c r="G279">
        <v>11998</v>
      </c>
      <c r="H279" t="s">
        <v>149</v>
      </c>
      <c r="I279" t="s">
        <v>173</v>
      </c>
      <c r="J279">
        <v>1</v>
      </c>
      <c r="K279" t="s">
        <v>170</v>
      </c>
      <c r="L279" t="s">
        <v>140</v>
      </c>
      <c r="M279">
        <v>1</v>
      </c>
      <c r="N279" t="s">
        <v>163</v>
      </c>
      <c r="O279">
        <v>34</v>
      </c>
      <c r="P279" t="s">
        <v>142</v>
      </c>
      <c r="Q279" t="s">
        <v>143</v>
      </c>
      <c r="R279">
        <v>1</v>
      </c>
      <c r="S279" t="s">
        <v>156</v>
      </c>
      <c r="T279">
        <v>1</v>
      </c>
      <c r="U279" t="s">
        <v>145</v>
      </c>
      <c r="V279" t="s">
        <v>146</v>
      </c>
      <c r="W279">
        <v>2</v>
      </c>
    </row>
    <row r="280" spans="2:23" x14ac:dyDescent="0.3">
      <c r="B280">
        <v>276</v>
      </c>
      <c r="C280" t="s">
        <v>153</v>
      </c>
      <c r="D280">
        <v>9</v>
      </c>
      <c r="E280" t="s">
        <v>148</v>
      </c>
      <c r="F280" t="s">
        <v>136</v>
      </c>
      <c r="G280">
        <v>2697</v>
      </c>
      <c r="H280" t="s">
        <v>149</v>
      </c>
      <c r="I280" t="s">
        <v>150</v>
      </c>
      <c r="J280">
        <v>1</v>
      </c>
      <c r="K280" t="s">
        <v>139</v>
      </c>
      <c r="L280" t="s">
        <v>140</v>
      </c>
      <c r="M280">
        <v>2</v>
      </c>
      <c r="N280" t="s">
        <v>141</v>
      </c>
      <c r="O280">
        <v>32</v>
      </c>
      <c r="P280" t="s">
        <v>142</v>
      </c>
      <c r="Q280" t="s">
        <v>143</v>
      </c>
      <c r="R280">
        <v>1</v>
      </c>
      <c r="S280" t="s">
        <v>144</v>
      </c>
      <c r="T280">
        <v>2</v>
      </c>
      <c r="U280" t="s">
        <v>152</v>
      </c>
      <c r="V280" t="s">
        <v>146</v>
      </c>
      <c r="W280">
        <v>1</v>
      </c>
    </row>
    <row r="281" spans="2:23" x14ac:dyDescent="0.3">
      <c r="B281">
        <v>277</v>
      </c>
      <c r="C281" t="s">
        <v>153</v>
      </c>
      <c r="D281">
        <v>18</v>
      </c>
      <c r="E281" t="s">
        <v>135</v>
      </c>
      <c r="F281" t="s">
        <v>136</v>
      </c>
      <c r="G281">
        <v>2404</v>
      </c>
      <c r="H281" t="s">
        <v>149</v>
      </c>
      <c r="I281" t="s">
        <v>150</v>
      </c>
      <c r="J281">
        <v>2</v>
      </c>
      <c r="K281" t="s">
        <v>151</v>
      </c>
      <c r="L281" t="s">
        <v>140</v>
      </c>
      <c r="M281">
        <v>2</v>
      </c>
      <c r="N281" t="s">
        <v>166</v>
      </c>
      <c r="O281">
        <v>26</v>
      </c>
      <c r="P281" t="s">
        <v>142</v>
      </c>
      <c r="Q281" t="s">
        <v>143</v>
      </c>
      <c r="R281">
        <v>2</v>
      </c>
      <c r="S281" t="s">
        <v>144</v>
      </c>
      <c r="T281">
        <v>1</v>
      </c>
      <c r="U281" t="s">
        <v>152</v>
      </c>
      <c r="V281" t="s">
        <v>146</v>
      </c>
      <c r="W281">
        <v>1</v>
      </c>
    </row>
    <row r="282" spans="2:23" x14ac:dyDescent="0.3">
      <c r="B282">
        <v>278</v>
      </c>
      <c r="C282" t="s">
        <v>134</v>
      </c>
      <c r="D282">
        <v>12</v>
      </c>
      <c r="E282" t="s">
        <v>148</v>
      </c>
      <c r="F282" t="s">
        <v>157</v>
      </c>
      <c r="G282">
        <v>1262</v>
      </c>
      <c r="H282" t="s">
        <v>137</v>
      </c>
      <c r="I282" t="s">
        <v>138</v>
      </c>
      <c r="J282">
        <v>2</v>
      </c>
      <c r="K282" t="s">
        <v>170</v>
      </c>
      <c r="L282" t="s">
        <v>140</v>
      </c>
      <c r="M282">
        <v>4</v>
      </c>
      <c r="N282" t="s">
        <v>159</v>
      </c>
      <c r="O282">
        <v>49</v>
      </c>
      <c r="P282" t="s">
        <v>142</v>
      </c>
      <c r="Q282" t="s">
        <v>143</v>
      </c>
      <c r="R282">
        <v>1</v>
      </c>
      <c r="S282" t="s">
        <v>156</v>
      </c>
      <c r="T282">
        <v>1</v>
      </c>
      <c r="U282" t="s">
        <v>145</v>
      </c>
      <c r="V282" t="s">
        <v>146</v>
      </c>
      <c r="W282">
        <v>1</v>
      </c>
    </row>
    <row r="283" spans="2:23" x14ac:dyDescent="0.3">
      <c r="B283">
        <v>279</v>
      </c>
      <c r="C283" t="s">
        <v>153</v>
      </c>
      <c r="D283">
        <v>6</v>
      </c>
      <c r="E283" t="s">
        <v>148</v>
      </c>
      <c r="F283" t="s">
        <v>157</v>
      </c>
      <c r="G283">
        <v>4611</v>
      </c>
      <c r="H283" t="s">
        <v>149</v>
      </c>
      <c r="I283" t="s">
        <v>173</v>
      </c>
      <c r="J283">
        <v>1</v>
      </c>
      <c r="K283" t="s">
        <v>151</v>
      </c>
      <c r="L283" t="s">
        <v>140</v>
      </c>
      <c r="M283">
        <v>4</v>
      </c>
      <c r="N283" t="s">
        <v>159</v>
      </c>
      <c r="O283">
        <v>32</v>
      </c>
      <c r="P283" t="s">
        <v>142</v>
      </c>
      <c r="Q283" t="s">
        <v>143</v>
      </c>
      <c r="R283">
        <v>1</v>
      </c>
      <c r="S283" t="s">
        <v>144</v>
      </c>
      <c r="T283">
        <v>1</v>
      </c>
      <c r="U283" t="s">
        <v>152</v>
      </c>
      <c r="V283" t="s">
        <v>146</v>
      </c>
      <c r="W283">
        <v>2</v>
      </c>
    </row>
    <row r="284" spans="2:23" x14ac:dyDescent="0.3">
      <c r="B284">
        <v>280</v>
      </c>
      <c r="C284" t="s">
        <v>153</v>
      </c>
      <c r="D284">
        <v>24</v>
      </c>
      <c r="E284" t="s">
        <v>148</v>
      </c>
      <c r="F284" t="s">
        <v>136</v>
      </c>
      <c r="G284">
        <v>1901</v>
      </c>
      <c r="H284" t="s">
        <v>175</v>
      </c>
      <c r="I284" t="s">
        <v>150</v>
      </c>
      <c r="J284">
        <v>4</v>
      </c>
      <c r="K284" t="s">
        <v>139</v>
      </c>
      <c r="L284" t="s">
        <v>140</v>
      </c>
      <c r="M284">
        <v>4</v>
      </c>
      <c r="N284" t="s">
        <v>166</v>
      </c>
      <c r="O284">
        <v>29</v>
      </c>
      <c r="P284" t="s">
        <v>142</v>
      </c>
      <c r="Q284" t="s">
        <v>167</v>
      </c>
      <c r="R284">
        <v>1</v>
      </c>
      <c r="S284" t="s">
        <v>168</v>
      </c>
      <c r="T284">
        <v>1</v>
      </c>
      <c r="U284" t="s">
        <v>145</v>
      </c>
      <c r="V284" t="s">
        <v>146</v>
      </c>
      <c r="W284">
        <v>1</v>
      </c>
    </row>
    <row r="285" spans="2:23" x14ac:dyDescent="0.3">
      <c r="B285">
        <v>281</v>
      </c>
      <c r="C285" t="s">
        <v>153</v>
      </c>
      <c r="D285">
        <v>15</v>
      </c>
      <c r="E285" t="s">
        <v>135</v>
      </c>
      <c r="F285" t="s">
        <v>165</v>
      </c>
      <c r="G285">
        <v>3368</v>
      </c>
      <c r="H285" t="s">
        <v>169</v>
      </c>
      <c r="I285" t="s">
        <v>138</v>
      </c>
      <c r="J285">
        <v>3</v>
      </c>
      <c r="K285" t="s">
        <v>139</v>
      </c>
      <c r="L285" t="s">
        <v>140</v>
      </c>
      <c r="M285">
        <v>4</v>
      </c>
      <c r="N285" t="s">
        <v>163</v>
      </c>
      <c r="O285">
        <v>23</v>
      </c>
      <c r="P285" t="s">
        <v>142</v>
      </c>
      <c r="Q285" t="s">
        <v>167</v>
      </c>
      <c r="R285">
        <v>2</v>
      </c>
      <c r="S285" t="s">
        <v>144</v>
      </c>
      <c r="T285">
        <v>1</v>
      </c>
      <c r="U285" t="s">
        <v>145</v>
      </c>
      <c r="V285" t="s">
        <v>146</v>
      </c>
      <c r="W285">
        <v>1</v>
      </c>
    </row>
    <row r="286" spans="2:23" x14ac:dyDescent="0.3">
      <c r="B286">
        <v>282</v>
      </c>
      <c r="C286" t="s">
        <v>153</v>
      </c>
      <c r="D286">
        <v>12</v>
      </c>
      <c r="E286" t="s">
        <v>148</v>
      </c>
      <c r="F286" t="s">
        <v>157</v>
      </c>
      <c r="G286">
        <v>1574</v>
      </c>
      <c r="H286" t="s">
        <v>149</v>
      </c>
      <c r="I286" t="s">
        <v>150</v>
      </c>
      <c r="J286">
        <v>4</v>
      </c>
      <c r="K286" t="s">
        <v>139</v>
      </c>
      <c r="L286" t="s">
        <v>140</v>
      </c>
      <c r="M286">
        <v>2</v>
      </c>
      <c r="N286" t="s">
        <v>141</v>
      </c>
      <c r="O286">
        <v>50</v>
      </c>
      <c r="P286" t="s">
        <v>142</v>
      </c>
      <c r="Q286" t="s">
        <v>143</v>
      </c>
      <c r="R286">
        <v>1</v>
      </c>
      <c r="S286" t="s">
        <v>144</v>
      </c>
      <c r="T286">
        <v>1</v>
      </c>
      <c r="U286" t="s">
        <v>152</v>
      </c>
      <c r="V286" t="s">
        <v>146</v>
      </c>
      <c r="W286">
        <v>1</v>
      </c>
    </row>
    <row r="287" spans="2:23" x14ac:dyDescent="0.3">
      <c r="B287">
        <v>283</v>
      </c>
      <c r="C287" t="s">
        <v>179</v>
      </c>
      <c r="D287">
        <v>18</v>
      </c>
      <c r="E287" t="s">
        <v>180</v>
      </c>
      <c r="F287" t="s">
        <v>136</v>
      </c>
      <c r="G287">
        <v>1445</v>
      </c>
      <c r="H287" t="s">
        <v>137</v>
      </c>
      <c r="I287" t="s">
        <v>155</v>
      </c>
      <c r="J287">
        <v>4</v>
      </c>
      <c r="K287" t="s">
        <v>139</v>
      </c>
      <c r="L287" t="s">
        <v>140</v>
      </c>
      <c r="M287">
        <v>4</v>
      </c>
      <c r="N287" t="s">
        <v>166</v>
      </c>
      <c r="O287">
        <v>49</v>
      </c>
      <c r="P287" t="s">
        <v>177</v>
      </c>
      <c r="Q287" t="s">
        <v>143</v>
      </c>
      <c r="R287">
        <v>1</v>
      </c>
      <c r="S287" t="s">
        <v>156</v>
      </c>
      <c r="T287">
        <v>1</v>
      </c>
      <c r="U287" t="s">
        <v>152</v>
      </c>
      <c r="V287" t="s">
        <v>146</v>
      </c>
      <c r="W287">
        <v>1</v>
      </c>
    </row>
    <row r="288" spans="2:23" x14ac:dyDescent="0.3">
      <c r="B288">
        <v>284</v>
      </c>
      <c r="C288" t="s">
        <v>153</v>
      </c>
      <c r="D288">
        <v>15</v>
      </c>
      <c r="E288" t="s">
        <v>135</v>
      </c>
      <c r="F288" t="s">
        <v>157</v>
      </c>
      <c r="G288">
        <v>1520</v>
      </c>
      <c r="H288" t="s">
        <v>137</v>
      </c>
      <c r="I288" t="s">
        <v>138</v>
      </c>
      <c r="J288">
        <v>4</v>
      </c>
      <c r="K288" t="s">
        <v>139</v>
      </c>
      <c r="L288" t="s">
        <v>140</v>
      </c>
      <c r="M288">
        <v>4</v>
      </c>
      <c r="N288" t="s">
        <v>159</v>
      </c>
      <c r="O288">
        <v>63</v>
      </c>
      <c r="P288" t="s">
        <v>142</v>
      </c>
      <c r="Q288" t="s">
        <v>143</v>
      </c>
      <c r="R288">
        <v>1</v>
      </c>
      <c r="S288" t="s">
        <v>144</v>
      </c>
      <c r="T288">
        <v>1</v>
      </c>
      <c r="U288" t="s">
        <v>152</v>
      </c>
      <c r="V288" t="s">
        <v>146</v>
      </c>
      <c r="W288">
        <v>1</v>
      </c>
    </row>
    <row r="289" spans="2:23" x14ac:dyDescent="0.3">
      <c r="B289">
        <v>285</v>
      </c>
      <c r="C289" t="s">
        <v>147</v>
      </c>
      <c r="D289">
        <v>24</v>
      </c>
      <c r="E289" t="s">
        <v>135</v>
      </c>
      <c r="F289" t="s">
        <v>162</v>
      </c>
      <c r="G289">
        <v>3878</v>
      </c>
      <c r="H289" t="s">
        <v>175</v>
      </c>
      <c r="I289" t="s">
        <v>173</v>
      </c>
      <c r="J289">
        <v>4</v>
      </c>
      <c r="K289" t="s">
        <v>170</v>
      </c>
      <c r="L289" t="s">
        <v>140</v>
      </c>
      <c r="M289">
        <v>2</v>
      </c>
      <c r="N289" t="s">
        <v>166</v>
      </c>
      <c r="O289">
        <v>37</v>
      </c>
      <c r="P289" t="s">
        <v>142</v>
      </c>
      <c r="Q289" t="s">
        <v>143</v>
      </c>
      <c r="R289">
        <v>1</v>
      </c>
      <c r="S289" t="s">
        <v>144</v>
      </c>
      <c r="T289">
        <v>1</v>
      </c>
      <c r="U289" t="s">
        <v>145</v>
      </c>
      <c r="V289" t="s">
        <v>146</v>
      </c>
      <c r="W289">
        <v>1</v>
      </c>
    </row>
    <row r="290" spans="2:23" x14ac:dyDescent="0.3">
      <c r="B290">
        <v>286</v>
      </c>
      <c r="C290" t="s">
        <v>134</v>
      </c>
      <c r="D290">
        <v>47</v>
      </c>
      <c r="E290" t="s">
        <v>148</v>
      </c>
      <c r="F290" t="s">
        <v>162</v>
      </c>
      <c r="G290">
        <v>10722</v>
      </c>
      <c r="H290" t="s">
        <v>149</v>
      </c>
      <c r="I290" t="s">
        <v>173</v>
      </c>
      <c r="J290">
        <v>1</v>
      </c>
      <c r="K290" t="s">
        <v>151</v>
      </c>
      <c r="L290" t="s">
        <v>140</v>
      </c>
      <c r="M290">
        <v>1</v>
      </c>
      <c r="N290" t="s">
        <v>141</v>
      </c>
      <c r="O290">
        <v>35</v>
      </c>
      <c r="P290" t="s">
        <v>142</v>
      </c>
      <c r="Q290" t="s">
        <v>143</v>
      </c>
      <c r="R290">
        <v>1</v>
      </c>
      <c r="S290" t="s">
        <v>156</v>
      </c>
      <c r="T290">
        <v>1</v>
      </c>
      <c r="U290" t="s">
        <v>145</v>
      </c>
      <c r="V290" t="s">
        <v>146</v>
      </c>
      <c r="W290">
        <v>1</v>
      </c>
    </row>
    <row r="291" spans="2:23" x14ac:dyDescent="0.3">
      <c r="B291">
        <v>287</v>
      </c>
      <c r="C291" t="s">
        <v>134</v>
      </c>
      <c r="D291">
        <v>48</v>
      </c>
      <c r="E291" t="s">
        <v>148</v>
      </c>
      <c r="F291" t="s">
        <v>165</v>
      </c>
      <c r="G291">
        <v>4788</v>
      </c>
      <c r="H291" t="s">
        <v>149</v>
      </c>
      <c r="I291" t="s">
        <v>155</v>
      </c>
      <c r="J291">
        <v>4</v>
      </c>
      <c r="K291" t="s">
        <v>139</v>
      </c>
      <c r="L291" t="s">
        <v>140</v>
      </c>
      <c r="M291">
        <v>3</v>
      </c>
      <c r="N291" t="s">
        <v>159</v>
      </c>
      <c r="O291">
        <v>26</v>
      </c>
      <c r="P291" t="s">
        <v>142</v>
      </c>
      <c r="Q291" t="s">
        <v>143</v>
      </c>
      <c r="R291">
        <v>1</v>
      </c>
      <c r="S291" t="s">
        <v>144</v>
      </c>
      <c r="T291">
        <v>2</v>
      </c>
      <c r="U291" t="s">
        <v>152</v>
      </c>
      <c r="V291" t="s">
        <v>146</v>
      </c>
      <c r="W291">
        <v>1</v>
      </c>
    </row>
    <row r="292" spans="2:23" x14ac:dyDescent="0.3">
      <c r="B292">
        <v>288</v>
      </c>
      <c r="C292" t="s">
        <v>147</v>
      </c>
      <c r="D292">
        <v>48</v>
      </c>
      <c r="E292" t="s">
        <v>161</v>
      </c>
      <c r="F292" t="s">
        <v>186</v>
      </c>
      <c r="G292">
        <v>7582</v>
      </c>
      <c r="H292" t="s">
        <v>175</v>
      </c>
      <c r="I292" t="s">
        <v>171</v>
      </c>
      <c r="J292">
        <v>2</v>
      </c>
      <c r="K292" t="s">
        <v>139</v>
      </c>
      <c r="L292" t="s">
        <v>140</v>
      </c>
      <c r="M292">
        <v>4</v>
      </c>
      <c r="N292" t="s">
        <v>163</v>
      </c>
      <c r="O292">
        <v>31</v>
      </c>
      <c r="P292" t="s">
        <v>142</v>
      </c>
      <c r="Q292" t="s">
        <v>160</v>
      </c>
      <c r="R292">
        <v>1</v>
      </c>
      <c r="S292" t="s">
        <v>168</v>
      </c>
      <c r="T292">
        <v>1</v>
      </c>
      <c r="U292" t="s">
        <v>145</v>
      </c>
      <c r="V292" t="s">
        <v>146</v>
      </c>
      <c r="W292">
        <v>1</v>
      </c>
    </row>
    <row r="293" spans="2:23" x14ac:dyDescent="0.3">
      <c r="B293">
        <v>289</v>
      </c>
      <c r="C293" t="s">
        <v>147</v>
      </c>
      <c r="D293">
        <v>12</v>
      </c>
      <c r="E293" t="s">
        <v>148</v>
      </c>
      <c r="F293" t="s">
        <v>136</v>
      </c>
      <c r="G293">
        <v>1092</v>
      </c>
      <c r="H293" t="s">
        <v>149</v>
      </c>
      <c r="I293" t="s">
        <v>150</v>
      </c>
      <c r="J293">
        <v>4</v>
      </c>
      <c r="K293" t="s">
        <v>151</v>
      </c>
      <c r="L293" t="s">
        <v>158</v>
      </c>
      <c r="M293">
        <v>4</v>
      </c>
      <c r="N293" t="s">
        <v>141</v>
      </c>
      <c r="O293">
        <v>49</v>
      </c>
      <c r="P293" t="s">
        <v>142</v>
      </c>
      <c r="Q293" t="s">
        <v>143</v>
      </c>
      <c r="R293">
        <v>2</v>
      </c>
      <c r="S293" t="s">
        <v>144</v>
      </c>
      <c r="T293">
        <v>1</v>
      </c>
      <c r="U293" t="s">
        <v>145</v>
      </c>
      <c r="V293" t="s">
        <v>146</v>
      </c>
      <c r="W293">
        <v>1</v>
      </c>
    </row>
    <row r="294" spans="2:23" x14ac:dyDescent="0.3">
      <c r="B294">
        <v>290</v>
      </c>
      <c r="C294" t="s">
        <v>134</v>
      </c>
      <c r="D294">
        <v>24</v>
      </c>
      <c r="E294" t="s">
        <v>161</v>
      </c>
      <c r="F294" t="s">
        <v>136</v>
      </c>
      <c r="G294">
        <v>1024</v>
      </c>
      <c r="H294" t="s">
        <v>149</v>
      </c>
      <c r="I294" t="s">
        <v>173</v>
      </c>
      <c r="J294">
        <v>4</v>
      </c>
      <c r="K294" t="s">
        <v>172</v>
      </c>
      <c r="L294" t="s">
        <v>140</v>
      </c>
      <c r="M294">
        <v>4</v>
      </c>
      <c r="N294" t="s">
        <v>141</v>
      </c>
      <c r="O294">
        <v>48</v>
      </c>
      <c r="P294" t="s">
        <v>181</v>
      </c>
      <c r="Q294" t="s">
        <v>143</v>
      </c>
      <c r="R294">
        <v>1</v>
      </c>
      <c r="S294" t="s">
        <v>144</v>
      </c>
      <c r="T294">
        <v>1</v>
      </c>
      <c r="U294" t="s">
        <v>152</v>
      </c>
      <c r="V294" t="s">
        <v>146</v>
      </c>
      <c r="W294">
        <v>2</v>
      </c>
    </row>
    <row r="295" spans="2:23" x14ac:dyDescent="0.3">
      <c r="B295">
        <v>291</v>
      </c>
      <c r="C295" t="s">
        <v>153</v>
      </c>
      <c r="D295">
        <v>12</v>
      </c>
      <c r="E295" t="s">
        <v>148</v>
      </c>
      <c r="F295" t="s">
        <v>174</v>
      </c>
      <c r="G295">
        <v>1076</v>
      </c>
      <c r="H295" t="s">
        <v>149</v>
      </c>
      <c r="I295" t="s">
        <v>150</v>
      </c>
      <c r="J295">
        <v>2</v>
      </c>
      <c r="K295" t="s">
        <v>172</v>
      </c>
      <c r="L295" t="s">
        <v>140</v>
      </c>
      <c r="M295">
        <v>2</v>
      </c>
      <c r="N295" t="s">
        <v>141</v>
      </c>
      <c r="O295">
        <v>26</v>
      </c>
      <c r="P295" t="s">
        <v>142</v>
      </c>
      <c r="Q295" t="s">
        <v>143</v>
      </c>
      <c r="R295">
        <v>1</v>
      </c>
      <c r="S295" t="s">
        <v>144</v>
      </c>
      <c r="T295">
        <v>1</v>
      </c>
      <c r="U295" t="s">
        <v>145</v>
      </c>
      <c r="V295" t="s">
        <v>178</v>
      </c>
      <c r="W295">
        <v>1</v>
      </c>
    </row>
    <row r="296" spans="2:23" x14ac:dyDescent="0.3">
      <c r="B296">
        <v>292</v>
      </c>
      <c r="C296" t="s">
        <v>147</v>
      </c>
      <c r="D296">
        <v>36</v>
      </c>
      <c r="E296" t="s">
        <v>148</v>
      </c>
      <c r="F296" t="s">
        <v>165</v>
      </c>
      <c r="G296">
        <v>9398</v>
      </c>
      <c r="H296" t="s">
        <v>149</v>
      </c>
      <c r="I296" t="s">
        <v>173</v>
      </c>
      <c r="J296">
        <v>1</v>
      </c>
      <c r="K296" t="s">
        <v>172</v>
      </c>
      <c r="L296" t="s">
        <v>140</v>
      </c>
      <c r="M296">
        <v>4</v>
      </c>
      <c r="N296" t="s">
        <v>166</v>
      </c>
      <c r="O296">
        <v>28</v>
      </c>
      <c r="P296" t="s">
        <v>142</v>
      </c>
      <c r="Q296" t="s">
        <v>167</v>
      </c>
      <c r="R296">
        <v>1</v>
      </c>
      <c r="S296" t="s">
        <v>168</v>
      </c>
      <c r="T296">
        <v>1</v>
      </c>
      <c r="U296" t="s">
        <v>145</v>
      </c>
      <c r="V296" t="s">
        <v>146</v>
      </c>
      <c r="W296">
        <v>2</v>
      </c>
    </row>
    <row r="297" spans="2:23" x14ac:dyDescent="0.3">
      <c r="B297">
        <v>293</v>
      </c>
      <c r="C297" t="s">
        <v>134</v>
      </c>
      <c r="D297">
        <v>24</v>
      </c>
      <c r="E297" t="s">
        <v>135</v>
      </c>
      <c r="F297" t="s">
        <v>165</v>
      </c>
      <c r="G297">
        <v>6419</v>
      </c>
      <c r="H297" t="s">
        <v>149</v>
      </c>
      <c r="I297" t="s">
        <v>138</v>
      </c>
      <c r="J297">
        <v>2</v>
      </c>
      <c r="K297" t="s">
        <v>151</v>
      </c>
      <c r="L297" t="s">
        <v>140</v>
      </c>
      <c r="M297">
        <v>4</v>
      </c>
      <c r="N297" t="s">
        <v>163</v>
      </c>
      <c r="O297">
        <v>44</v>
      </c>
      <c r="P297" t="s">
        <v>142</v>
      </c>
      <c r="Q297" t="s">
        <v>160</v>
      </c>
      <c r="R297">
        <v>2</v>
      </c>
      <c r="S297" t="s">
        <v>168</v>
      </c>
      <c r="T297">
        <v>2</v>
      </c>
      <c r="U297" t="s">
        <v>145</v>
      </c>
      <c r="V297" t="s">
        <v>146</v>
      </c>
      <c r="W297">
        <v>1</v>
      </c>
    </row>
    <row r="298" spans="2:23" x14ac:dyDescent="0.3">
      <c r="B298">
        <v>294</v>
      </c>
      <c r="C298" t="s">
        <v>179</v>
      </c>
      <c r="D298">
        <v>42</v>
      </c>
      <c r="E298" t="s">
        <v>135</v>
      </c>
      <c r="F298" t="s">
        <v>165</v>
      </c>
      <c r="G298">
        <v>4796</v>
      </c>
      <c r="H298" t="s">
        <v>149</v>
      </c>
      <c r="I298" t="s">
        <v>138</v>
      </c>
      <c r="J298">
        <v>4</v>
      </c>
      <c r="K298" t="s">
        <v>139</v>
      </c>
      <c r="L298" t="s">
        <v>140</v>
      </c>
      <c r="M298">
        <v>4</v>
      </c>
      <c r="N298" t="s">
        <v>163</v>
      </c>
      <c r="O298">
        <v>56</v>
      </c>
      <c r="P298" t="s">
        <v>142</v>
      </c>
      <c r="Q298" t="s">
        <v>160</v>
      </c>
      <c r="R298">
        <v>1</v>
      </c>
      <c r="S298" t="s">
        <v>144</v>
      </c>
      <c r="T298">
        <v>1</v>
      </c>
      <c r="U298" t="s">
        <v>152</v>
      </c>
      <c r="V298" t="s">
        <v>146</v>
      </c>
      <c r="W298">
        <v>1</v>
      </c>
    </row>
    <row r="299" spans="2:23" x14ac:dyDescent="0.3">
      <c r="B299">
        <v>295</v>
      </c>
      <c r="C299" t="s">
        <v>153</v>
      </c>
      <c r="D299">
        <v>48</v>
      </c>
      <c r="E299" t="s">
        <v>135</v>
      </c>
      <c r="F299" t="s">
        <v>174</v>
      </c>
      <c r="G299">
        <v>7629</v>
      </c>
      <c r="H299" t="s">
        <v>137</v>
      </c>
      <c r="I299" t="s">
        <v>138</v>
      </c>
      <c r="J299">
        <v>4</v>
      </c>
      <c r="K299" t="s">
        <v>170</v>
      </c>
      <c r="L299" t="s">
        <v>140</v>
      </c>
      <c r="M299">
        <v>2</v>
      </c>
      <c r="N299" t="s">
        <v>166</v>
      </c>
      <c r="O299">
        <v>46</v>
      </c>
      <c r="P299" t="s">
        <v>177</v>
      </c>
      <c r="Q299" t="s">
        <v>143</v>
      </c>
      <c r="R299">
        <v>2</v>
      </c>
      <c r="S299" t="s">
        <v>168</v>
      </c>
      <c r="T299">
        <v>2</v>
      </c>
      <c r="U299" t="s">
        <v>152</v>
      </c>
      <c r="V299" t="s">
        <v>146</v>
      </c>
      <c r="W299">
        <v>1</v>
      </c>
    </row>
    <row r="300" spans="2:23" x14ac:dyDescent="0.3">
      <c r="B300">
        <v>296</v>
      </c>
      <c r="C300" t="s">
        <v>147</v>
      </c>
      <c r="D300">
        <v>48</v>
      </c>
      <c r="E300" t="s">
        <v>148</v>
      </c>
      <c r="F300" t="s">
        <v>157</v>
      </c>
      <c r="G300">
        <v>9960</v>
      </c>
      <c r="H300" t="s">
        <v>149</v>
      </c>
      <c r="I300" t="s">
        <v>173</v>
      </c>
      <c r="J300">
        <v>1</v>
      </c>
      <c r="K300" t="s">
        <v>151</v>
      </c>
      <c r="L300" t="s">
        <v>140</v>
      </c>
      <c r="M300">
        <v>2</v>
      </c>
      <c r="N300" t="s">
        <v>166</v>
      </c>
      <c r="O300">
        <v>26</v>
      </c>
      <c r="P300" t="s">
        <v>142</v>
      </c>
      <c r="Q300" t="s">
        <v>143</v>
      </c>
      <c r="R300">
        <v>1</v>
      </c>
      <c r="S300" t="s">
        <v>144</v>
      </c>
      <c r="T300">
        <v>1</v>
      </c>
      <c r="U300" t="s">
        <v>145</v>
      </c>
      <c r="V300" t="s">
        <v>146</v>
      </c>
      <c r="W300">
        <v>2</v>
      </c>
    </row>
    <row r="301" spans="2:23" x14ac:dyDescent="0.3">
      <c r="B301">
        <v>297</v>
      </c>
      <c r="C301" t="s">
        <v>153</v>
      </c>
      <c r="D301">
        <v>12</v>
      </c>
      <c r="E301" t="s">
        <v>148</v>
      </c>
      <c r="F301" t="s">
        <v>165</v>
      </c>
      <c r="G301">
        <v>4675</v>
      </c>
      <c r="H301" t="s">
        <v>137</v>
      </c>
      <c r="I301" t="s">
        <v>173</v>
      </c>
      <c r="J301">
        <v>1</v>
      </c>
      <c r="K301" t="s">
        <v>151</v>
      </c>
      <c r="L301" t="s">
        <v>140</v>
      </c>
      <c r="M301">
        <v>4</v>
      </c>
      <c r="N301" t="s">
        <v>166</v>
      </c>
      <c r="O301">
        <v>20</v>
      </c>
      <c r="P301" t="s">
        <v>142</v>
      </c>
      <c r="Q301" t="s">
        <v>167</v>
      </c>
      <c r="R301">
        <v>1</v>
      </c>
      <c r="S301" t="s">
        <v>144</v>
      </c>
      <c r="T301">
        <v>1</v>
      </c>
      <c r="U301" t="s">
        <v>152</v>
      </c>
      <c r="V301" t="s">
        <v>146</v>
      </c>
      <c r="W301">
        <v>1</v>
      </c>
    </row>
    <row r="302" spans="2:23" x14ac:dyDescent="0.3">
      <c r="B302">
        <v>298</v>
      </c>
      <c r="C302" t="s">
        <v>153</v>
      </c>
      <c r="D302">
        <v>10</v>
      </c>
      <c r="E302" t="s">
        <v>148</v>
      </c>
      <c r="F302" t="s">
        <v>162</v>
      </c>
      <c r="G302">
        <v>1287</v>
      </c>
      <c r="H302" t="s">
        <v>137</v>
      </c>
      <c r="I302" t="s">
        <v>138</v>
      </c>
      <c r="J302">
        <v>4</v>
      </c>
      <c r="K302" t="s">
        <v>139</v>
      </c>
      <c r="L302" t="s">
        <v>182</v>
      </c>
      <c r="M302">
        <v>2</v>
      </c>
      <c r="N302" t="s">
        <v>159</v>
      </c>
      <c r="O302">
        <v>45</v>
      </c>
      <c r="P302" t="s">
        <v>142</v>
      </c>
      <c r="Q302" t="s">
        <v>143</v>
      </c>
      <c r="R302">
        <v>1</v>
      </c>
      <c r="S302" t="s">
        <v>156</v>
      </c>
      <c r="T302">
        <v>1</v>
      </c>
      <c r="U302" t="s">
        <v>152</v>
      </c>
      <c r="V302" t="s">
        <v>178</v>
      </c>
      <c r="W302">
        <v>1</v>
      </c>
    </row>
    <row r="303" spans="2:23" x14ac:dyDescent="0.3">
      <c r="B303">
        <v>299</v>
      </c>
      <c r="C303" t="s">
        <v>153</v>
      </c>
      <c r="D303">
        <v>18</v>
      </c>
      <c r="E303" t="s">
        <v>148</v>
      </c>
      <c r="F303" t="s">
        <v>157</v>
      </c>
      <c r="G303">
        <v>2515</v>
      </c>
      <c r="H303" t="s">
        <v>149</v>
      </c>
      <c r="I303" t="s">
        <v>150</v>
      </c>
      <c r="J303">
        <v>3</v>
      </c>
      <c r="K303" t="s">
        <v>139</v>
      </c>
      <c r="L303" t="s">
        <v>140</v>
      </c>
      <c r="M303">
        <v>4</v>
      </c>
      <c r="N303" t="s">
        <v>141</v>
      </c>
      <c r="O303">
        <v>43</v>
      </c>
      <c r="P303" t="s">
        <v>142</v>
      </c>
      <c r="Q303" t="s">
        <v>143</v>
      </c>
      <c r="R303">
        <v>1</v>
      </c>
      <c r="S303" t="s">
        <v>144</v>
      </c>
      <c r="T303">
        <v>1</v>
      </c>
      <c r="U303" t="s">
        <v>145</v>
      </c>
      <c r="V303" t="s">
        <v>146</v>
      </c>
      <c r="W303">
        <v>1</v>
      </c>
    </row>
    <row r="304" spans="2:23" x14ac:dyDescent="0.3">
      <c r="B304">
        <v>300</v>
      </c>
      <c r="C304" t="s">
        <v>147</v>
      </c>
      <c r="D304">
        <v>21</v>
      </c>
      <c r="E304" t="s">
        <v>135</v>
      </c>
      <c r="F304" t="s">
        <v>157</v>
      </c>
      <c r="G304">
        <v>2745</v>
      </c>
      <c r="H304" t="s">
        <v>169</v>
      </c>
      <c r="I304" t="s">
        <v>155</v>
      </c>
      <c r="J304">
        <v>3</v>
      </c>
      <c r="K304" t="s">
        <v>139</v>
      </c>
      <c r="L304" t="s">
        <v>140</v>
      </c>
      <c r="M304">
        <v>2</v>
      </c>
      <c r="N304" t="s">
        <v>166</v>
      </c>
      <c r="O304">
        <v>32</v>
      </c>
      <c r="P304" t="s">
        <v>142</v>
      </c>
      <c r="Q304" t="s">
        <v>143</v>
      </c>
      <c r="R304">
        <v>2</v>
      </c>
      <c r="S304" t="s">
        <v>144</v>
      </c>
      <c r="T304">
        <v>1</v>
      </c>
      <c r="U304" t="s">
        <v>145</v>
      </c>
      <c r="V304" t="s">
        <v>146</v>
      </c>
      <c r="W304">
        <v>1</v>
      </c>
    </row>
    <row r="305" spans="2:23" x14ac:dyDescent="0.3">
      <c r="B305">
        <v>301</v>
      </c>
      <c r="C305" t="s">
        <v>153</v>
      </c>
      <c r="D305">
        <v>6</v>
      </c>
      <c r="E305" t="s">
        <v>148</v>
      </c>
      <c r="F305" t="s">
        <v>162</v>
      </c>
      <c r="G305">
        <v>672</v>
      </c>
      <c r="H305" t="s">
        <v>149</v>
      </c>
      <c r="I305" t="s">
        <v>171</v>
      </c>
      <c r="J305">
        <v>1</v>
      </c>
      <c r="K305" t="s">
        <v>151</v>
      </c>
      <c r="L305" t="s">
        <v>140</v>
      </c>
      <c r="M305">
        <v>4</v>
      </c>
      <c r="N305" t="s">
        <v>141</v>
      </c>
      <c r="O305">
        <v>54</v>
      </c>
      <c r="P305" t="s">
        <v>142</v>
      </c>
      <c r="Q305" t="s">
        <v>143</v>
      </c>
      <c r="R305">
        <v>1</v>
      </c>
      <c r="S305" t="s">
        <v>185</v>
      </c>
      <c r="T305">
        <v>1</v>
      </c>
      <c r="U305" t="s">
        <v>145</v>
      </c>
      <c r="V305" t="s">
        <v>146</v>
      </c>
      <c r="W305">
        <v>1</v>
      </c>
    </row>
    <row r="306" spans="2:23" x14ac:dyDescent="0.3">
      <c r="B306">
        <v>302</v>
      </c>
      <c r="C306" t="s">
        <v>147</v>
      </c>
      <c r="D306">
        <v>36</v>
      </c>
      <c r="E306" t="s">
        <v>176</v>
      </c>
      <c r="F306" t="s">
        <v>136</v>
      </c>
      <c r="G306">
        <v>3804</v>
      </c>
      <c r="H306" t="s">
        <v>149</v>
      </c>
      <c r="I306" t="s">
        <v>150</v>
      </c>
      <c r="J306">
        <v>4</v>
      </c>
      <c r="K306" t="s">
        <v>151</v>
      </c>
      <c r="L306" t="s">
        <v>140</v>
      </c>
      <c r="M306">
        <v>1</v>
      </c>
      <c r="N306" t="s">
        <v>166</v>
      </c>
      <c r="O306">
        <v>42</v>
      </c>
      <c r="P306" t="s">
        <v>142</v>
      </c>
      <c r="Q306" t="s">
        <v>143</v>
      </c>
      <c r="R306">
        <v>1</v>
      </c>
      <c r="S306" t="s">
        <v>144</v>
      </c>
      <c r="T306">
        <v>1</v>
      </c>
      <c r="U306" t="s">
        <v>145</v>
      </c>
      <c r="V306" t="s">
        <v>146</v>
      </c>
      <c r="W306">
        <v>2</v>
      </c>
    </row>
    <row r="307" spans="2:23" x14ac:dyDescent="0.3">
      <c r="B307">
        <v>303</v>
      </c>
      <c r="C307" t="s">
        <v>179</v>
      </c>
      <c r="D307">
        <v>24</v>
      </c>
      <c r="E307" t="s">
        <v>135</v>
      </c>
      <c r="F307" t="s">
        <v>162</v>
      </c>
      <c r="G307">
        <v>1344</v>
      </c>
      <c r="H307" t="s">
        <v>137</v>
      </c>
      <c r="I307" t="s">
        <v>155</v>
      </c>
      <c r="J307">
        <v>4</v>
      </c>
      <c r="K307" t="s">
        <v>139</v>
      </c>
      <c r="L307" t="s">
        <v>140</v>
      </c>
      <c r="M307">
        <v>2</v>
      </c>
      <c r="N307" t="s">
        <v>141</v>
      </c>
      <c r="O307">
        <v>37</v>
      </c>
      <c r="P307" t="s">
        <v>177</v>
      </c>
      <c r="Q307" t="s">
        <v>143</v>
      </c>
      <c r="R307">
        <v>2</v>
      </c>
      <c r="S307" t="s">
        <v>156</v>
      </c>
      <c r="T307">
        <v>2</v>
      </c>
      <c r="U307" t="s">
        <v>152</v>
      </c>
      <c r="V307" t="s">
        <v>146</v>
      </c>
      <c r="W307">
        <v>2</v>
      </c>
    </row>
    <row r="308" spans="2:23" x14ac:dyDescent="0.3">
      <c r="B308">
        <v>304</v>
      </c>
      <c r="C308" t="s">
        <v>134</v>
      </c>
      <c r="D308">
        <v>10</v>
      </c>
      <c r="E308" t="s">
        <v>135</v>
      </c>
      <c r="F308" t="s">
        <v>162</v>
      </c>
      <c r="G308">
        <v>1038</v>
      </c>
      <c r="H308" t="s">
        <v>149</v>
      </c>
      <c r="I308" t="s">
        <v>155</v>
      </c>
      <c r="J308">
        <v>4</v>
      </c>
      <c r="K308" t="s">
        <v>139</v>
      </c>
      <c r="L308" t="s">
        <v>182</v>
      </c>
      <c r="M308">
        <v>3</v>
      </c>
      <c r="N308" t="s">
        <v>159</v>
      </c>
      <c r="O308">
        <v>49</v>
      </c>
      <c r="P308" t="s">
        <v>142</v>
      </c>
      <c r="Q308" t="s">
        <v>143</v>
      </c>
      <c r="R308">
        <v>2</v>
      </c>
      <c r="S308" t="s">
        <v>144</v>
      </c>
      <c r="T308">
        <v>1</v>
      </c>
      <c r="U308" t="s">
        <v>145</v>
      </c>
      <c r="V308" t="s">
        <v>146</v>
      </c>
      <c r="W308">
        <v>1</v>
      </c>
    </row>
    <row r="309" spans="2:23" x14ac:dyDescent="0.3">
      <c r="B309">
        <v>305</v>
      </c>
      <c r="C309" t="s">
        <v>153</v>
      </c>
      <c r="D309">
        <v>48</v>
      </c>
      <c r="E309" t="s">
        <v>135</v>
      </c>
      <c r="F309" t="s">
        <v>162</v>
      </c>
      <c r="G309">
        <v>10127</v>
      </c>
      <c r="H309" t="s">
        <v>164</v>
      </c>
      <c r="I309" t="s">
        <v>150</v>
      </c>
      <c r="J309">
        <v>2</v>
      </c>
      <c r="K309" t="s">
        <v>139</v>
      </c>
      <c r="L309" t="s">
        <v>140</v>
      </c>
      <c r="M309">
        <v>2</v>
      </c>
      <c r="N309" t="s">
        <v>163</v>
      </c>
      <c r="O309">
        <v>44</v>
      </c>
      <c r="P309" t="s">
        <v>177</v>
      </c>
      <c r="Q309" t="s">
        <v>160</v>
      </c>
      <c r="R309">
        <v>1</v>
      </c>
      <c r="S309" t="s">
        <v>144</v>
      </c>
      <c r="T309">
        <v>1</v>
      </c>
      <c r="U309" t="s">
        <v>152</v>
      </c>
      <c r="V309" t="s">
        <v>146</v>
      </c>
      <c r="W309">
        <v>2</v>
      </c>
    </row>
    <row r="310" spans="2:23" x14ac:dyDescent="0.3">
      <c r="B310">
        <v>306</v>
      </c>
      <c r="C310" t="s">
        <v>153</v>
      </c>
      <c r="D310">
        <v>6</v>
      </c>
      <c r="E310" t="s">
        <v>148</v>
      </c>
      <c r="F310" t="s">
        <v>157</v>
      </c>
      <c r="G310">
        <v>1543</v>
      </c>
      <c r="H310" t="s">
        <v>169</v>
      </c>
      <c r="I310" t="s">
        <v>150</v>
      </c>
      <c r="J310">
        <v>4</v>
      </c>
      <c r="K310" t="s">
        <v>170</v>
      </c>
      <c r="L310" t="s">
        <v>140</v>
      </c>
      <c r="M310">
        <v>2</v>
      </c>
      <c r="N310" t="s">
        <v>141</v>
      </c>
      <c r="O310">
        <v>33</v>
      </c>
      <c r="P310" t="s">
        <v>142</v>
      </c>
      <c r="Q310" t="s">
        <v>143</v>
      </c>
      <c r="R310">
        <v>1</v>
      </c>
      <c r="S310" t="s">
        <v>144</v>
      </c>
      <c r="T310">
        <v>1</v>
      </c>
      <c r="U310" t="s">
        <v>152</v>
      </c>
      <c r="V310" t="s">
        <v>146</v>
      </c>
      <c r="W310">
        <v>1</v>
      </c>
    </row>
    <row r="311" spans="2:23" x14ac:dyDescent="0.3">
      <c r="B311">
        <v>307</v>
      </c>
      <c r="C311" t="s">
        <v>153</v>
      </c>
      <c r="D311">
        <v>30</v>
      </c>
      <c r="E311" t="s">
        <v>148</v>
      </c>
      <c r="F311" t="s">
        <v>165</v>
      </c>
      <c r="G311">
        <v>4811</v>
      </c>
      <c r="H311" t="s">
        <v>137</v>
      </c>
      <c r="I311" t="s">
        <v>155</v>
      </c>
      <c r="J311">
        <v>2</v>
      </c>
      <c r="K311" t="s">
        <v>151</v>
      </c>
      <c r="L311" t="s">
        <v>140</v>
      </c>
      <c r="M311">
        <v>4</v>
      </c>
      <c r="N311" t="s">
        <v>159</v>
      </c>
      <c r="O311">
        <v>24</v>
      </c>
      <c r="P311" t="s">
        <v>181</v>
      </c>
      <c r="Q311" t="s">
        <v>167</v>
      </c>
      <c r="R311">
        <v>1</v>
      </c>
      <c r="S311" t="s">
        <v>156</v>
      </c>
      <c r="T311">
        <v>1</v>
      </c>
      <c r="U311" t="s">
        <v>152</v>
      </c>
      <c r="V311" t="s">
        <v>146</v>
      </c>
      <c r="W311">
        <v>1</v>
      </c>
    </row>
    <row r="312" spans="2:23" x14ac:dyDescent="0.3">
      <c r="B312">
        <v>308</v>
      </c>
      <c r="C312" t="s">
        <v>134</v>
      </c>
      <c r="D312">
        <v>12</v>
      </c>
      <c r="E312" t="s">
        <v>148</v>
      </c>
      <c r="F312" t="s">
        <v>136</v>
      </c>
      <c r="G312">
        <v>727</v>
      </c>
      <c r="H312" t="s">
        <v>175</v>
      </c>
      <c r="I312" t="s">
        <v>173</v>
      </c>
      <c r="J312">
        <v>4</v>
      </c>
      <c r="K312" t="s">
        <v>172</v>
      </c>
      <c r="L312" t="s">
        <v>140</v>
      </c>
      <c r="M312">
        <v>3</v>
      </c>
      <c r="N312" t="s">
        <v>163</v>
      </c>
      <c r="O312">
        <v>33</v>
      </c>
      <c r="P312" t="s">
        <v>142</v>
      </c>
      <c r="Q312" t="s">
        <v>143</v>
      </c>
      <c r="R312">
        <v>1</v>
      </c>
      <c r="S312" t="s">
        <v>156</v>
      </c>
      <c r="T312">
        <v>1</v>
      </c>
      <c r="U312" t="s">
        <v>145</v>
      </c>
      <c r="V312" t="s">
        <v>146</v>
      </c>
      <c r="W312">
        <v>2</v>
      </c>
    </row>
    <row r="313" spans="2:23" x14ac:dyDescent="0.3">
      <c r="B313">
        <v>309</v>
      </c>
      <c r="C313" t="s">
        <v>147</v>
      </c>
      <c r="D313">
        <v>8</v>
      </c>
      <c r="E313" t="s">
        <v>148</v>
      </c>
      <c r="F313" t="s">
        <v>157</v>
      </c>
      <c r="G313">
        <v>1237</v>
      </c>
      <c r="H313" t="s">
        <v>149</v>
      </c>
      <c r="I313" t="s">
        <v>150</v>
      </c>
      <c r="J313">
        <v>3</v>
      </c>
      <c r="K313" t="s">
        <v>151</v>
      </c>
      <c r="L313" t="s">
        <v>140</v>
      </c>
      <c r="M313">
        <v>4</v>
      </c>
      <c r="N313" t="s">
        <v>141</v>
      </c>
      <c r="O313">
        <v>24</v>
      </c>
      <c r="P313" t="s">
        <v>142</v>
      </c>
      <c r="Q313" t="s">
        <v>143</v>
      </c>
      <c r="R313">
        <v>1</v>
      </c>
      <c r="S313" t="s">
        <v>144</v>
      </c>
      <c r="T313">
        <v>1</v>
      </c>
      <c r="U313" t="s">
        <v>152</v>
      </c>
      <c r="V313" t="s">
        <v>146</v>
      </c>
      <c r="W313">
        <v>2</v>
      </c>
    </row>
    <row r="314" spans="2:23" x14ac:dyDescent="0.3">
      <c r="B314">
        <v>310</v>
      </c>
      <c r="C314" t="s">
        <v>147</v>
      </c>
      <c r="D314">
        <v>9</v>
      </c>
      <c r="E314" t="s">
        <v>148</v>
      </c>
      <c r="F314" t="s">
        <v>162</v>
      </c>
      <c r="G314">
        <v>276</v>
      </c>
      <c r="H314" t="s">
        <v>149</v>
      </c>
      <c r="I314" t="s">
        <v>150</v>
      </c>
      <c r="J314">
        <v>4</v>
      </c>
      <c r="K314" t="s">
        <v>172</v>
      </c>
      <c r="L314" t="s">
        <v>140</v>
      </c>
      <c r="M314">
        <v>4</v>
      </c>
      <c r="N314" t="s">
        <v>141</v>
      </c>
      <c r="O314">
        <v>22</v>
      </c>
      <c r="P314" t="s">
        <v>142</v>
      </c>
      <c r="Q314" t="s">
        <v>167</v>
      </c>
      <c r="R314">
        <v>1</v>
      </c>
      <c r="S314" t="s">
        <v>156</v>
      </c>
      <c r="T314">
        <v>1</v>
      </c>
      <c r="U314" t="s">
        <v>152</v>
      </c>
      <c r="V314" t="s">
        <v>146</v>
      </c>
      <c r="W314">
        <v>1</v>
      </c>
    </row>
    <row r="315" spans="2:23" x14ac:dyDescent="0.3">
      <c r="B315">
        <v>311</v>
      </c>
      <c r="C315" t="s">
        <v>147</v>
      </c>
      <c r="D315">
        <v>48</v>
      </c>
      <c r="E315" t="s">
        <v>148</v>
      </c>
      <c r="F315" t="s">
        <v>186</v>
      </c>
      <c r="G315">
        <v>5381</v>
      </c>
      <c r="H315" t="s">
        <v>137</v>
      </c>
      <c r="I315" t="s">
        <v>171</v>
      </c>
      <c r="J315">
        <v>3</v>
      </c>
      <c r="K315" t="s">
        <v>139</v>
      </c>
      <c r="L315" t="s">
        <v>140</v>
      </c>
      <c r="M315">
        <v>4</v>
      </c>
      <c r="N315" t="s">
        <v>163</v>
      </c>
      <c r="O315">
        <v>40</v>
      </c>
      <c r="P315" t="s">
        <v>177</v>
      </c>
      <c r="Q315" t="s">
        <v>160</v>
      </c>
      <c r="R315">
        <v>1</v>
      </c>
      <c r="S315" t="s">
        <v>185</v>
      </c>
      <c r="T315">
        <v>1</v>
      </c>
      <c r="U315" t="s">
        <v>145</v>
      </c>
      <c r="V315" t="s">
        <v>146</v>
      </c>
      <c r="W315">
        <v>1</v>
      </c>
    </row>
    <row r="316" spans="2:23" x14ac:dyDescent="0.3">
      <c r="B316">
        <v>312</v>
      </c>
      <c r="C316" t="s">
        <v>153</v>
      </c>
      <c r="D316">
        <v>24</v>
      </c>
      <c r="E316" t="s">
        <v>148</v>
      </c>
      <c r="F316" t="s">
        <v>157</v>
      </c>
      <c r="G316">
        <v>5511</v>
      </c>
      <c r="H316" t="s">
        <v>175</v>
      </c>
      <c r="I316" t="s">
        <v>150</v>
      </c>
      <c r="J316">
        <v>4</v>
      </c>
      <c r="K316" t="s">
        <v>139</v>
      </c>
      <c r="L316" t="s">
        <v>140</v>
      </c>
      <c r="M316">
        <v>1</v>
      </c>
      <c r="N316" t="s">
        <v>166</v>
      </c>
      <c r="O316">
        <v>25</v>
      </c>
      <c r="P316" t="s">
        <v>181</v>
      </c>
      <c r="Q316" t="s">
        <v>143</v>
      </c>
      <c r="R316">
        <v>1</v>
      </c>
      <c r="S316" t="s">
        <v>144</v>
      </c>
      <c r="T316">
        <v>1</v>
      </c>
      <c r="U316" t="s">
        <v>152</v>
      </c>
      <c r="V316" t="s">
        <v>146</v>
      </c>
      <c r="W316">
        <v>1</v>
      </c>
    </row>
    <row r="317" spans="2:23" x14ac:dyDescent="0.3">
      <c r="B317">
        <v>313</v>
      </c>
      <c r="C317" t="s">
        <v>179</v>
      </c>
      <c r="D317">
        <v>24</v>
      </c>
      <c r="E317" t="s">
        <v>148</v>
      </c>
      <c r="F317" t="s">
        <v>157</v>
      </c>
      <c r="G317">
        <v>3749</v>
      </c>
      <c r="H317" t="s">
        <v>149</v>
      </c>
      <c r="I317" t="s">
        <v>173</v>
      </c>
      <c r="J317">
        <v>2</v>
      </c>
      <c r="K317" t="s">
        <v>151</v>
      </c>
      <c r="L317" t="s">
        <v>140</v>
      </c>
      <c r="M317">
        <v>4</v>
      </c>
      <c r="N317" t="s">
        <v>166</v>
      </c>
      <c r="O317">
        <v>26</v>
      </c>
      <c r="P317" t="s">
        <v>142</v>
      </c>
      <c r="Q317" t="s">
        <v>143</v>
      </c>
      <c r="R317">
        <v>1</v>
      </c>
      <c r="S317" t="s">
        <v>144</v>
      </c>
      <c r="T317">
        <v>1</v>
      </c>
      <c r="U317" t="s">
        <v>152</v>
      </c>
      <c r="V317" t="s">
        <v>146</v>
      </c>
      <c r="W317">
        <v>1</v>
      </c>
    </row>
    <row r="318" spans="2:23" x14ac:dyDescent="0.3">
      <c r="B318">
        <v>314</v>
      </c>
      <c r="C318" t="s">
        <v>147</v>
      </c>
      <c r="D318">
        <v>12</v>
      </c>
      <c r="E318" t="s">
        <v>148</v>
      </c>
      <c r="F318" t="s">
        <v>162</v>
      </c>
      <c r="G318">
        <v>685</v>
      </c>
      <c r="H318" t="s">
        <v>149</v>
      </c>
      <c r="I318" t="s">
        <v>155</v>
      </c>
      <c r="J318">
        <v>2</v>
      </c>
      <c r="K318" t="s">
        <v>172</v>
      </c>
      <c r="L318" t="s">
        <v>140</v>
      </c>
      <c r="M318">
        <v>3</v>
      </c>
      <c r="N318" t="s">
        <v>166</v>
      </c>
      <c r="O318">
        <v>25</v>
      </c>
      <c r="P318" t="s">
        <v>177</v>
      </c>
      <c r="Q318" t="s">
        <v>143</v>
      </c>
      <c r="R318">
        <v>1</v>
      </c>
      <c r="S318" t="s">
        <v>156</v>
      </c>
      <c r="T318">
        <v>1</v>
      </c>
      <c r="U318" t="s">
        <v>152</v>
      </c>
      <c r="V318" t="s">
        <v>146</v>
      </c>
      <c r="W318">
        <v>2</v>
      </c>
    </row>
    <row r="319" spans="2:23" x14ac:dyDescent="0.3">
      <c r="B319">
        <v>315</v>
      </c>
      <c r="C319" t="s">
        <v>179</v>
      </c>
      <c r="D319">
        <v>4</v>
      </c>
      <c r="E319" t="s">
        <v>148</v>
      </c>
      <c r="F319" t="s">
        <v>162</v>
      </c>
      <c r="G319">
        <v>1494</v>
      </c>
      <c r="H319" t="s">
        <v>137</v>
      </c>
      <c r="I319" t="s">
        <v>173</v>
      </c>
      <c r="J319">
        <v>1</v>
      </c>
      <c r="K319" t="s">
        <v>139</v>
      </c>
      <c r="L319" t="s">
        <v>140</v>
      </c>
      <c r="M319">
        <v>2</v>
      </c>
      <c r="N319" t="s">
        <v>141</v>
      </c>
      <c r="O319">
        <v>29</v>
      </c>
      <c r="P319" t="s">
        <v>142</v>
      </c>
      <c r="Q319" t="s">
        <v>143</v>
      </c>
      <c r="R319">
        <v>1</v>
      </c>
      <c r="S319" t="s">
        <v>156</v>
      </c>
      <c r="T319">
        <v>2</v>
      </c>
      <c r="U319" t="s">
        <v>152</v>
      </c>
      <c r="V319" t="s">
        <v>178</v>
      </c>
      <c r="W319">
        <v>1</v>
      </c>
    </row>
    <row r="320" spans="2:23" x14ac:dyDescent="0.3">
      <c r="B320">
        <v>316</v>
      </c>
      <c r="C320" t="s">
        <v>134</v>
      </c>
      <c r="D320">
        <v>36</v>
      </c>
      <c r="E320" t="s">
        <v>180</v>
      </c>
      <c r="F320" t="s">
        <v>157</v>
      </c>
      <c r="G320">
        <v>2746</v>
      </c>
      <c r="H320" t="s">
        <v>149</v>
      </c>
      <c r="I320" t="s">
        <v>138</v>
      </c>
      <c r="J320">
        <v>4</v>
      </c>
      <c r="K320" t="s">
        <v>139</v>
      </c>
      <c r="L320" t="s">
        <v>140</v>
      </c>
      <c r="M320">
        <v>4</v>
      </c>
      <c r="N320" t="s">
        <v>166</v>
      </c>
      <c r="O320">
        <v>31</v>
      </c>
      <c r="P320" t="s">
        <v>177</v>
      </c>
      <c r="Q320" t="s">
        <v>143</v>
      </c>
      <c r="R320">
        <v>1</v>
      </c>
      <c r="S320" t="s">
        <v>144</v>
      </c>
      <c r="T320">
        <v>1</v>
      </c>
      <c r="U320" t="s">
        <v>152</v>
      </c>
      <c r="V320" t="s">
        <v>146</v>
      </c>
      <c r="W320">
        <v>2</v>
      </c>
    </row>
    <row r="321" spans="2:23" x14ac:dyDescent="0.3">
      <c r="B321">
        <v>317</v>
      </c>
      <c r="C321" t="s">
        <v>134</v>
      </c>
      <c r="D321">
        <v>12</v>
      </c>
      <c r="E321" t="s">
        <v>148</v>
      </c>
      <c r="F321" t="s">
        <v>157</v>
      </c>
      <c r="G321">
        <v>708</v>
      </c>
      <c r="H321" t="s">
        <v>149</v>
      </c>
      <c r="I321" t="s">
        <v>150</v>
      </c>
      <c r="J321">
        <v>2</v>
      </c>
      <c r="K321" t="s">
        <v>139</v>
      </c>
      <c r="L321" t="s">
        <v>158</v>
      </c>
      <c r="M321">
        <v>3</v>
      </c>
      <c r="N321" t="s">
        <v>159</v>
      </c>
      <c r="O321">
        <v>38</v>
      </c>
      <c r="P321" t="s">
        <v>142</v>
      </c>
      <c r="Q321" t="s">
        <v>143</v>
      </c>
      <c r="R321">
        <v>1</v>
      </c>
      <c r="S321" t="s">
        <v>156</v>
      </c>
      <c r="T321">
        <v>2</v>
      </c>
      <c r="U321" t="s">
        <v>152</v>
      </c>
      <c r="V321" t="s">
        <v>146</v>
      </c>
      <c r="W321">
        <v>1</v>
      </c>
    </row>
    <row r="322" spans="2:23" x14ac:dyDescent="0.3">
      <c r="B322">
        <v>318</v>
      </c>
      <c r="C322" t="s">
        <v>147</v>
      </c>
      <c r="D322">
        <v>24</v>
      </c>
      <c r="E322" t="s">
        <v>148</v>
      </c>
      <c r="F322" t="s">
        <v>157</v>
      </c>
      <c r="G322">
        <v>4351</v>
      </c>
      <c r="H322" t="s">
        <v>137</v>
      </c>
      <c r="I322" t="s">
        <v>150</v>
      </c>
      <c r="J322">
        <v>1</v>
      </c>
      <c r="K322" t="s">
        <v>151</v>
      </c>
      <c r="L322" t="s">
        <v>140</v>
      </c>
      <c r="M322">
        <v>4</v>
      </c>
      <c r="N322" t="s">
        <v>159</v>
      </c>
      <c r="O322">
        <v>48</v>
      </c>
      <c r="P322" t="s">
        <v>142</v>
      </c>
      <c r="Q322" t="s">
        <v>143</v>
      </c>
      <c r="R322">
        <v>1</v>
      </c>
      <c r="S322" t="s">
        <v>156</v>
      </c>
      <c r="T322">
        <v>1</v>
      </c>
      <c r="U322" t="s">
        <v>145</v>
      </c>
      <c r="V322" t="s">
        <v>146</v>
      </c>
      <c r="W322">
        <v>1</v>
      </c>
    </row>
    <row r="323" spans="2:23" x14ac:dyDescent="0.3">
      <c r="B323">
        <v>319</v>
      </c>
      <c r="C323" t="s">
        <v>153</v>
      </c>
      <c r="D323">
        <v>12</v>
      </c>
      <c r="E323" t="s">
        <v>135</v>
      </c>
      <c r="F323" t="s">
        <v>154</v>
      </c>
      <c r="G323">
        <v>701</v>
      </c>
      <c r="H323" t="s">
        <v>149</v>
      </c>
      <c r="I323" t="s">
        <v>150</v>
      </c>
      <c r="J323">
        <v>4</v>
      </c>
      <c r="K323" t="s">
        <v>139</v>
      </c>
      <c r="L323" t="s">
        <v>140</v>
      </c>
      <c r="M323">
        <v>2</v>
      </c>
      <c r="N323" t="s">
        <v>166</v>
      </c>
      <c r="O323">
        <v>32</v>
      </c>
      <c r="P323" t="s">
        <v>142</v>
      </c>
      <c r="Q323" t="s">
        <v>143</v>
      </c>
      <c r="R323">
        <v>2</v>
      </c>
      <c r="S323" t="s">
        <v>144</v>
      </c>
      <c r="T323">
        <v>1</v>
      </c>
      <c r="U323" t="s">
        <v>152</v>
      </c>
      <c r="V323" t="s">
        <v>146</v>
      </c>
      <c r="W323">
        <v>1</v>
      </c>
    </row>
    <row r="324" spans="2:23" x14ac:dyDescent="0.3">
      <c r="B324">
        <v>320</v>
      </c>
      <c r="C324" t="s">
        <v>134</v>
      </c>
      <c r="D324">
        <v>15</v>
      </c>
      <c r="E324" t="s">
        <v>161</v>
      </c>
      <c r="F324" t="s">
        <v>157</v>
      </c>
      <c r="G324">
        <v>3643</v>
      </c>
      <c r="H324" t="s">
        <v>149</v>
      </c>
      <c r="I324" t="s">
        <v>138</v>
      </c>
      <c r="J324">
        <v>1</v>
      </c>
      <c r="K324" t="s">
        <v>151</v>
      </c>
      <c r="L324" t="s">
        <v>140</v>
      </c>
      <c r="M324">
        <v>4</v>
      </c>
      <c r="N324" t="s">
        <v>159</v>
      </c>
      <c r="O324">
        <v>27</v>
      </c>
      <c r="P324" t="s">
        <v>142</v>
      </c>
      <c r="Q324" t="s">
        <v>143</v>
      </c>
      <c r="R324">
        <v>2</v>
      </c>
      <c r="S324" t="s">
        <v>156</v>
      </c>
      <c r="T324">
        <v>1</v>
      </c>
      <c r="U324" t="s">
        <v>152</v>
      </c>
      <c r="V324" t="s">
        <v>146</v>
      </c>
      <c r="W324">
        <v>1</v>
      </c>
    </row>
    <row r="325" spans="2:23" x14ac:dyDescent="0.3">
      <c r="B325">
        <v>321</v>
      </c>
      <c r="C325" t="s">
        <v>147</v>
      </c>
      <c r="D325">
        <v>30</v>
      </c>
      <c r="E325" t="s">
        <v>135</v>
      </c>
      <c r="F325" t="s">
        <v>162</v>
      </c>
      <c r="G325">
        <v>4249</v>
      </c>
      <c r="H325" t="s">
        <v>149</v>
      </c>
      <c r="I325" t="s">
        <v>171</v>
      </c>
      <c r="J325">
        <v>4</v>
      </c>
      <c r="K325" t="s">
        <v>172</v>
      </c>
      <c r="L325" t="s">
        <v>140</v>
      </c>
      <c r="M325">
        <v>2</v>
      </c>
      <c r="N325" t="s">
        <v>166</v>
      </c>
      <c r="O325">
        <v>28</v>
      </c>
      <c r="P325" t="s">
        <v>142</v>
      </c>
      <c r="Q325" t="s">
        <v>143</v>
      </c>
      <c r="R325">
        <v>2</v>
      </c>
      <c r="S325" t="s">
        <v>168</v>
      </c>
      <c r="T325">
        <v>1</v>
      </c>
      <c r="U325" t="s">
        <v>152</v>
      </c>
      <c r="V325" t="s">
        <v>146</v>
      </c>
      <c r="W325">
        <v>2</v>
      </c>
    </row>
    <row r="326" spans="2:23" x14ac:dyDescent="0.3">
      <c r="B326">
        <v>322</v>
      </c>
      <c r="C326" t="s">
        <v>134</v>
      </c>
      <c r="D326">
        <v>24</v>
      </c>
      <c r="E326" t="s">
        <v>148</v>
      </c>
      <c r="F326" t="s">
        <v>136</v>
      </c>
      <c r="G326">
        <v>1938</v>
      </c>
      <c r="H326" t="s">
        <v>149</v>
      </c>
      <c r="I326" t="s">
        <v>173</v>
      </c>
      <c r="J326">
        <v>4</v>
      </c>
      <c r="K326" t="s">
        <v>170</v>
      </c>
      <c r="L326" t="s">
        <v>140</v>
      </c>
      <c r="M326">
        <v>3</v>
      </c>
      <c r="N326" t="s">
        <v>159</v>
      </c>
      <c r="O326">
        <v>32</v>
      </c>
      <c r="P326" t="s">
        <v>142</v>
      </c>
      <c r="Q326" t="s">
        <v>143</v>
      </c>
      <c r="R326">
        <v>1</v>
      </c>
      <c r="S326" t="s">
        <v>144</v>
      </c>
      <c r="T326">
        <v>1</v>
      </c>
      <c r="U326" t="s">
        <v>152</v>
      </c>
      <c r="V326" t="s">
        <v>146</v>
      </c>
      <c r="W326">
        <v>2</v>
      </c>
    </row>
    <row r="327" spans="2:23" x14ac:dyDescent="0.3">
      <c r="B327">
        <v>323</v>
      </c>
      <c r="C327" t="s">
        <v>134</v>
      </c>
      <c r="D327">
        <v>24</v>
      </c>
      <c r="E327" t="s">
        <v>148</v>
      </c>
      <c r="F327" t="s">
        <v>165</v>
      </c>
      <c r="G327">
        <v>2910</v>
      </c>
      <c r="H327" t="s">
        <v>149</v>
      </c>
      <c r="I327" t="s">
        <v>155</v>
      </c>
      <c r="J327">
        <v>2</v>
      </c>
      <c r="K327" t="s">
        <v>139</v>
      </c>
      <c r="L327" t="s">
        <v>140</v>
      </c>
      <c r="M327">
        <v>1</v>
      </c>
      <c r="N327" t="s">
        <v>163</v>
      </c>
      <c r="O327">
        <v>34</v>
      </c>
      <c r="P327" t="s">
        <v>142</v>
      </c>
      <c r="Q327" t="s">
        <v>160</v>
      </c>
      <c r="R327">
        <v>1</v>
      </c>
      <c r="S327" t="s">
        <v>168</v>
      </c>
      <c r="T327">
        <v>1</v>
      </c>
      <c r="U327" t="s">
        <v>145</v>
      </c>
      <c r="V327" t="s">
        <v>146</v>
      </c>
      <c r="W327">
        <v>1</v>
      </c>
    </row>
    <row r="328" spans="2:23" x14ac:dyDescent="0.3">
      <c r="B328">
        <v>324</v>
      </c>
      <c r="C328" t="s">
        <v>134</v>
      </c>
      <c r="D328">
        <v>18</v>
      </c>
      <c r="E328" t="s">
        <v>148</v>
      </c>
      <c r="F328" t="s">
        <v>157</v>
      </c>
      <c r="G328">
        <v>2659</v>
      </c>
      <c r="H328" t="s">
        <v>169</v>
      </c>
      <c r="I328" t="s">
        <v>150</v>
      </c>
      <c r="J328">
        <v>4</v>
      </c>
      <c r="K328" t="s">
        <v>139</v>
      </c>
      <c r="L328" t="s">
        <v>140</v>
      </c>
      <c r="M328">
        <v>2</v>
      </c>
      <c r="N328" t="s">
        <v>166</v>
      </c>
      <c r="O328">
        <v>28</v>
      </c>
      <c r="P328" t="s">
        <v>142</v>
      </c>
      <c r="Q328" t="s">
        <v>143</v>
      </c>
      <c r="R328">
        <v>1</v>
      </c>
      <c r="S328" t="s">
        <v>144</v>
      </c>
      <c r="T328">
        <v>1</v>
      </c>
      <c r="U328" t="s">
        <v>152</v>
      </c>
      <c r="V328" t="s">
        <v>146</v>
      </c>
      <c r="W328">
        <v>1</v>
      </c>
    </row>
    <row r="329" spans="2:23" x14ac:dyDescent="0.3">
      <c r="B329">
        <v>325</v>
      </c>
      <c r="C329" t="s">
        <v>153</v>
      </c>
      <c r="D329">
        <v>18</v>
      </c>
      <c r="E329" t="s">
        <v>135</v>
      </c>
      <c r="F329" t="s">
        <v>162</v>
      </c>
      <c r="G329">
        <v>1028</v>
      </c>
      <c r="H329" t="s">
        <v>149</v>
      </c>
      <c r="I329" t="s">
        <v>150</v>
      </c>
      <c r="J329">
        <v>4</v>
      </c>
      <c r="K329" t="s">
        <v>151</v>
      </c>
      <c r="L329" t="s">
        <v>140</v>
      </c>
      <c r="M329">
        <v>3</v>
      </c>
      <c r="N329" t="s">
        <v>141</v>
      </c>
      <c r="O329">
        <v>36</v>
      </c>
      <c r="P329" t="s">
        <v>142</v>
      </c>
      <c r="Q329" t="s">
        <v>143</v>
      </c>
      <c r="R329">
        <v>2</v>
      </c>
      <c r="S329" t="s">
        <v>144</v>
      </c>
      <c r="T329">
        <v>1</v>
      </c>
      <c r="U329" t="s">
        <v>152</v>
      </c>
      <c r="V329" t="s">
        <v>146</v>
      </c>
      <c r="W329">
        <v>1</v>
      </c>
    </row>
    <row r="330" spans="2:23" x14ac:dyDescent="0.3">
      <c r="B330">
        <v>326</v>
      </c>
      <c r="C330" t="s">
        <v>134</v>
      </c>
      <c r="D330">
        <v>8</v>
      </c>
      <c r="E330" t="s">
        <v>135</v>
      </c>
      <c r="F330" t="s">
        <v>162</v>
      </c>
      <c r="G330">
        <v>3398</v>
      </c>
      <c r="H330" t="s">
        <v>149</v>
      </c>
      <c r="I330" t="s">
        <v>155</v>
      </c>
      <c r="J330">
        <v>1</v>
      </c>
      <c r="K330" t="s">
        <v>139</v>
      </c>
      <c r="L330" t="s">
        <v>140</v>
      </c>
      <c r="M330">
        <v>4</v>
      </c>
      <c r="N330" t="s">
        <v>141</v>
      </c>
      <c r="O330">
        <v>39</v>
      </c>
      <c r="P330" t="s">
        <v>142</v>
      </c>
      <c r="Q330" t="s">
        <v>143</v>
      </c>
      <c r="R330">
        <v>2</v>
      </c>
      <c r="S330" t="s">
        <v>156</v>
      </c>
      <c r="T330">
        <v>1</v>
      </c>
      <c r="U330" t="s">
        <v>152</v>
      </c>
      <c r="V330" t="s">
        <v>178</v>
      </c>
      <c r="W330">
        <v>1</v>
      </c>
    </row>
    <row r="331" spans="2:23" x14ac:dyDescent="0.3">
      <c r="B331">
        <v>327</v>
      </c>
      <c r="C331" t="s">
        <v>153</v>
      </c>
      <c r="D331">
        <v>12</v>
      </c>
      <c r="E331" t="s">
        <v>135</v>
      </c>
      <c r="F331" t="s">
        <v>157</v>
      </c>
      <c r="G331">
        <v>5801</v>
      </c>
      <c r="H331" t="s">
        <v>137</v>
      </c>
      <c r="I331" t="s">
        <v>138</v>
      </c>
      <c r="J331">
        <v>2</v>
      </c>
      <c r="K331" t="s">
        <v>139</v>
      </c>
      <c r="L331" t="s">
        <v>140</v>
      </c>
      <c r="M331">
        <v>4</v>
      </c>
      <c r="N331" t="s">
        <v>159</v>
      </c>
      <c r="O331">
        <v>49</v>
      </c>
      <c r="P331" t="s">
        <v>142</v>
      </c>
      <c r="Q331" t="s">
        <v>167</v>
      </c>
      <c r="R331">
        <v>1</v>
      </c>
      <c r="S331" t="s">
        <v>144</v>
      </c>
      <c r="T331">
        <v>1</v>
      </c>
      <c r="U331" t="s">
        <v>145</v>
      </c>
      <c r="V331" t="s">
        <v>146</v>
      </c>
      <c r="W331">
        <v>1</v>
      </c>
    </row>
    <row r="332" spans="2:23" x14ac:dyDescent="0.3">
      <c r="B332">
        <v>328</v>
      </c>
      <c r="C332" t="s">
        <v>153</v>
      </c>
      <c r="D332">
        <v>24</v>
      </c>
      <c r="E332" t="s">
        <v>148</v>
      </c>
      <c r="F332" t="s">
        <v>162</v>
      </c>
      <c r="G332">
        <v>1525</v>
      </c>
      <c r="H332" t="s">
        <v>169</v>
      </c>
      <c r="I332" t="s">
        <v>155</v>
      </c>
      <c r="J332">
        <v>4</v>
      </c>
      <c r="K332" t="s">
        <v>151</v>
      </c>
      <c r="L332" t="s">
        <v>140</v>
      </c>
      <c r="M332">
        <v>3</v>
      </c>
      <c r="N332" t="s">
        <v>166</v>
      </c>
      <c r="O332">
        <v>34</v>
      </c>
      <c r="P332" t="s">
        <v>142</v>
      </c>
      <c r="Q332" t="s">
        <v>143</v>
      </c>
      <c r="R332">
        <v>1</v>
      </c>
      <c r="S332" t="s">
        <v>144</v>
      </c>
      <c r="T332">
        <v>2</v>
      </c>
      <c r="U332" t="s">
        <v>145</v>
      </c>
      <c r="V332" t="s">
        <v>146</v>
      </c>
      <c r="W332">
        <v>1</v>
      </c>
    </row>
    <row r="333" spans="2:23" x14ac:dyDescent="0.3">
      <c r="B333">
        <v>329</v>
      </c>
      <c r="C333" t="s">
        <v>179</v>
      </c>
      <c r="D333">
        <v>36</v>
      </c>
      <c r="E333" t="s">
        <v>148</v>
      </c>
      <c r="F333" t="s">
        <v>136</v>
      </c>
      <c r="G333">
        <v>4473</v>
      </c>
      <c r="H333" t="s">
        <v>149</v>
      </c>
      <c r="I333" t="s">
        <v>138</v>
      </c>
      <c r="J333">
        <v>4</v>
      </c>
      <c r="K333" t="s">
        <v>139</v>
      </c>
      <c r="L333" t="s">
        <v>140</v>
      </c>
      <c r="M333">
        <v>2</v>
      </c>
      <c r="N333" t="s">
        <v>166</v>
      </c>
      <c r="O333">
        <v>31</v>
      </c>
      <c r="P333" t="s">
        <v>142</v>
      </c>
      <c r="Q333" t="s">
        <v>143</v>
      </c>
      <c r="R333">
        <v>1</v>
      </c>
      <c r="S333" t="s">
        <v>144</v>
      </c>
      <c r="T333">
        <v>1</v>
      </c>
      <c r="U333" t="s">
        <v>152</v>
      </c>
      <c r="V333" t="s">
        <v>146</v>
      </c>
      <c r="W333">
        <v>1</v>
      </c>
    </row>
    <row r="334" spans="2:23" x14ac:dyDescent="0.3">
      <c r="B334">
        <v>330</v>
      </c>
      <c r="C334" t="s">
        <v>147</v>
      </c>
      <c r="D334">
        <v>6</v>
      </c>
      <c r="E334" t="s">
        <v>148</v>
      </c>
      <c r="F334" t="s">
        <v>136</v>
      </c>
      <c r="G334">
        <v>1068</v>
      </c>
      <c r="H334" t="s">
        <v>149</v>
      </c>
      <c r="I334" t="s">
        <v>138</v>
      </c>
      <c r="J334">
        <v>4</v>
      </c>
      <c r="K334" t="s">
        <v>139</v>
      </c>
      <c r="L334" t="s">
        <v>140</v>
      </c>
      <c r="M334">
        <v>4</v>
      </c>
      <c r="N334" t="s">
        <v>166</v>
      </c>
      <c r="O334">
        <v>28</v>
      </c>
      <c r="P334" t="s">
        <v>142</v>
      </c>
      <c r="Q334" t="s">
        <v>143</v>
      </c>
      <c r="R334">
        <v>1</v>
      </c>
      <c r="S334" t="s">
        <v>144</v>
      </c>
      <c r="T334">
        <v>2</v>
      </c>
      <c r="U334" t="s">
        <v>152</v>
      </c>
      <c r="V334" t="s">
        <v>146</v>
      </c>
      <c r="W334">
        <v>1</v>
      </c>
    </row>
    <row r="335" spans="2:23" x14ac:dyDescent="0.3">
      <c r="B335">
        <v>331</v>
      </c>
      <c r="C335" t="s">
        <v>134</v>
      </c>
      <c r="D335">
        <v>24</v>
      </c>
      <c r="E335" t="s">
        <v>135</v>
      </c>
      <c r="F335" t="s">
        <v>165</v>
      </c>
      <c r="G335">
        <v>6615</v>
      </c>
      <c r="H335" t="s">
        <v>149</v>
      </c>
      <c r="I335" t="s">
        <v>171</v>
      </c>
      <c r="J335">
        <v>2</v>
      </c>
      <c r="K335" t="s">
        <v>139</v>
      </c>
      <c r="L335" t="s">
        <v>140</v>
      </c>
      <c r="M335">
        <v>4</v>
      </c>
      <c r="N335" t="s">
        <v>163</v>
      </c>
      <c r="O335">
        <v>75</v>
      </c>
      <c r="P335" t="s">
        <v>142</v>
      </c>
      <c r="Q335" t="s">
        <v>160</v>
      </c>
      <c r="R335">
        <v>2</v>
      </c>
      <c r="S335" t="s">
        <v>168</v>
      </c>
      <c r="T335">
        <v>1</v>
      </c>
      <c r="U335" t="s">
        <v>145</v>
      </c>
      <c r="V335" t="s">
        <v>146</v>
      </c>
      <c r="W335">
        <v>1</v>
      </c>
    </row>
    <row r="336" spans="2:23" x14ac:dyDescent="0.3">
      <c r="B336">
        <v>332</v>
      </c>
      <c r="C336" t="s">
        <v>153</v>
      </c>
      <c r="D336">
        <v>18</v>
      </c>
      <c r="E336" t="s">
        <v>135</v>
      </c>
      <c r="F336" t="s">
        <v>154</v>
      </c>
      <c r="G336">
        <v>1864</v>
      </c>
      <c r="H336" t="s">
        <v>175</v>
      </c>
      <c r="I336" t="s">
        <v>150</v>
      </c>
      <c r="J336">
        <v>4</v>
      </c>
      <c r="K336" t="s">
        <v>151</v>
      </c>
      <c r="L336" t="s">
        <v>140</v>
      </c>
      <c r="M336">
        <v>2</v>
      </c>
      <c r="N336" t="s">
        <v>141</v>
      </c>
      <c r="O336">
        <v>30</v>
      </c>
      <c r="P336" t="s">
        <v>142</v>
      </c>
      <c r="Q336" t="s">
        <v>143</v>
      </c>
      <c r="R336">
        <v>2</v>
      </c>
      <c r="S336" t="s">
        <v>144</v>
      </c>
      <c r="T336">
        <v>1</v>
      </c>
      <c r="U336" t="s">
        <v>152</v>
      </c>
      <c r="V336" t="s">
        <v>146</v>
      </c>
      <c r="W336">
        <v>2</v>
      </c>
    </row>
    <row r="337" spans="2:23" x14ac:dyDescent="0.3">
      <c r="B337">
        <v>333</v>
      </c>
      <c r="C337" t="s">
        <v>147</v>
      </c>
      <c r="D337">
        <v>60</v>
      </c>
      <c r="E337" t="s">
        <v>148</v>
      </c>
      <c r="F337" t="s">
        <v>162</v>
      </c>
      <c r="G337">
        <v>7408</v>
      </c>
      <c r="H337" t="s">
        <v>175</v>
      </c>
      <c r="I337" t="s">
        <v>173</v>
      </c>
      <c r="J337">
        <v>4</v>
      </c>
      <c r="K337" t="s">
        <v>151</v>
      </c>
      <c r="L337" t="s">
        <v>140</v>
      </c>
      <c r="M337">
        <v>2</v>
      </c>
      <c r="N337" t="s">
        <v>159</v>
      </c>
      <c r="O337">
        <v>24</v>
      </c>
      <c r="P337" t="s">
        <v>142</v>
      </c>
      <c r="Q337" t="s">
        <v>143</v>
      </c>
      <c r="R337">
        <v>1</v>
      </c>
      <c r="S337" t="s">
        <v>168</v>
      </c>
      <c r="T337">
        <v>1</v>
      </c>
      <c r="U337" t="s">
        <v>152</v>
      </c>
      <c r="V337" t="s">
        <v>146</v>
      </c>
      <c r="W337">
        <v>2</v>
      </c>
    </row>
    <row r="338" spans="2:23" x14ac:dyDescent="0.3">
      <c r="B338">
        <v>334</v>
      </c>
      <c r="C338" t="s">
        <v>153</v>
      </c>
      <c r="D338">
        <v>48</v>
      </c>
      <c r="E338" t="s">
        <v>135</v>
      </c>
      <c r="F338" t="s">
        <v>165</v>
      </c>
      <c r="G338">
        <v>11590</v>
      </c>
      <c r="H338" t="s">
        <v>175</v>
      </c>
      <c r="I338" t="s">
        <v>150</v>
      </c>
      <c r="J338">
        <v>2</v>
      </c>
      <c r="K338" t="s">
        <v>151</v>
      </c>
      <c r="L338" t="s">
        <v>140</v>
      </c>
      <c r="M338">
        <v>4</v>
      </c>
      <c r="N338" t="s">
        <v>166</v>
      </c>
      <c r="O338">
        <v>24</v>
      </c>
      <c r="P338" t="s">
        <v>177</v>
      </c>
      <c r="Q338" t="s">
        <v>167</v>
      </c>
      <c r="R338">
        <v>2</v>
      </c>
      <c r="S338" t="s">
        <v>156</v>
      </c>
      <c r="T338">
        <v>1</v>
      </c>
      <c r="U338" t="s">
        <v>152</v>
      </c>
      <c r="V338" t="s">
        <v>146</v>
      </c>
      <c r="W338">
        <v>2</v>
      </c>
    </row>
    <row r="339" spans="2:23" x14ac:dyDescent="0.3">
      <c r="B339">
        <v>335</v>
      </c>
      <c r="C339" t="s">
        <v>134</v>
      </c>
      <c r="D339">
        <v>24</v>
      </c>
      <c r="E339" t="s">
        <v>176</v>
      </c>
      <c r="F339" t="s">
        <v>157</v>
      </c>
      <c r="G339">
        <v>4110</v>
      </c>
      <c r="H339" t="s">
        <v>149</v>
      </c>
      <c r="I339" t="s">
        <v>138</v>
      </c>
      <c r="J339">
        <v>3</v>
      </c>
      <c r="K339" t="s">
        <v>139</v>
      </c>
      <c r="L339" t="s">
        <v>140</v>
      </c>
      <c r="M339">
        <v>4</v>
      </c>
      <c r="N339" t="s">
        <v>163</v>
      </c>
      <c r="O339">
        <v>23</v>
      </c>
      <c r="P339" t="s">
        <v>177</v>
      </c>
      <c r="Q339" t="s">
        <v>167</v>
      </c>
      <c r="R339">
        <v>2</v>
      </c>
      <c r="S339" t="s">
        <v>144</v>
      </c>
      <c r="T339">
        <v>2</v>
      </c>
      <c r="U339" t="s">
        <v>152</v>
      </c>
      <c r="V339" t="s">
        <v>146</v>
      </c>
      <c r="W339">
        <v>2</v>
      </c>
    </row>
    <row r="340" spans="2:23" x14ac:dyDescent="0.3">
      <c r="B340">
        <v>336</v>
      </c>
      <c r="C340" t="s">
        <v>134</v>
      </c>
      <c r="D340">
        <v>6</v>
      </c>
      <c r="E340" t="s">
        <v>135</v>
      </c>
      <c r="F340" t="s">
        <v>157</v>
      </c>
      <c r="G340">
        <v>3384</v>
      </c>
      <c r="H340" t="s">
        <v>149</v>
      </c>
      <c r="I340" t="s">
        <v>150</v>
      </c>
      <c r="J340">
        <v>1</v>
      </c>
      <c r="K340" t="s">
        <v>170</v>
      </c>
      <c r="L340" t="s">
        <v>140</v>
      </c>
      <c r="M340">
        <v>4</v>
      </c>
      <c r="N340" t="s">
        <v>141</v>
      </c>
      <c r="O340">
        <v>44</v>
      </c>
      <c r="P340" t="s">
        <v>142</v>
      </c>
      <c r="Q340" t="s">
        <v>167</v>
      </c>
      <c r="R340">
        <v>1</v>
      </c>
      <c r="S340" t="s">
        <v>168</v>
      </c>
      <c r="T340">
        <v>1</v>
      </c>
      <c r="U340" t="s">
        <v>145</v>
      </c>
      <c r="V340" t="s">
        <v>146</v>
      </c>
      <c r="W340">
        <v>2</v>
      </c>
    </row>
    <row r="341" spans="2:23" x14ac:dyDescent="0.3">
      <c r="B341">
        <v>337</v>
      </c>
      <c r="C341" t="s">
        <v>147</v>
      </c>
      <c r="D341">
        <v>13</v>
      </c>
      <c r="E341" t="s">
        <v>148</v>
      </c>
      <c r="F341" t="s">
        <v>136</v>
      </c>
      <c r="G341">
        <v>2101</v>
      </c>
      <c r="H341" t="s">
        <v>149</v>
      </c>
      <c r="I341" t="s">
        <v>173</v>
      </c>
      <c r="J341">
        <v>2</v>
      </c>
      <c r="K341" t="s">
        <v>151</v>
      </c>
      <c r="L341" t="s">
        <v>158</v>
      </c>
      <c r="M341">
        <v>4</v>
      </c>
      <c r="N341" t="s">
        <v>159</v>
      </c>
      <c r="O341">
        <v>23</v>
      </c>
      <c r="P341" t="s">
        <v>142</v>
      </c>
      <c r="Q341" t="s">
        <v>143</v>
      </c>
      <c r="R341">
        <v>1</v>
      </c>
      <c r="S341" t="s">
        <v>156</v>
      </c>
      <c r="T341">
        <v>1</v>
      </c>
      <c r="U341" t="s">
        <v>152</v>
      </c>
      <c r="V341" t="s">
        <v>146</v>
      </c>
      <c r="W341">
        <v>1</v>
      </c>
    </row>
    <row r="342" spans="2:23" x14ac:dyDescent="0.3">
      <c r="B342">
        <v>338</v>
      </c>
      <c r="C342" t="s">
        <v>134</v>
      </c>
      <c r="D342">
        <v>15</v>
      </c>
      <c r="E342" t="s">
        <v>148</v>
      </c>
      <c r="F342" t="s">
        <v>183</v>
      </c>
      <c r="G342">
        <v>1275</v>
      </c>
      <c r="H342" t="s">
        <v>137</v>
      </c>
      <c r="I342" t="s">
        <v>150</v>
      </c>
      <c r="J342">
        <v>4</v>
      </c>
      <c r="K342" t="s">
        <v>151</v>
      </c>
      <c r="L342" t="s">
        <v>140</v>
      </c>
      <c r="M342">
        <v>2</v>
      </c>
      <c r="N342" t="s">
        <v>166</v>
      </c>
      <c r="O342">
        <v>24</v>
      </c>
      <c r="P342" t="s">
        <v>142</v>
      </c>
      <c r="Q342" t="s">
        <v>167</v>
      </c>
      <c r="R342">
        <v>1</v>
      </c>
      <c r="S342" t="s">
        <v>144</v>
      </c>
      <c r="T342">
        <v>1</v>
      </c>
      <c r="U342" t="s">
        <v>152</v>
      </c>
      <c r="V342" t="s">
        <v>146</v>
      </c>
      <c r="W342">
        <v>2</v>
      </c>
    </row>
    <row r="343" spans="2:23" x14ac:dyDescent="0.3">
      <c r="B343">
        <v>339</v>
      </c>
      <c r="C343" t="s">
        <v>134</v>
      </c>
      <c r="D343">
        <v>24</v>
      </c>
      <c r="E343" t="s">
        <v>148</v>
      </c>
      <c r="F343" t="s">
        <v>157</v>
      </c>
      <c r="G343">
        <v>4169</v>
      </c>
      <c r="H343" t="s">
        <v>149</v>
      </c>
      <c r="I343" t="s">
        <v>150</v>
      </c>
      <c r="J343">
        <v>4</v>
      </c>
      <c r="K343" t="s">
        <v>139</v>
      </c>
      <c r="L343" t="s">
        <v>140</v>
      </c>
      <c r="M343">
        <v>4</v>
      </c>
      <c r="N343" t="s">
        <v>159</v>
      </c>
      <c r="O343">
        <v>28</v>
      </c>
      <c r="P343" t="s">
        <v>142</v>
      </c>
      <c r="Q343" t="s">
        <v>143</v>
      </c>
      <c r="R343">
        <v>1</v>
      </c>
      <c r="S343" t="s">
        <v>144</v>
      </c>
      <c r="T343">
        <v>1</v>
      </c>
      <c r="U343" t="s">
        <v>152</v>
      </c>
      <c r="V343" t="s">
        <v>146</v>
      </c>
      <c r="W343">
        <v>1</v>
      </c>
    </row>
    <row r="344" spans="2:23" x14ac:dyDescent="0.3">
      <c r="B344">
        <v>340</v>
      </c>
      <c r="C344" t="s">
        <v>147</v>
      </c>
      <c r="D344">
        <v>10</v>
      </c>
      <c r="E344" t="s">
        <v>148</v>
      </c>
      <c r="F344" t="s">
        <v>157</v>
      </c>
      <c r="G344">
        <v>1521</v>
      </c>
      <c r="H344" t="s">
        <v>149</v>
      </c>
      <c r="I344" t="s">
        <v>150</v>
      </c>
      <c r="J344">
        <v>4</v>
      </c>
      <c r="K344" t="s">
        <v>170</v>
      </c>
      <c r="L344" t="s">
        <v>140</v>
      </c>
      <c r="M344">
        <v>2</v>
      </c>
      <c r="N344" t="s">
        <v>166</v>
      </c>
      <c r="O344">
        <v>31</v>
      </c>
      <c r="P344" t="s">
        <v>142</v>
      </c>
      <c r="Q344" t="s">
        <v>143</v>
      </c>
      <c r="R344">
        <v>1</v>
      </c>
      <c r="S344" t="s">
        <v>156</v>
      </c>
      <c r="T344">
        <v>1</v>
      </c>
      <c r="U344" t="s">
        <v>152</v>
      </c>
      <c r="V344" t="s">
        <v>146</v>
      </c>
      <c r="W344">
        <v>1</v>
      </c>
    </row>
    <row r="345" spans="2:23" x14ac:dyDescent="0.3">
      <c r="B345">
        <v>341</v>
      </c>
      <c r="C345" t="s">
        <v>147</v>
      </c>
      <c r="D345">
        <v>24</v>
      </c>
      <c r="E345" t="s">
        <v>135</v>
      </c>
      <c r="F345" t="s">
        <v>154</v>
      </c>
      <c r="G345">
        <v>5743</v>
      </c>
      <c r="H345" t="s">
        <v>149</v>
      </c>
      <c r="I345" t="s">
        <v>173</v>
      </c>
      <c r="J345">
        <v>2</v>
      </c>
      <c r="K345" t="s">
        <v>151</v>
      </c>
      <c r="L345" t="s">
        <v>140</v>
      </c>
      <c r="M345">
        <v>4</v>
      </c>
      <c r="N345" t="s">
        <v>163</v>
      </c>
      <c r="O345">
        <v>24</v>
      </c>
      <c r="P345" t="s">
        <v>142</v>
      </c>
      <c r="Q345" t="s">
        <v>160</v>
      </c>
      <c r="R345">
        <v>2</v>
      </c>
      <c r="S345" t="s">
        <v>144</v>
      </c>
      <c r="T345">
        <v>1</v>
      </c>
      <c r="U345" t="s">
        <v>145</v>
      </c>
      <c r="V345" t="s">
        <v>146</v>
      </c>
      <c r="W345">
        <v>1</v>
      </c>
    </row>
    <row r="346" spans="2:23" x14ac:dyDescent="0.3">
      <c r="B346">
        <v>342</v>
      </c>
      <c r="C346" t="s">
        <v>134</v>
      </c>
      <c r="D346">
        <v>21</v>
      </c>
      <c r="E346" t="s">
        <v>148</v>
      </c>
      <c r="F346" t="s">
        <v>157</v>
      </c>
      <c r="G346">
        <v>3599</v>
      </c>
      <c r="H346" t="s">
        <v>149</v>
      </c>
      <c r="I346" t="s">
        <v>155</v>
      </c>
      <c r="J346">
        <v>1</v>
      </c>
      <c r="K346" t="s">
        <v>151</v>
      </c>
      <c r="L346" t="s">
        <v>140</v>
      </c>
      <c r="M346">
        <v>4</v>
      </c>
      <c r="N346" t="s">
        <v>166</v>
      </c>
      <c r="O346">
        <v>26</v>
      </c>
      <c r="P346" t="s">
        <v>142</v>
      </c>
      <c r="Q346" t="s">
        <v>167</v>
      </c>
      <c r="R346">
        <v>1</v>
      </c>
      <c r="S346" t="s">
        <v>156</v>
      </c>
      <c r="T346">
        <v>1</v>
      </c>
      <c r="U346" t="s">
        <v>152</v>
      </c>
      <c r="V346" t="s">
        <v>146</v>
      </c>
      <c r="W346">
        <v>1</v>
      </c>
    </row>
    <row r="347" spans="2:23" x14ac:dyDescent="0.3">
      <c r="B347">
        <v>343</v>
      </c>
      <c r="C347" t="s">
        <v>147</v>
      </c>
      <c r="D347">
        <v>18</v>
      </c>
      <c r="E347" t="s">
        <v>148</v>
      </c>
      <c r="F347" t="s">
        <v>136</v>
      </c>
      <c r="G347">
        <v>3213</v>
      </c>
      <c r="H347" t="s">
        <v>164</v>
      </c>
      <c r="I347" t="s">
        <v>173</v>
      </c>
      <c r="J347">
        <v>1</v>
      </c>
      <c r="K347" t="s">
        <v>172</v>
      </c>
      <c r="L347" t="s">
        <v>140</v>
      </c>
      <c r="M347">
        <v>3</v>
      </c>
      <c r="N347" t="s">
        <v>141</v>
      </c>
      <c r="O347">
        <v>25</v>
      </c>
      <c r="P347" t="s">
        <v>142</v>
      </c>
      <c r="Q347" t="s">
        <v>167</v>
      </c>
      <c r="R347">
        <v>1</v>
      </c>
      <c r="S347" t="s">
        <v>144</v>
      </c>
      <c r="T347">
        <v>1</v>
      </c>
      <c r="U347" t="s">
        <v>152</v>
      </c>
      <c r="V347" t="s">
        <v>146</v>
      </c>
      <c r="W347">
        <v>1</v>
      </c>
    </row>
    <row r="348" spans="2:23" x14ac:dyDescent="0.3">
      <c r="B348">
        <v>344</v>
      </c>
      <c r="C348" t="s">
        <v>147</v>
      </c>
      <c r="D348">
        <v>18</v>
      </c>
      <c r="E348" t="s">
        <v>148</v>
      </c>
      <c r="F348" t="s">
        <v>174</v>
      </c>
      <c r="G348">
        <v>4439</v>
      </c>
      <c r="H348" t="s">
        <v>149</v>
      </c>
      <c r="I348" t="s">
        <v>138</v>
      </c>
      <c r="J348">
        <v>1</v>
      </c>
      <c r="K348" t="s">
        <v>139</v>
      </c>
      <c r="L348" t="s">
        <v>182</v>
      </c>
      <c r="M348">
        <v>1</v>
      </c>
      <c r="N348" t="s">
        <v>141</v>
      </c>
      <c r="O348">
        <v>33</v>
      </c>
      <c r="P348" t="s">
        <v>177</v>
      </c>
      <c r="Q348" t="s">
        <v>143</v>
      </c>
      <c r="R348">
        <v>1</v>
      </c>
      <c r="S348" t="s">
        <v>168</v>
      </c>
      <c r="T348">
        <v>1</v>
      </c>
      <c r="U348" t="s">
        <v>145</v>
      </c>
      <c r="V348" t="s">
        <v>146</v>
      </c>
      <c r="W348">
        <v>1</v>
      </c>
    </row>
    <row r="349" spans="2:23" x14ac:dyDescent="0.3">
      <c r="B349">
        <v>345</v>
      </c>
      <c r="C349" t="s">
        <v>179</v>
      </c>
      <c r="D349">
        <v>10</v>
      </c>
      <c r="E349" t="s">
        <v>148</v>
      </c>
      <c r="F349" t="s">
        <v>162</v>
      </c>
      <c r="G349">
        <v>3949</v>
      </c>
      <c r="H349" t="s">
        <v>149</v>
      </c>
      <c r="I349" t="s">
        <v>173</v>
      </c>
      <c r="J349">
        <v>1</v>
      </c>
      <c r="K349" t="s">
        <v>139</v>
      </c>
      <c r="L349" t="s">
        <v>158</v>
      </c>
      <c r="M349">
        <v>1</v>
      </c>
      <c r="N349" t="s">
        <v>159</v>
      </c>
      <c r="O349">
        <v>37</v>
      </c>
      <c r="P349" t="s">
        <v>142</v>
      </c>
      <c r="Q349" t="s">
        <v>143</v>
      </c>
      <c r="R349">
        <v>1</v>
      </c>
      <c r="S349" t="s">
        <v>156</v>
      </c>
      <c r="T349">
        <v>2</v>
      </c>
      <c r="U349" t="s">
        <v>152</v>
      </c>
      <c r="V349" t="s">
        <v>146</v>
      </c>
      <c r="W349">
        <v>1</v>
      </c>
    </row>
    <row r="350" spans="2:23" x14ac:dyDescent="0.3">
      <c r="B350">
        <v>346</v>
      </c>
      <c r="C350" t="s">
        <v>153</v>
      </c>
      <c r="D350">
        <v>15</v>
      </c>
      <c r="E350" t="s">
        <v>135</v>
      </c>
      <c r="F350" t="s">
        <v>136</v>
      </c>
      <c r="G350">
        <v>1459</v>
      </c>
      <c r="H350" t="s">
        <v>149</v>
      </c>
      <c r="I350" t="s">
        <v>150</v>
      </c>
      <c r="J350">
        <v>4</v>
      </c>
      <c r="K350" t="s">
        <v>151</v>
      </c>
      <c r="L350" t="s">
        <v>140</v>
      </c>
      <c r="M350">
        <v>2</v>
      </c>
      <c r="N350" t="s">
        <v>166</v>
      </c>
      <c r="O350">
        <v>43</v>
      </c>
      <c r="P350" t="s">
        <v>142</v>
      </c>
      <c r="Q350" t="s">
        <v>143</v>
      </c>
      <c r="R350">
        <v>1</v>
      </c>
      <c r="S350" t="s">
        <v>156</v>
      </c>
      <c r="T350">
        <v>1</v>
      </c>
      <c r="U350" t="s">
        <v>152</v>
      </c>
      <c r="V350" t="s">
        <v>146</v>
      </c>
      <c r="W350">
        <v>1</v>
      </c>
    </row>
    <row r="351" spans="2:23" x14ac:dyDescent="0.3">
      <c r="B351">
        <v>347</v>
      </c>
      <c r="C351" t="s">
        <v>147</v>
      </c>
      <c r="D351">
        <v>13</v>
      </c>
      <c r="E351" t="s">
        <v>135</v>
      </c>
      <c r="F351" t="s">
        <v>136</v>
      </c>
      <c r="G351">
        <v>882</v>
      </c>
      <c r="H351" t="s">
        <v>149</v>
      </c>
      <c r="I351" t="s">
        <v>173</v>
      </c>
      <c r="J351">
        <v>4</v>
      </c>
      <c r="K351" t="s">
        <v>139</v>
      </c>
      <c r="L351" t="s">
        <v>158</v>
      </c>
      <c r="M351">
        <v>4</v>
      </c>
      <c r="N351" t="s">
        <v>141</v>
      </c>
      <c r="O351">
        <v>23</v>
      </c>
      <c r="P351" t="s">
        <v>142</v>
      </c>
      <c r="Q351" t="s">
        <v>143</v>
      </c>
      <c r="R351">
        <v>2</v>
      </c>
      <c r="S351" t="s">
        <v>144</v>
      </c>
      <c r="T351">
        <v>1</v>
      </c>
      <c r="U351" t="s">
        <v>152</v>
      </c>
      <c r="V351" t="s">
        <v>146</v>
      </c>
      <c r="W351">
        <v>1</v>
      </c>
    </row>
    <row r="352" spans="2:23" x14ac:dyDescent="0.3">
      <c r="B352">
        <v>348</v>
      </c>
      <c r="C352" t="s">
        <v>147</v>
      </c>
      <c r="D352">
        <v>24</v>
      </c>
      <c r="E352" t="s">
        <v>148</v>
      </c>
      <c r="F352" t="s">
        <v>136</v>
      </c>
      <c r="G352">
        <v>3758</v>
      </c>
      <c r="H352" t="s">
        <v>164</v>
      </c>
      <c r="I352" t="s">
        <v>171</v>
      </c>
      <c r="J352">
        <v>1</v>
      </c>
      <c r="K352" t="s">
        <v>151</v>
      </c>
      <c r="L352" t="s">
        <v>140</v>
      </c>
      <c r="M352">
        <v>4</v>
      </c>
      <c r="N352" t="s">
        <v>163</v>
      </c>
      <c r="O352">
        <v>23</v>
      </c>
      <c r="P352" t="s">
        <v>142</v>
      </c>
      <c r="Q352" t="s">
        <v>167</v>
      </c>
      <c r="R352">
        <v>1</v>
      </c>
      <c r="S352" t="s">
        <v>185</v>
      </c>
      <c r="T352">
        <v>1</v>
      </c>
      <c r="U352" t="s">
        <v>152</v>
      </c>
      <c r="V352" t="s">
        <v>146</v>
      </c>
      <c r="W352">
        <v>1</v>
      </c>
    </row>
    <row r="353" spans="2:23" x14ac:dyDescent="0.3">
      <c r="B353">
        <v>349</v>
      </c>
      <c r="C353" t="s">
        <v>153</v>
      </c>
      <c r="D353">
        <v>6</v>
      </c>
      <c r="E353" t="s">
        <v>161</v>
      </c>
      <c r="F353" t="s">
        <v>174</v>
      </c>
      <c r="G353">
        <v>1743</v>
      </c>
      <c r="H353" t="s">
        <v>175</v>
      </c>
      <c r="I353" t="s">
        <v>150</v>
      </c>
      <c r="J353">
        <v>1</v>
      </c>
      <c r="K353" t="s">
        <v>139</v>
      </c>
      <c r="L353" t="s">
        <v>140</v>
      </c>
      <c r="M353">
        <v>2</v>
      </c>
      <c r="N353" t="s">
        <v>141</v>
      </c>
      <c r="O353">
        <v>34</v>
      </c>
      <c r="P353" t="s">
        <v>142</v>
      </c>
      <c r="Q353" t="s">
        <v>143</v>
      </c>
      <c r="R353">
        <v>2</v>
      </c>
      <c r="S353" t="s">
        <v>156</v>
      </c>
      <c r="T353">
        <v>1</v>
      </c>
      <c r="U353" t="s">
        <v>152</v>
      </c>
      <c r="V353" t="s">
        <v>146</v>
      </c>
      <c r="W353">
        <v>1</v>
      </c>
    </row>
    <row r="354" spans="2:23" x14ac:dyDescent="0.3">
      <c r="B354">
        <v>350</v>
      </c>
      <c r="C354" t="s">
        <v>147</v>
      </c>
      <c r="D354">
        <v>9</v>
      </c>
      <c r="E354" t="s">
        <v>135</v>
      </c>
      <c r="F354" t="s">
        <v>154</v>
      </c>
      <c r="G354">
        <v>1136</v>
      </c>
      <c r="H354" t="s">
        <v>169</v>
      </c>
      <c r="I354" t="s">
        <v>138</v>
      </c>
      <c r="J354">
        <v>4</v>
      </c>
      <c r="K354" t="s">
        <v>139</v>
      </c>
      <c r="L354" t="s">
        <v>140</v>
      </c>
      <c r="M354">
        <v>3</v>
      </c>
      <c r="N354" t="s">
        <v>163</v>
      </c>
      <c r="O354">
        <v>32</v>
      </c>
      <c r="P354" t="s">
        <v>142</v>
      </c>
      <c r="Q354" t="s">
        <v>160</v>
      </c>
      <c r="R354">
        <v>2</v>
      </c>
      <c r="S354" t="s">
        <v>144</v>
      </c>
      <c r="T354">
        <v>2</v>
      </c>
      <c r="U354" t="s">
        <v>152</v>
      </c>
      <c r="V354" t="s">
        <v>146</v>
      </c>
      <c r="W354">
        <v>2</v>
      </c>
    </row>
    <row r="355" spans="2:23" x14ac:dyDescent="0.3">
      <c r="B355">
        <v>351</v>
      </c>
      <c r="C355" t="s">
        <v>153</v>
      </c>
      <c r="D355">
        <v>9</v>
      </c>
      <c r="E355" t="s">
        <v>148</v>
      </c>
      <c r="F355" t="s">
        <v>183</v>
      </c>
      <c r="G355">
        <v>1236</v>
      </c>
      <c r="H355" t="s">
        <v>149</v>
      </c>
      <c r="I355" t="s">
        <v>173</v>
      </c>
      <c r="J355">
        <v>1</v>
      </c>
      <c r="K355" t="s">
        <v>151</v>
      </c>
      <c r="L355" t="s">
        <v>140</v>
      </c>
      <c r="M355">
        <v>4</v>
      </c>
      <c r="N355" t="s">
        <v>141</v>
      </c>
      <c r="O355">
        <v>23</v>
      </c>
      <c r="P355" t="s">
        <v>142</v>
      </c>
      <c r="Q355" t="s">
        <v>167</v>
      </c>
      <c r="R355">
        <v>1</v>
      </c>
      <c r="S355" t="s">
        <v>144</v>
      </c>
      <c r="T355">
        <v>1</v>
      </c>
      <c r="U355" t="s">
        <v>145</v>
      </c>
      <c r="V355" t="s">
        <v>146</v>
      </c>
      <c r="W355">
        <v>1</v>
      </c>
    </row>
    <row r="356" spans="2:23" x14ac:dyDescent="0.3">
      <c r="B356">
        <v>352</v>
      </c>
      <c r="C356" t="s">
        <v>147</v>
      </c>
      <c r="D356">
        <v>9</v>
      </c>
      <c r="E356" t="s">
        <v>148</v>
      </c>
      <c r="F356" t="s">
        <v>157</v>
      </c>
      <c r="G356">
        <v>959</v>
      </c>
      <c r="H356" t="s">
        <v>149</v>
      </c>
      <c r="I356" t="s">
        <v>150</v>
      </c>
      <c r="J356">
        <v>1</v>
      </c>
      <c r="K356" t="s">
        <v>151</v>
      </c>
      <c r="L356" t="s">
        <v>140</v>
      </c>
      <c r="M356">
        <v>2</v>
      </c>
      <c r="N356" t="s">
        <v>166</v>
      </c>
      <c r="O356">
        <v>29</v>
      </c>
      <c r="P356" t="s">
        <v>142</v>
      </c>
      <c r="Q356" t="s">
        <v>143</v>
      </c>
      <c r="R356">
        <v>1</v>
      </c>
      <c r="S356" t="s">
        <v>144</v>
      </c>
      <c r="T356">
        <v>1</v>
      </c>
      <c r="U356" t="s">
        <v>152</v>
      </c>
      <c r="V356" t="s">
        <v>178</v>
      </c>
      <c r="W356">
        <v>2</v>
      </c>
    </row>
    <row r="357" spans="2:23" x14ac:dyDescent="0.3">
      <c r="B357">
        <v>353</v>
      </c>
      <c r="C357" t="s">
        <v>153</v>
      </c>
      <c r="D357">
        <v>18</v>
      </c>
      <c r="E357" t="s">
        <v>135</v>
      </c>
      <c r="F357" t="s">
        <v>165</v>
      </c>
      <c r="G357">
        <v>3229</v>
      </c>
      <c r="H357" t="s">
        <v>137</v>
      </c>
      <c r="I357" t="s">
        <v>171</v>
      </c>
      <c r="J357">
        <v>2</v>
      </c>
      <c r="K357" t="s">
        <v>139</v>
      </c>
      <c r="L357" t="s">
        <v>140</v>
      </c>
      <c r="M357">
        <v>4</v>
      </c>
      <c r="N357" t="s">
        <v>163</v>
      </c>
      <c r="O357">
        <v>38</v>
      </c>
      <c r="P357" t="s">
        <v>142</v>
      </c>
      <c r="Q357" t="s">
        <v>143</v>
      </c>
      <c r="R357">
        <v>1</v>
      </c>
      <c r="S357" t="s">
        <v>168</v>
      </c>
      <c r="T357">
        <v>1</v>
      </c>
      <c r="U357" t="s">
        <v>145</v>
      </c>
      <c r="V357" t="s">
        <v>146</v>
      </c>
      <c r="W357">
        <v>1</v>
      </c>
    </row>
    <row r="358" spans="2:23" x14ac:dyDescent="0.3">
      <c r="B358">
        <v>354</v>
      </c>
      <c r="C358" t="s">
        <v>134</v>
      </c>
      <c r="D358">
        <v>12</v>
      </c>
      <c r="E358" t="s">
        <v>176</v>
      </c>
      <c r="F358" t="s">
        <v>136</v>
      </c>
      <c r="G358">
        <v>6199</v>
      </c>
      <c r="H358" t="s">
        <v>149</v>
      </c>
      <c r="I358" t="s">
        <v>150</v>
      </c>
      <c r="J358">
        <v>4</v>
      </c>
      <c r="K358" t="s">
        <v>139</v>
      </c>
      <c r="L358" t="s">
        <v>140</v>
      </c>
      <c r="M358">
        <v>2</v>
      </c>
      <c r="N358" t="s">
        <v>159</v>
      </c>
      <c r="O358">
        <v>28</v>
      </c>
      <c r="P358" t="s">
        <v>142</v>
      </c>
      <c r="Q358" t="s">
        <v>167</v>
      </c>
      <c r="R358">
        <v>2</v>
      </c>
      <c r="S358" t="s">
        <v>144</v>
      </c>
      <c r="T358">
        <v>1</v>
      </c>
      <c r="U358" t="s">
        <v>145</v>
      </c>
      <c r="V358" t="s">
        <v>146</v>
      </c>
      <c r="W358">
        <v>2</v>
      </c>
    </row>
    <row r="359" spans="2:23" x14ac:dyDescent="0.3">
      <c r="B359">
        <v>355</v>
      </c>
      <c r="C359" t="s">
        <v>153</v>
      </c>
      <c r="D359">
        <v>10</v>
      </c>
      <c r="E359" t="s">
        <v>148</v>
      </c>
      <c r="F359" t="s">
        <v>154</v>
      </c>
      <c r="G359">
        <v>727</v>
      </c>
      <c r="H359" t="s">
        <v>164</v>
      </c>
      <c r="I359" t="s">
        <v>138</v>
      </c>
      <c r="J359">
        <v>4</v>
      </c>
      <c r="K359" t="s">
        <v>139</v>
      </c>
      <c r="L359" t="s">
        <v>140</v>
      </c>
      <c r="M359">
        <v>4</v>
      </c>
      <c r="N359" t="s">
        <v>163</v>
      </c>
      <c r="O359">
        <v>46</v>
      </c>
      <c r="P359" t="s">
        <v>142</v>
      </c>
      <c r="Q359" t="s">
        <v>160</v>
      </c>
      <c r="R359">
        <v>1</v>
      </c>
      <c r="S359" t="s">
        <v>144</v>
      </c>
      <c r="T359">
        <v>1</v>
      </c>
      <c r="U359" t="s">
        <v>145</v>
      </c>
      <c r="V359" t="s">
        <v>146</v>
      </c>
      <c r="W359">
        <v>1</v>
      </c>
    </row>
    <row r="360" spans="2:23" x14ac:dyDescent="0.3">
      <c r="B360">
        <v>356</v>
      </c>
      <c r="C360" t="s">
        <v>147</v>
      </c>
      <c r="D360">
        <v>24</v>
      </c>
      <c r="E360" t="s">
        <v>148</v>
      </c>
      <c r="F360" t="s">
        <v>162</v>
      </c>
      <c r="G360">
        <v>1246</v>
      </c>
      <c r="H360" t="s">
        <v>149</v>
      </c>
      <c r="I360" t="s">
        <v>173</v>
      </c>
      <c r="J360">
        <v>4</v>
      </c>
      <c r="K360" t="s">
        <v>139</v>
      </c>
      <c r="L360" t="s">
        <v>140</v>
      </c>
      <c r="M360">
        <v>2</v>
      </c>
      <c r="N360" t="s">
        <v>141</v>
      </c>
      <c r="O360">
        <v>23</v>
      </c>
      <c r="P360" t="s">
        <v>181</v>
      </c>
      <c r="Q360" t="s">
        <v>143</v>
      </c>
      <c r="R360">
        <v>1</v>
      </c>
      <c r="S360" t="s">
        <v>156</v>
      </c>
      <c r="T360">
        <v>1</v>
      </c>
      <c r="U360" t="s">
        <v>152</v>
      </c>
      <c r="V360" t="s">
        <v>146</v>
      </c>
      <c r="W360">
        <v>2</v>
      </c>
    </row>
    <row r="361" spans="2:23" x14ac:dyDescent="0.3">
      <c r="B361">
        <v>357</v>
      </c>
      <c r="C361" t="s">
        <v>153</v>
      </c>
      <c r="D361">
        <v>12</v>
      </c>
      <c r="E361" t="s">
        <v>135</v>
      </c>
      <c r="F361" t="s">
        <v>136</v>
      </c>
      <c r="G361">
        <v>2331</v>
      </c>
      <c r="H361" t="s">
        <v>137</v>
      </c>
      <c r="I361" t="s">
        <v>138</v>
      </c>
      <c r="J361">
        <v>1</v>
      </c>
      <c r="K361" t="s">
        <v>139</v>
      </c>
      <c r="L361" t="s">
        <v>182</v>
      </c>
      <c r="M361">
        <v>4</v>
      </c>
      <c r="N361" t="s">
        <v>141</v>
      </c>
      <c r="O361">
        <v>49</v>
      </c>
      <c r="P361" t="s">
        <v>142</v>
      </c>
      <c r="Q361" t="s">
        <v>143</v>
      </c>
      <c r="R361">
        <v>1</v>
      </c>
      <c r="S361" t="s">
        <v>144</v>
      </c>
      <c r="T361">
        <v>1</v>
      </c>
      <c r="U361" t="s">
        <v>145</v>
      </c>
      <c r="V361" t="s">
        <v>146</v>
      </c>
      <c r="W361">
        <v>1</v>
      </c>
    </row>
    <row r="362" spans="2:23" x14ac:dyDescent="0.3">
      <c r="B362">
        <v>358</v>
      </c>
      <c r="C362" t="s">
        <v>153</v>
      </c>
      <c r="D362">
        <v>36</v>
      </c>
      <c r="E362" t="s">
        <v>161</v>
      </c>
      <c r="F362" t="s">
        <v>136</v>
      </c>
      <c r="G362">
        <v>4463</v>
      </c>
      <c r="H362" t="s">
        <v>149</v>
      </c>
      <c r="I362" t="s">
        <v>150</v>
      </c>
      <c r="J362">
        <v>4</v>
      </c>
      <c r="K362" t="s">
        <v>139</v>
      </c>
      <c r="L362" t="s">
        <v>140</v>
      </c>
      <c r="M362">
        <v>2</v>
      </c>
      <c r="N362" t="s">
        <v>166</v>
      </c>
      <c r="O362">
        <v>26</v>
      </c>
      <c r="P362" t="s">
        <v>142</v>
      </c>
      <c r="Q362" t="s">
        <v>143</v>
      </c>
      <c r="R362">
        <v>2</v>
      </c>
      <c r="S362" t="s">
        <v>168</v>
      </c>
      <c r="T362">
        <v>1</v>
      </c>
      <c r="U362" t="s">
        <v>145</v>
      </c>
      <c r="V362" t="s">
        <v>146</v>
      </c>
      <c r="W362">
        <v>2</v>
      </c>
    </row>
    <row r="363" spans="2:23" x14ac:dyDescent="0.3">
      <c r="B363">
        <v>359</v>
      </c>
      <c r="C363" t="s">
        <v>153</v>
      </c>
      <c r="D363">
        <v>12</v>
      </c>
      <c r="E363" t="s">
        <v>148</v>
      </c>
      <c r="F363" t="s">
        <v>136</v>
      </c>
      <c r="G363">
        <v>776</v>
      </c>
      <c r="H363" t="s">
        <v>149</v>
      </c>
      <c r="I363" t="s">
        <v>150</v>
      </c>
      <c r="J363">
        <v>4</v>
      </c>
      <c r="K363" t="s">
        <v>172</v>
      </c>
      <c r="L363" t="s">
        <v>140</v>
      </c>
      <c r="M363">
        <v>2</v>
      </c>
      <c r="N363" t="s">
        <v>141</v>
      </c>
      <c r="O363">
        <v>28</v>
      </c>
      <c r="P363" t="s">
        <v>142</v>
      </c>
      <c r="Q363" t="s">
        <v>143</v>
      </c>
      <c r="R363">
        <v>1</v>
      </c>
      <c r="S363" t="s">
        <v>144</v>
      </c>
      <c r="T363">
        <v>1</v>
      </c>
      <c r="U363" t="s">
        <v>152</v>
      </c>
      <c r="V363" t="s">
        <v>146</v>
      </c>
      <c r="W363">
        <v>1</v>
      </c>
    </row>
    <row r="364" spans="2:23" x14ac:dyDescent="0.3">
      <c r="B364">
        <v>360</v>
      </c>
      <c r="C364" t="s">
        <v>134</v>
      </c>
      <c r="D364">
        <v>30</v>
      </c>
      <c r="E364" t="s">
        <v>148</v>
      </c>
      <c r="F364" t="s">
        <v>157</v>
      </c>
      <c r="G364">
        <v>2406</v>
      </c>
      <c r="H364" t="s">
        <v>149</v>
      </c>
      <c r="I364" t="s">
        <v>155</v>
      </c>
      <c r="J364">
        <v>4</v>
      </c>
      <c r="K364" t="s">
        <v>151</v>
      </c>
      <c r="L364" t="s">
        <v>140</v>
      </c>
      <c r="M364">
        <v>4</v>
      </c>
      <c r="N364" t="s">
        <v>141</v>
      </c>
      <c r="O364">
        <v>23</v>
      </c>
      <c r="P364" t="s">
        <v>142</v>
      </c>
      <c r="Q364" t="s">
        <v>167</v>
      </c>
      <c r="R364">
        <v>1</v>
      </c>
      <c r="S364" t="s">
        <v>144</v>
      </c>
      <c r="T364">
        <v>1</v>
      </c>
      <c r="U364" t="s">
        <v>152</v>
      </c>
      <c r="V364" t="s">
        <v>146</v>
      </c>
      <c r="W364">
        <v>2</v>
      </c>
    </row>
    <row r="365" spans="2:23" x14ac:dyDescent="0.3">
      <c r="B365">
        <v>361</v>
      </c>
      <c r="C365" t="s">
        <v>147</v>
      </c>
      <c r="D365">
        <v>18</v>
      </c>
      <c r="E365" t="s">
        <v>148</v>
      </c>
      <c r="F365" t="s">
        <v>154</v>
      </c>
      <c r="G365">
        <v>1239</v>
      </c>
      <c r="H365" t="s">
        <v>137</v>
      </c>
      <c r="I365" t="s">
        <v>150</v>
      </c>
      <c r="J365">
        <v>4</v>
      </c>
      <c r="K365" t="s">
        <v>139</v>
      </c>
      <c r="L365" t="s">
        <v>140</v>
      </c>
      <c r="M365">
        <v>4</v>
      </c>
      <c r="N365" t="s">
        <v>163</v>
      </c>
      <c r="O365">
        <v>61</v>
      </c>
      <c r="P365" t="s">
        <v>142</v>
      </c>
      <c r="Q365" t="s">
        <v>160</v>
      </c>
      <c r="R365">
        <v>1</v>
      </c>
      <c r="S365" t="s">
        <v>144</v>
      </c>
      <c r="T365">
        <v>1</v>
      </c>
      <c r="U365" t="s">
        <v>152</v>
      </c>
      <c r="V365" t="s">
        <v>146</v>
      </c>
      <c r="W365">
        <v>1</v>
      </c>
    </row>
    <row r="366" spans="2:23" x14ac:dyDescent="0.3">
      <c r="B366">
        <v>362</v>
      </c>
      <c r="C366" t="s">
        <v>179</v>
      </c>
      <c r="D366">
        <v>12</v>
      </c>
      <c r="E366" t="s">
        <v>148</v>
      </c>
      <c r="F366" t="s">
        <v>136</v>
      </c>
      <c r="G366">
        <v>3399</v>
      </c>
      <c r="H366" t="s">
        <v>137</v>
      </c>
      <c r="I366" t="s">
        <v>138</v>
      </c>
      <c r="J366">
        <v>2</v>
      </c>
      <c r="K366" t="s">
        <v>139</v>
      </c>
      <c r="L366" t="s">
        <v>140</v>
      </c>
      <c r="M366">
        <v>3</v>
      </c>
      <c r="N366" t="s">
        <v>166</v>
      </c>
      <c r="O366">
        <v>37</v>
      </c>
      <c r="P366" t="s">
        <v>142</v>
      </c>
      <c r="Q366" t="s">
        <v>143</v>
      </c>
      <c r="R366">
        <v>1</v>
      </c>
      <c r="S366" t="s">
        <v>168</v>
      </c>
      <c r="T366">
        <v>1</v>
      </c>
      <c r="U366" t="s">
        <v>152</v>
      </c>
      <c r="V366" t="s">
        <v>146</v>
      </c>
      <c r="W366">
        <v>1</v>
      </c>
    </row>
    <row r="367" spans="2:23" x14ac:dyDescent="0.3">
      <c r="B367">
        <v>363</v>
      </c>
      <c r="C367" t="s">
        <v>179</v>
      </c>
      <c r="D367">
        <v>12</v>
      </c>
      <c r="E367" t="s">
        <v>161</v>
      </c>
      <c r="F367" t="s">
        <v>162</v>
      </c>
      <c r="G367">
        <v>2247</v>
      </c>
      <c r="H367" t="s">
        <v>149</v>
      </c>
      <c r="I367" t="s">
        <v>150</v>
      </c>
      <c r="J367">
        <v>2</v>
      </c>
      <c r="K367" t="s">
        <v>151</v>
      </c>
      <c r="L367" t="s">
        <v>140</v>
      </c>
      <c r="M367">
        <v>2</v>
      </c>
      <c r="N367" t="s">
        <v>166</v>
      </c>
      <c r="O367">
        <v>36</v>
      </c>
      <c r="P367" t="s">
        <v>181</v>
      </c>
      <c r="Q367" t="s">
        <v>143</v>
      </c>
      <c r="R367">
        <v>2</v>
      </c>
      <c r="S367" t="s">
        <v>144</v>
      </c>
      <c r="T367">
        <v>1</v>
      </c>
      <c r="U367" t="s">
        <v>145</v>
      </c>
      <c r="V367" t="s">
        <v>146</v>
      </c>
      <c r="W367">
        <v>1</v>
      </c>
    </row>
    <row r="368" spans="2:23" x14ac:dyDescent="0.3">
      <c r="B368">
        <v>364</v>
      </c>
      <c r="C368" t="s">
        <v>153</v>
      </c>
      <c r="D368">
        <v>6</v>
      </c>
      <c r="E368" t="s">
        <v>148</v>
      </c>
      <c r="F368" t="s">
        <v>157</v>
      </c>
      <c r="G368">
        <v>1766</v>
      </c>
      <c r="H368" t="s">
        <v>149</v>
      </c>
      <c r="I368" t="s">
        <v>150</v>
      </c>
      <c r="J368">
        <v>1</v>
      </c>
      <c r="K368" t="s">
        <v>172</v>
      </c>
      <c r="L368" t="s">
        <v>140</v>
      </c>
      <c r="M368">
        <v>2</v>
      </c>
      <c r="N368" t="s">
        <v>159</v>
      </c>
      <c r="O368">
        <v>21</v>
      </c>
      <c r="P368" t="s">
        <v>142</v>
      </c>
      <c r="Q368" t="s">
        <v>167</v>
      </c>
      <c r="R368">
        <v>1</v>
      </c>
      <c r="S368" t="s">
        <v>144</v>
      </c>
      <c r="T368">
        <v>1</v>
      </c>
      <c r="U368" t="s">
        <v>152</v>
      </c>
      <c r="V368" t="s">
        <v>146</v>
      </c>
      <c r="W368">
        <v>1</v>
      </c>
    </row>
    <row r="369" spans="2:23" x14ac:dyDescent="0.3">
      <c r="B369">
        <v>365</v>
      </c>
      <c r="C369" t="s">
        <v>134</v>
      </c>
      <c r="D369">
        <v>18</v>
      </c>
      <c r="E369" t="s">
        <v>148</v>
      </c>
      <c r="F369" t="s">
        <v>157</v>
      </c>
      <c r="G369">
        <v>2473</v>
      </c>
      <c r="H369" t="s">
        <v>149</v>
      </c>
      <c r="I369" t="s">
        <v>171</v>
      </c>
      <c r="J369">
        <v>4</v>
      </c>
      <c r="K369" t="s">
        <v>139</v>
      </c>
      <c r="L369" t="s">
        <v>140</v>
      </c>
      <c r="M369">
        <v>1</v>
      </c>
      <c r="N369" t="s">
        <v>166</v>
      </c>
      <c r="O369">
        <v>25</v>
      </c>
      <c r="P369" t="s">
        <v>142</v>
      </c>
      <c r="Q369" t="s">
        <v>143</v>
      </c>
      <c r="R369">
        <v>1</v>
      </c>
      <c r="S369" t="s">
        <v>185</v>
      </c>
      <c r="T369">
        <v>1</v>
      </c>
      <c r="U369" t="s">
        <v>152</v>
      </c>
      <c r="V369" t="s">
        <v>146</v>
      </c>
      <c r="W369">
        <v>2</v>
      </c>
    </row>
    <row r="370" spans="2:23" x14ac:dyDescent="0.3">
      <c r="B370">
        <v>366</v>
      </c>
      <c r="C370" t="s">
        <v>153</v>
      </c>
      <c r="D370">
        <v>12</v>
      </c>
      <c r="E370" t="s">
        <v>148</v>
      </c>
      <c r="F370" t="s">
        <v>174</v>
      </c>
      <c r="G370">
        <v>1542</v>
      </c>
      <c r="H370" t="s">
        <v>149</v>
      </c>
      <c r="I370" t="s">
        <v>155</v>
      </c>
      <c r="J370">
        <v>2</v>
      </c>
      <c r="K370" t="s">
        <v>139</v>
      </c>
      <c r="L370" t="s">
        <v>140</v>
      </c>
      <c r="M370">
        <v>4</v>
      </c>
      <c r="N370" t="s">
        <v>166</v>
      </c>
      <c r="O370">
        <v>36</v>
      </c>
      <c r="P370" t="s">
        <v>142</v>
      </c>
      <c r="Q370" t="s">
        <v>143</v>
      </c>
      <c r="R370">
        <v>1</v>
      </c>
      <c r="S370" t="s">
        <v>144</v>
      </c>
      <c r="T370">
        <v>1</v>
      </c>
      <c r="U370" t="s">
        <v>145</v>
      </c>
      <c r="V370" t="s">
        <v>146</v>
      </c>
      <c r="W370">
        <v>1</v>
      </c>
    </row>
    <row r="371" spans="2:23" x14ac:dyDescent="0.3">
      <c r="B371">
        <v>367</v>
      </c>
      <c r="C371" t="s">
        <v>153</v>
      </c>
      <c r="D371">
        <v>18</v>
      </c>
      <c r="E371" t="s">
        <v>135</v>
      </c>
      <c r="F371" t="s">
        <v>165</v>
      </c>
      <c r="G371">
        <v>3850</v>
      </c>
      <c r="H371" t="s">
        <v>149</v>
      </c>
      <c r="I371" t="s">
        <v>155</v>
      </c>
      <c r="J371">
        <v>3</v>
      </c>
      <c r="K371" t="s">
        <v>139</v>
      </c>
      <c r="L371" t="s">
        <v>140</v>
      </c>
      <c r="M371">
        <v>1</v>
      </c>
      <c r="N371" t="s">
        <v>166</v>
      </c>
      <c r="O371">
        <v>27</v>
      </c>
      <c r="P371" t="s">
        <v>142</v>
      </c>
      <c r="Q371" t="s">
        <v>143</v>
      </c>
      <c r="R371">
        <v>2</v>
      </c>
      <c r="S371" t="s">
        <v>144</v>
      </c>
      <c r="T371">
        <v>1</v>
      </c>
      <c r="U371" t="s">
        <v>152</v>
      </c>
      <c r="V371" t="s">
        <v>146</v>
      </c>
      <c r="W371">
        <v>1</v>
      </c>
    </row>
    <row r="372" spans="2:23" x14ac:dyDescent="0.3">
      <c r="B372">
        <v>368</v>
      </c>
      <c r="C372" t="s">
        <v>134</v>
      </c>
      <c r="D372">
        <v>18</v>
      </c>
      <c r="E372" t="s">
        <v>148</v>
      </c>
      <c r="F372" t="s">
        <v>157</v>
      </c>
      <c r="G372">
        <v>3650</v>
      </c>
      <c r="H372" t="s">
        <v>149</v>
      </c>
      <c r="I372" t="s">
        <v>173</v>
      </c>
      <c r="J372">
        <v>1</v>
      </c>
      <c r="K372" t="s">
        <v>151</v>
      </c>
      <c r="L372" t="s">
        <v>140</v>
      </c>
      <c r="M372">
        <v>4</v>
      </c>
      <c r="N372" t="s">
        <v>166</v>
      </c>
      <c r="O372">
        <v>22</v>
      </c>
      <c r="P372" t="s">
        <v>142</v>
      </c>
      <c r="Q372" t="s">
        <v>167</v>
      </c>
      <c r="R372">
        <v>1</v>
      </c>
      <c r="S372" t="s">
        <v>144</v>
      </c>
      <c r="T372">
        <v>1</v>
      </c>
      <c r="U372" t="s">
        <v>152</v>
      </c>
      <c r="V372" t="s">
        <v>146</v>
      </c>
      <c r="W372">
        <v>1</v>
      </c>
    </row>
    <row r="373" spans="2:23" x14ac:dyDescent="0.3">
      <c r="B373">
        <v>369</v>
      </c>
      <c r="C373" t="s">
        <v>134</v>
      </c>
      <c r="D373">
        <v>36</v>
      </c>
      <c r="E373" t="s">
        <v>148</v>
      </c>
      <c r="F373" t="s">
        <v>157</v>
      </c>
      <c r="G373">
        <v>3446</v>
      </c>
      <c r="H373" t="s">
        <v>149</v>
      </c>
      <c r="I373" t="s">
        <v>138</v>
      </c>
      <c r="J373">
        <v>4</v>
      </c>
      <c r="K373" t="s">
        <v>139</v>
      </c>
      <c r="L373" t="s">
        <v>140</v>
      </c>
      <c r="M373">
        <v>2</v>
      </c>
      <c r="N373" t="s">
        <v>166</v>
      </c>
      <c r="O373">
        <v>42</v>
      </c>
      <c r="P373" t="s">
        <v>142</v>
      </c>
      <c r="Q373" t="s">
        <v>143</v>
      </c>
      <c r="R373">
        <v>1</v>
      </c>
      <c r="S373" t="s">
        <v>144</v>
      </c>
      <c r="T373">
        <v>2</v>
      </c>
      <c r="U373" t="s">
        <v>152</v>
      </c>
      <c r="V373" t="s">
        <v>146</v>
      </c>
      <c r="W373">
        <v>2</v>
      </c>
    </row>
    <row r="374" spans="2:23" x14ac:dyDescent="0.3">
      <c r="B374">
        <v>370</v>
      </c>
      <c r="C374" t="s">
        <v>147</v>
      </c>
      <c r="D374">
        <v>18</v>
      </c>
      <c r="E374" t="s">
        <v>148</v>
      </c>
      <c r="F374" t="s">
        <v>157</v>
      </c>
      <c r="G374">
        <v>3001</v>
      </c>
      <c r="H374" t="s">
        <v>149</v>
      </c>
      <c r="I374" t="s">
        <v>155</v>
      </c>
      <c r="J374">
        <v>2</v>
      </c>
      <c r="K374" t="s">
        <v>151</v>
      </c>
      <c r="L374" t="s">
        <v>140</v>
      </c>
      <c r="M374">
        <v>4</v>
      </c>
      <c r="N374" t="s">
        <v>141</v>
      </c>
      <c r="O374">
        <v>40</v>
      </c>
      <c r="P374" t="s">
        <v>142</v>
      </c>
      <c r="Q374" t="s">
        <v>167</v>
      </c>
      <c r="R374">
        <v>1</v>
      </c>
      <c r="S374" t="s">
        <v>144</v>
      </c>
      <c r="T374">
        <v>1</v>
      </c>
      <c r="U374" t="s">
        <v>152</v>
      </c>
      <c r="V374" t="s">
        <v>146</v>
      </c>
      <c r="W374">
        <v>1</v>
      </c>
    </row>
    <row r="375" spans="2:23" x14ac:dyDescent="0.3">
      <c r="B375">
        <v>371</v>
      </c>
      <c r="C375" t="s">
        <v>153</v>
      </c>
      <c r="D375">
        <v>36</v>
      </c>
      <c r="E375" t="s">
        <v>148</v>
      </c>
      <c r="F375" t="s">
        <v>162</v>
      </c>
      <c r="G375">
        <v>3079</v>
      </c>
      <c r="H375" t="s">
        <v>137</v>
      </c>
      <c r="I375" t="s">
        <v>150</v>
      </c>
      <c r="J375">
        <v>4</v>
      </c>
      <c r="K375" t="s">
        <v>139</v>
      </c>
      <c r="L375" t="s">
        <v>140</v>
      </c>
      <c r="M375">
        <v>4</v>
      </c>
      <c r="N375" t="s">
        <v>141</v>
      </c>
      <c r="O375">
        <v>36</v>
      </c>
      <c r="P375" t="s">
        <v>142</v>
      </c>
      <c r="Q375" t="s">
        <v>143</v>
      </c>
      <c r="R375">
        <v>1</v>
      </c>
      <c r="S375" t="s">
        <v>144</v>
      </c>
      <c r="T375">
        <v>1</v>
      </c>
      <c r="U375" t="s">
        <v>152</v>
      </c>
      <c r="V375" t="s">
        <v>146</v>
      </c>
      <c r="W375">
        <v>1</v>
      </c>
    </row>
    <row r="376" spans="2:23" x14ac:dyDescent="0.3">
      <c r="B376">
        <v>372</v>
      </c>
      <c r="C376" t="s">
        <v>153</v>
      </c>
      <c r="D376">
        <v>18</v>
      </c>
      <c r="E376" t="s">
        <v>135</v>
      </c>
      <c r="F376" t="s">
        <v>136</v>
      </c>
      <c r="G376">
        <v>6070</v>
      </c>
      <c r="H376" t="s">
        <v>149</v>
      </c>
      <c r="I376" t="s">
        <v>138</v>
      </c>
      <c r="J376">
        <v>3</v>
      </c>
      <c r="K376" t="s">
        <v>139</v>
      </c>
      <c r="L376" t="s">
        <v>140</v>
      </c>
      <c r="M376">
        <v>4</v>
      </c>
      <c r="N376" t="s">
        <v>166</v>
      </c>
      <c r="O376">
        <v>33</v>
      </c>
      <c r="P376" t="s">
        <v>142</v>
      </c>
      <c r="Q376" t="s">
        <v>143</v>
      </c>
      <c r="R376">
        <v>2</v>
      </c>
      <c r="S376" t="s">
        <v>144</v>
      </c>
      <c r="T376">
        <v>1</v>
      </c>
      <c r="U376" t="s">
        <v>145</v>
      </c>
      <c r="V376" t="s">
        <v>146</v>
      </c>
      <c r="W376">
        <v>1</v>
      </c>
    </row>
    <row r="377" spans="2:23" x14ac:dyDescent="0.3">
      <c r="B377">
        <v>373</v>
      </c>
      <c r="C377" t="s">
        <v>153</v>
      </c>
      <c r="D377">
        <v>10</v>
      </c>
      <c r="E377" t="s">
        <v>135</v>
      </c>
      <c r="F377" t="s">
        <v>157</v>
      </c>
      <c r="G377">
        <v>2146</v>
      </c>
      <c r="H377" t="s">
        <v>149</v>
      </c>
      <c r="I377" t="s">
        <v>173</v>
      </c>
      <c r="J377">
        <v>1</v>
      </c>
      <c r="K377" t="s">
        <v>151</v>
      </c>
      <c r="L377" t="s">
        <v>140</v>
      </c>
      <c r="M377">
        <v>3</v>
      </c>
      <c r="N377" t="s">
        <v>141</v>
      </c>
      <c r="O377">
        <v>23</v>
      </c>
      <c r="P377" t="s">
        <v>142</v>
      </c>
      <c r="Q377" t="s">
        <v>167</v>
      </c>
      <c r="R377">
        <v>2</v>
      </c>
      <c r="S377" t="s">
        <v>144</v>
      </c>
      <c r="T377">
        <v>1</v>
      </c>
      <c r="U377" t="s">
        <v>152</v>
      </c>
      <c r="V377" t="s">
        <v>146</v>
      </c>
      <c r="W377">
        <v>1</v>
      </c>
    </row>
    <row r="378" spans="2:23" x14ac:dyDescent="0.3">
      <c r="B378">
        <v>374</v>
      </c>
      <c r="C378" t="s">
        <v>153</v>
      </c>
      <c r="D378">
        <v>60</v>
      </c>
      <c r="E378" t="s">
        <v>135</v>
      </c>
      <c r="F378" t="s">
        <v>162</v>
      </c>
      <c r="G378">
        <v>13756</v>
      </c>
      <c r="H378" t="s">
        <v>137</v>
      </c>
      <c r="I378" t="s">
        <v>138</v>
      </c>
      <c r="J378">
        <v>2</v>
      </c>
      <c r="K378" t="s">
        <v>139</v>
      </c>
      <c r="L378" t="s">
        <v>140</v>
      </c>
      <c r="M378">
        <v>4</v>
      </c>
      <c r="N378" t="s">
        <v>163</v>
      </c>
      <c r="O378">
        <v>63</v>
      </c>
      <c r="P378" t="s">
        <v>177</v>
      </c>
      <c r="Q378" t="s">
        <v>160</v>
      </c>
      <c r="R378">
        <v>1</v>
      </c>
      <c r="S378" t="s">
        <v>168</v>
      </c>
      <c r="T378">
        <v>1</v>
      </c>
      <c r="U378" t="s">
        <v>145</v>
      </c>
      <c r="V378" t="s">
        <v>146</v>
      </c>
      <c r="W378">
        <v>1</v>
      </c>
    </row>
    <row r="379" spans="2:23" x14ac:dyDescent="0.3">
      <c r="B379">
        <v>375</v>
      </c>
      <c r="C379" t="s">
        <v>147</v>
      </c>
      <c r="D379">
        <v>60</v>
      </c>
      <c r="E379" t="s">
        <v>180</v>
      </c>
      <c r="F379" t="s">
        <v>186</v>
      </c>
      <c r="G379">
        <v>14782</v>
      </c>
      <c r="H379" t="s">
        <v>175</v>
      </c>
      <c r="I379" t="s">
        <v>138</v>
      </c>
      <c r="J379">
        <v>3</v>
      </c>
      <c r="K379" t="s">
        <v>151</v>
      </c>
      <c r="L379" t="s">
        <v>140</v>
      </c>
      <c r="M379">
        <v>4</v>
      </c>
      <c r="N379" t="s">
        <v>163</v>
      </c>
      <c r="O379">
        <v>60</v>
      </c>
      <c r="P379" t="s">
        <v>177</v>
      </c>
      <c r="Q379" t="s">
        <v>160</v>
      </c>
      <c r="R379">
        <v>2</v>
      </c>
      <c r="S379" t="s">
        <v>168</v>
      </c>
      <c r="T379">
        <v>1</v>
      </c>
      <c r="U379" t="s">
        <v>145</v>
      </c>
      <c r="V379" t="s">
        <v>146</v>
      </c>
      <c r="W379">
        <v>2</v>
      </c>
    </row>
    <row r="380" spans="2:23" x14ac:dyDescent="0.3">
      <c r="B380">
        <v>376</v>
      </c>
      <c r="C380" t="s">
        <v>134</v>
      </c>
      <c r="D380">
        <v>48</v>
      </c>
      <c r="E380" t="s">
        <v>180</v>
      </c>
      <c r="F380" t="s">
        <v>174</v>
      </c>
      <c r="G380">
        <v>7685</v>
      </c>
      <c r="H380" t="s">
        <v>149</v>
      </c>
      <c r="I380" t="s">
        <v>155</v>
      </c>
      <c r="J380">
        <v>2</v>
      </c>
      <c r="K380" t="s">
        <v>151</v>
      </c>
      <c r="L380" t="s">
        <v>158</v>
      </c>
      <c r="M380">
        <v>4</v>
      </c>
      <c r="N380" t="s">
        <v>166</v>
      </c>
      <c r="O380">
        <v>37</v>
      </c>
      <c r="P380" t="s">
        <v>142</v>
      </c>
      <c r="Q380" t="s">
        <v>167</v>
      </c>
      <c r="R380">
        <v>1</v>
      </c>
      <c r="S380" t="s">
        <v>144</v>
      </c>
      <c r="T380">
        <v>1</v>
      </c>
      <c r="U380" t="s">
        <v>152</v>
      </c>
      <c r="V380" t="s">
        <v>146</v>
      </c>
      <c r="W380">
        <v>2</v>
      </c>
    </row>
    <row r="381" spans="2:23" x14ac:dyDescent="0.3">
      <c r="B381">
        <v>377</v>
      </c>
      <c r="C381" t="s">
        <v>153</v>
      </c>
      <c r="D381">
        <v>18</v>
      </c>
      <c r="E381" t="s">
        <v>161</v>
      </c>
      <c r="F381" t="s">
        <v>136</v>
      </c>
      <c r="G381">
        <v>2320</v>
      </c>
      <c r="H381" t="s">
        <v>149</v>
      </c>
      <c r="I381" t="s">
        <v>171</v>
      </c>
      <c r="J381">
        <v>2</v>
      </c>
      <c r="K381" t="s">
        <v>172</v>
      </c>
      <c r="L381" t="s">
        <v>140</v>
      </c>
      <c r="M381">
        <v>3</v>
      </c>
      <c r="N381" t="s">
        <v>141</v>
      </c>
      <c r="O381">
        <v>34</v>
      </c>
      <c r="P381" t="s">
        <v>142</v>
      </c>
      <c r="Q381" t="s">
        <v>143</v>
      </c>
      <c r="R381">
        <v>2</v>
      </c>
      <c r="S381" t="s">
        <v>144</v>
      </c>
      <c r="T381">
        <v>1</v>
      </c>
      <c r="U381" t="s">
        <v>152</v>
      </c>
      <c r="V381" t="s">
        <v>146</v>
      </c>
      <c r="W381">
        <v>1</v>
      </c>
    </row>
    <row r="382" spans="2:23" x14ac:dyDescent="0.3">
      <c r="B382">
        <v>378</v>
      </c>
      <c r="C382" t="s">
        <v>153</v>
      </c>
      <c r="D382">
        <v>7</v>
      </c>
      <c r="E382" t="s">
        <v>161</v>
      </c>
      <c r="F382" t="s">
        <v>136</v>
      </c>
      <c r="G382">
        <v>846</v>
      </c>
      <c r="H382" t="s">
        <v>137</v>
      </c>
      <c r="I382" t="s">
        <v>138</v>
      </c>
      <c r="J382">
        <v>3</v>
      </c>
      <c r="K382" t="s">
        <v>139</v>
      </c>
      <c r="L382" t="s">
        <v>140</v>
      </c>
      <c r="M382">
        <v>4</v>
      </c>
      <c r="N382" t="s">
        <v>163</v>
      </c>
      <c r="O382">
        <v>36</v>
      </c>
      <c r="P382" t="s">
        <v>142</v>
      </c>
      <c r="Q382" t="s">
        <v>160</v>
      </c>
      <c r="R382">
        <v>1</v>
      </c>
      <c r="S382" t="s">
        <v>144</v>
      </c>
      <c r="T382">
        <v>1</v>
      </c>
      <c r="U382" t="s">
        <v>152</v>
      </c>
      <c r="V382" t="s">
        <v>146</v>
      </c>
      <c r="W382">
        <v>1</v>
      </c>
    </row>
    <row r="383" spans="2:23" x14ac:dyDescent="0.3">
      <c r="B383">
        <v>379</v>
      </c>
      <c r="C383" t="s">
        <v>147</v>
      </c>
      <c r="D383">
        <v>36</v>
      </c>
      <c r="E383" t="s">
        <v>148</v>
      </c>
      <c r="F383" t="s">
        <v>162</v>
      </c>
      <c r="G383">
        <v>14318</v>
      </c>
      <c r="H383" t="s">
        <v>149</v>
      </c>
      <c r="I383" t="s">
        <v>138</v>
      </c>
      <c r="J383">
        <v>4</v>
      </c>
      <c r="K383" t="s">
        <v>139</v>
      </c>
      <c r="L383" t="s">
        <v>140</v>
      </c>
      <c r="M383">
        <v>2</v>
      </c>
      <c r="N383" t="s">
        <v>163</v>
      </c>
      <c r="O383">
        <v>57</v>
      </c>
      <c r="P383" t="s">
        <v>142</v>
      </c>
      <c r="Q383" t="s">
        <v>160</v>
      </c>
      <c r="R383">
        <v>1</v>
      </c>
      <c r="S383" t="s">
        <v>168</v>
      </c>
      <c r="T383">
        <v>1</v>
      </c>
      <c r="U383" t="s">
        <v>145</v>
      </c>
      <c r="V383" t="s">
        <v>146</v>
      </c>
      <c r="W383">
        <v>2</v>
      </c>
    </row>
    <row r="384" spans="2:23" x14ac:dyDescent="0.3">
      <c r="B384">
        <v>380</v>
      </c>
      <c r="C384" t="s">
        <v>153</v>
      </c>
      <c r="D384">
        <v>6</v>
      </c>
      <c r="E384" t="s">
        <v>135</v>
      </c>
      <c r="F384" t="s">
        <v>162</v>
      </c>
      <c r="G384">
        <v>362</v>
      </c>
      <c r="H384" t="s">
        <v>175</v>
      </c>
      <c r="I384" t="s">
        <v>150</v>
      </c>
      <c r="J384">
        <v>4</v>
      </c>
      <c r="K384" t="s">
        <v>151</v>
      </c>
      <c r="L384" t="s">
        <v>140</v>
      </c>
      <c r="M384">
        <v>4</v>
      </c>
      <c r="N384" t="s">
        <v>166</v>
      </c>
      <c r="O384">
        <v>52</v>
      </c>
      <c r="P384" t="s">
        <v>142</v>
      </c>
      <c r="Q384" t="s">
        <v>143</v>
      </c>
      <c r="R384">
        <v>2</v>
      </c>
      <c r="S384" t="s">
        <v>156</v>
      </c>
      <c r="T384">
        <v>1</v>
      </c>
      <c r="U384" t="s">
        <v>152</v>
      </c>
      <c r="V384" t="s">
        <v>146</v>
      </c>
      <c r="W384">
        <v>1</v>
      </c>
    </row>
    <row r="385" spans="2:23" x14ac:dyDescent="0.3">
      <c r="B385">
        <v>381</v>
      </c>
      <c r="C385" t="s">
        <v>134</v>
      </c>
      <c r="D385">
        <v>20</v>
      </c>
      <c r="E385" t="s">
        <v>148</v>
      </c>
      <c r="F385" t="s">
        <v>157</v>
      </c>
      <c r="G385">
        <v>2212</v>
      </c>
      <c r="H385" t="s">
        <v>137</v>
      </c>
      <c r="I385" t="s">
        <v>155</v>
      </c>
      <c r="J385">
        <v>4</v>
      </c>
      <c r="K385" t="s">
        <v>139</v>
      </c>
      <c r="L385" t="s">
        <v>140</v>
      </c>
      <c r="M385">
        <v>4</v>
      </c>
      <c r="N385" t="s">
        <v>166</v>
      </c>
      <c r="O385">
        <v>39</v>
      </c>
      <c r="P385" t="s">
        <v>142</v>
      </c>
      <c r="Q385" t="s">
        <v>143</v>
      </c>
      <c r="R385">
        <v>1</v>
      </c>
      <c r="S385" t="s">
        <v>144</v>
      </c>
      <c r="T385">
        <v>1</v>
      </c>
      <c r="U385" t="s">
        <v>145</v>
      </c>
      <c r="V385" t="s">
        <v>146</v>
      </c>
      <c r="W385">
        <v>1</v>
      </c>
    </row>
    <row r="386" spans="2:23" x14ac:dyDescent="0.3">
      <c r="B386">
        <v>382</v>
      </c>
      <c r="C386" t="s">
        <v>147</v>
      </c>
      <c r="D386">
        <v>18</v>
      </c>
      <c r="E386" t="s">
        <v>148</v>
      </c>
      <c r="F386" t="s">
        <v>165</v>
      </c>
      <c r="G386">
        <v>12976</v>
      </c>
      <c r="H386" t="s">
        <v>149</v>
      </c>
      <c r="I386" t="s">
        <v>171</v>
      </c>
      <c r="J386">
        <v>3</v>
      </c>
      <c r="K386" t="s">
        <v>151</v>
      </c>
      <c r="L386" t="s">
        <v>140</v>
      </c>
      <c r="M386">
        <v>4</v>
      </c>
      <c r="N386" t="s">
        <v>163</v>
      </c>
      <c r="O386">
        <v>38</v>
      </c>
      <c r="P386" t="s">
        <v>142</v>
      </c>
      <c r="Q386" t="s">
        <v>160</v>
      </c>
      <c r="R386">
        <v>1</v>
      </c>
      <c r="S386" t="s">
        <v>168</v>
      </c>
      <c r="T386">
        <v>1</v>
      </c>
      <c r="U386" t="s">
        <v>145</v>
      </c>
      <c r="V386" t="s">
        <v>146</v>
      </c>
      <c r="W386">
        <v>2</v>
      </c>
    </row>
    <row r="387" spans="2:23" x14ac:dyDescent="0.3">
      <c r="B387">
        <v>383</v>
      </c>
      <c r="C387" t="s">
        <v>153</v>
      </c>
      <c r="D387">
        <v>22</v>
      </c>
      <c r="E387" t="s">
        <v>148</v>
      </c>
      <c r="F387" t="s">
        <v>162</v>
      </c>
      <c r="G387">
        <v>1283</v>
      </c>
      <c r="H387" t="s">
        <v>137</v>
      </c>
      <c r="I387" t="s">
        <v>155</v>
      </c>
      <c r="J387">
        <v>4</v>
      </c>
      <c r="K387" t="s">
        <v>151</v>
      </c>
      <c r="L387" t="s">
        <v>140</v>
      </c>
      <c r="M387">
        <v>4</v>
      </c>
      <c r="N387" t="s">
        <v>159</v>
      </c>
      <c r="O387">
        <v>25</v>
      </c>
      <c r="P387" t="s">
        <v>142</v>
      </c>
      <c r="Q387" t="s">
        <v>167</v>
      </c>
      <c r="R387">
        <v>1</v>
      </c>
      <c r="S387" t="s">
        <v>144</v>
      </c>
      <c r="T387">
        <v>1</v>
      </c>
      <c r="U387" t="s">
        <v>152</v>
      </c>
      <c r="V387" t="s">
        <v>146</v>
      </c>
      <c r="W387">
        <v>1</v>
      </c>
    </row>
    <row r="388" spans="2:23" x14ac:dyDescent="0.3">
      <c r="B388">
        <v>384</v>
      </c>
      <c r="C388" t="s">
        <v>179</v>
      </c>
      <c r="D388">
        <v>12</v>
      </c>
      <c r="E388" t="s">
        <v>148</v>
      </c>
      <c r="F388" t="s">
        <v>162</v>
      </c>
      <c r="G388">
        <v>1330</v>
      </c>
      <c r="H388" t="s">
        <v>149</v>
      </c>
      <c r="I388" t="s">
        <v>173</v>
      </c>
      <c r="J388">
        <v>4</v>
      </c>
      <c r="K388" t="s">
        <v>139</v>
      </c>
      <c r="L388" t="s">
        <v>140</v>
      </c>
      <c r="M388">
        <v>1</v>
      </c>
      <c r="N388" t="s">
        <v>141</v>
      </c>
      <c r="O388">
        <v>26</v>
      </c>
      <c r="P388" t="s">
        <v>142</v>
      </c>
      <c r="Q388" t="s">
        <v>143</v>
      </c>
      <c r="R388">
        <v>1</v>
      </c>
      <c r="S388" t="s">
        <v>144</v>
      </c>
      <c r="T388">
        <v>1</v>
      </c>
      <c r="U388" t="s">
        <v>152</v>
      </c>
      <c r="V388" t="s">
        <v>146</v>
      </c>
      <c r="W388">
        <v>1</v>
      </c>
    </row>
    <row r="389" spans="2:23" x14ac:dyDescent="0.3">
      <c r="B389">
        <v>385</v>
      </c>
      <c r="C389" t="s">
        <v>153</v>
      </c>
      <c r="D389">
        <v>30</v>
      </c>
      <c r="E389" t="s">
        <v>161</v>
      </c>
      <c r="F389" t="s">
        <v>174</v>
      </c>
      <c r="G389">
        <v>4272</v>
      </c>
      <c r="H389" t="s">
        <v>175</v>
      </c>
      <c r="I389" t="s">
        <v>150</v>
      </c>
      <c r="J389">
        <v>2</v>
      </c>
      <c r="K389" t="s">
        <v>139</v>
      </c>
      <c r="L389" t="s">
        <v>140</v>
      </c>
      <c r="M389">
        <v>2</v>
      </c>
      <c r="N389" t="s">
        <v>159</v>
      </c>
      <c r="O389">
        <v>26</v>
      </c>
      <c r="P389" t="s">
        <v>142</v>
      </c>
      <c r="Q389" t="s">
        <v>143</v>
      </c>
      <c r="R389">
        <v>2</v>
      </c>
      <c r="S389" t="s">
        <v>156</v>
      </c>
      <c r="T389">
        <v>1</v>
      </c>
      <c r="U389" t="s">
        <v>152</v>
      </c>
      <c r="V389" t="s">
        <v>146</v>
      </c>
      <c r="W389">
        <v>1</v>
      </c>
    </row>
    <row r="390" spans="2:23" x14ac:dyDescent="0.3">
      <c r="B390">
        <v>386</v>
      </c>
      <c r="C390" t="s">
        <v>153</v>
      </c>
      <c r="D390">
        <v>18</v>
      </c>
      <c r="E390" t="s">
        <v>135</v>
      </c>
      <c r="F390" t="s">
        <v>136</v>
      </c>
      <c r="G390">
        <v>2238</v>
      </c>
      <c r="H390" t="s">
        <v>149</v>
      </c>
      <c r="I390" t="s">
        <v>150</v>
      </c>
      <c r="J390">
        <v>2</v>
      </c>
      <c r="K390" t="s">
        <v>151</v>
      </c>
      <c r="L390" t="s">
        <v>140</v>
      </c>
      <c r="M390">
        <v>1</v>
      </c>
      <c r="N390" t="s">
        <v>166</v>
      </c>
      <c r="O390">
        <v>25</v>
      </c>
      <c r="P390" t="s">
        <v>142</v>
      </c>
      <c r="Q390" t="s">
        <v>143</v>
      </c>
      <c r="R390">
        <v>2</v>
      </c>
      <c r="S390" t="s">
        <v>144</v>
      </c>
      <c r="T390">
        <v>1</v>
      </c>
      <c r="U390" t="s">
        <v>152</v>
      </c>
      <c r="V390" t="s">
        <v>146</v>
      </c>
      <c r="W390">
        <v>1</v>
      </c>
    </row>
    <row r="391" spans="2:23" x14ac:dyDescent="0.3">
      <c r="B391">
        <v>387</v>
      </c>
      <c r="C391" t="s">
        <v>153</v>
      </c>
      <c r="D391">
        <v>18</v>
      </c>
      <c r="E391" t="s">
        <v>148</v>
      </c>
      <c r="F391" t="s">
        <v>136</v>
      </c>
      <c r="G391">
        <v>1126</v>
      </c>
      <c r="H391" t="s">
        <v>137</v>
      </c>
      <c r="I391" t="s">
        <v>173</v>
      </c>
      <c r="J391">
        <v>4</v>
      </c>
      <c r="K391" t="s">
        <v>151</v>
      </c>
      <c r="L391" t="s">
        <v>140</v>
      </c>
      <c r="M391">
        <v>2</v>
      </c>
      <c r="N391" t="s">
        <v>141</v>
      </c>
      <c r="O391">
        <v>21</v>
      </c>
      <c r="P391" t="s">
        <v>142</v>
      </c>
      <c r="Q391" t="s">
        <v>167</v>
      </c>
      <c r="R391">
        <v>1</v>
      </c>
      <c r="S391" t="s">
        <v>144</v>
      </c>
      <c r="T391">
        <v>1</v>
      </c>
      <c r="U391" t="s">
        <v>145</v>
      </c>
      <c r="V391" t="s">
        <v>146</v>
      </c>
      <c r="W391">
        <v>1</v>
      </c>
    </row>
    <row r="392" spans="2:23" x14ac:dyDescent="0.3">
      <c r="B392">
        <v>388</v>
      </c>
      <c r="C392" t="s">
        <v>147</v>
      </c>
      <c r="D392">
        <v>18</v>
      </c>
      <c r="E392" t="s">
        <v>135</v>
      </c>
      <c r="F392" t="s">
        <v>157</v>
      </c>
      <c r="G392">
        <v>7374</v>
      </c>
      <c r="H392" t="s">
        <v>149</v>
      </c>
      <c r="I392" t="s">
        <v>171</v>
      </c>
      <c r="J392">
        <v>4</v>
      </c>
      <c r="K392" t="s">
        <v>139</v>
      </c>
      <c r="L392" t="s">
        <v>140</v>
      </c>
      <c r="M392">
        <v>4</v>
      </c>
      <c r="N392" t="s">
        <v>159</v>
      </c>
      <c r="O392">
        <v>40</v>
      </c>
      <c r="P392" t="s">
        <v>181</v>
      </c>
      <c r="Q392" t="s">
        <v>143</v>
      </c>
      <c r="R392">
        <v>2</v>
      </c>
      <c r="S392" t="s">
        <v>168</v>
      </c>
      <c r="T392">
        <v>1</v>
      </c>
      <c r="U392" t="s">
        <v>145</v>
      </c>
      <c r="V392" t="s">
        <v>146</v>
      </c>
      <c r="W392">
        <v>1</v>
      </c>
    </row>
    <row r="393" spans="2:23" x14ac:dyDescent="0.3">
      <c r="B393">
        <v>389</v>
      </c>
      <c r="C393" t="s">
        <v>147</v>
      </c>
      <c r="D393">
        <v>15</v>
      </c>
      <c r="E393" t="s">
        <v>135</v>
      </c>
      <c r="F393" t="s">
        <v>174</v>
      </c>
      <c r="G393">
        <v>2326</v>
      </c>
      <c r="H393" t="s">
        <v>164</v>
      </c>
      <c r="I393" t="s">
        <v>150</v>
      </c>
      <c r="J393">
        <v>2</v>
      </c>
      <c r="K393" t="s">
        <v>139</v>
      </c>
      <c r="L393" t="s">
        <v>140</v>
      </c>
      <c r="M393">
        <v>4</v>
      </c>
      <c r="N393" t="s">
        <v>166</v>
      </c>
      <c r="O393">
        <v>27</v>
      </c>
      <c r="P393" t="s">
        <v>177</v>
      </c>
      <c r="Q393" t="s">
        <v>143</v>
      </c>
      <c r="R393">
        <v>1</v>
      </c>
      <c r="S393" t="s">
        <v>144</v>
      </c>
      <c r="T393">
        <v>1</v>
      </c>
      <c r="U393" t="s">
        <v>152</v>
      </c>
      <c r="V393" t="s">
        <v>146</v>
      </c>
      <c r="W393">
        <v>1</v>
      </c>
    </row>
    <row r="394" spans="2:23" x14ac:dyDescent="0.3">
      <c r="B394">
        <v>390</v>
      </c>
      <c r="C394" t="s">
        <v>153</v>
      </c>
      <c r="D394">
        <v>9</v>
      </c>
      <c r="E394" t="s">
        <v>148</v>
      </c>
      <c r="F394" t="s">
        <v>174</v>
      </c>
      <c r="G394">
        <v>1449</v>
      </c>
      <c r="H394" t="s">
        <v>149</v>
      </c>
      <c r="I394" t="s">
        <v>155</v>
      </c>
      <c r="J394">
        <v>3</v>
      </c>
      <c r="K394" t="s">
        <v>151</v>
      </c>
      <c r="L394" t="s">
        <v>140</v>
      </c>
      <c r="M394">
        <v>2</v>
      </c>
      <c r="N394" t="s">
        <v>166</v>
      </c>
      <c r="O394">
        <v>27</v>
      </c>
      <c r="P394" t="s">
        <v>142</v>
      </c>
      <c r="Q394" t="s">
        <v>143</v>
      </c>
      <c r="R394">
        <v>2</v>
      </c>
      <c r="S394" t="s">
        <v>144</v>
      </c>
      <c r="T394">
        <v>1</v>
      </c>
      <c r="U394" t="s">
        <v>152</v>
      </c>
      <c r="V394" t="s">
        <v>146</v>
      </c>
      <c r="W394">
        <v>1</v>
      </c>
    </row>
    <row r="395" spans="2:23" x14ac:dyDescent="0.3">
      <c r="B395">
        <v>391</v>
      </c>
      <c r="C395" t="s">
        <v>153</v>
      </c>
      <c r="D395">
        <v>18</v>
      </c>
      <c r="E395" t="s">
        <v>148</v>
      </c>
      <c r="F395" t="s">
        <v>162</v>
      </c>
      <c r="G395">
        <v>1820</v>
      </c>
      <c r="H395" t="s">
        <v>149</v>
      </c>
      <c r="I395" t="s">
        <v>150</v>
      </c>
      <c r="J395">
        <v>2</v>
      </c>
      <c r="K395" t="s">
        <v>172</v>
      </c>
      <c r="L395" t="s">
        <v>140</v>
      </c>
      <c r="M395">
        <v>2</v>
      </c>
      <c r="N395" t="s">
        <v>159</v>
      </c>
      <c r="O395">
        <v>30</v>
      </c>
      <c r="P395" t="s">
        <v>142</v>
      </c>
      <c r="Q395" t="s">
        <v>143</v>
      </c>
      <c r="R395">
        <v>1</v>
      </c>
      <c r="S395" t="s">
        <v>168</v>
      </c>
      <c r="T395">
        <v>1</v>
      </c>
      <c r="U395" t="s">
        <v>145</v>
      </c>
      <c r="V395" t="s">
        <v>146</v>
      </c>
      <c r="W395">
        <v>1</v>
      </c>
    </row>
    <row r="396" spans="2:23" x14ac:dyDescent="0.3">
      <c r="B396">
        <v>392</v>
      </c>
      <c r="C396" t="s">
        <v>147</v>
      </c>
      <c r="D396">
        <v>12</v>
      </c>
      <c r="E396" t="s">
        <v>148</v>
      </c>
      <c r="F396" t="s">
        <v>157</v>
      </c>
      <c r="G396">
        <v>983</v>
      </c>
      <c r="H396" t="s">
        <v>169</v>
      </c>
      <c r="I396" t="s">
        <v>173</v>
      </c>
      <c r="J396">
        <v>1</v>
      </c>
      <c r="K396" t="s">
        <v>151</v>
      </c>
      <c r="L396" t="s">
        <v>140</v>
      </c>
      <c r="M396">
        <v>4</v>
      </c>
      <c r="N396" t="s">
        <v>141</v>
      </c>
      <c r="O396">
        <v>19</v>
      </c>
      <c r="P396" t="s">
        <v>142</v>
      </c>
      <c r="Q396" t="s">
        <v>167</v>
      </c>
      <c r="R396">
        <v>1</v>
      </c>
      <c r="S396" t="s">
        <v>156</v>
      </c>
      <c r="T396">
        <v>1</v>
      </c>
      <c r="U396" t="s">
        <v>152</v>
      </c>
      <c r="V396" t="s">
        <v>146</v>
      </c>
      <c r="W396">
        <v>1</v>
      </c>
    </row>
    <row r="397" spans="2:23" x14ac:dyDescent="0.3">
      <c r="B397">
        <v>393</v>
      </c>
      <c r="C397" t="s">
        <v>134</v>
      </c>
      <c r="D397">
        <v>36</v>
      </c>
      <c r="E397" t="s">
        <v>148</v>
      </c>
      <c r="F397" t="s">
        <v>162</v>
      </c>
      <c r="G397">
        <v>3249</v>
      </c>
      <c r="H397" t="s">
        <v>149</v>
      </c>
      <c r="I397" t="s">
        <v>155</v>
      </c>
      <c r="J397">
        <v>2</v>
      </c>
      <c r="K397" t="s">
        <v>139</v>
      </c>
      <c r="L397" t="s">
        <v>140</v>
      </c>
      <c r="M397">
        <v>4</v>
      </c>
      <c r="N397" t="s">
        <v>163</v>
      </c>
      <c r="O397">
        <v>39</v>
      </c>
      <c r="P397" t="s">
        <v>177</v>
      </c>
      <c r="Q397" t="s">
        <v>160</v>
      </c>
      <c r="R397">
        <v>1</v>
      </c>
      <c r="S397" t="s">
        <v>168</v>
      </c>
      <c r="T397">
        <v>2</v>
      </c>
      <c r="U397" t="s">
        <v>145</v>
      </c>
      <c r="V397" t="s">
        <v>146</v>
      </c>
      <c r="W397">
        <v>1</v>
      </c>
    </row>
    <row r="398" spans="2:23" x14ac:dyDescent="0.3">
      <c r="B398">
        <v>394</v>
      </c>
      <c r="C398" t="s">
        <v>134</v>
      </c>
      <c r="D398">
        <v>6</v>
      </c>
      <c r="E398" t="s">
        <v>135</v>
      </c>
      <c r="F398" t="s">
        <v>136</v>
      </c>
      <c r="G398">
        <v>1957</v>
      </c>
      <c r="H398" t="s">
        <v>149</v>
      </c>
      <c r="I398" t="s">
        <v>155</v>
      </c>
      <c r="J398">
        <v>1</v>
      </c>
      <c r="K398" t="s">
        <v>151</v>
      </c>
      <c r="L398" t="s">
        <v>140</v>
      </c>
      <c r="M398">
        <v>4</v>
      </c>
      <c r="N398" t="s">
        <v>166</v>
      </c>
      <c r="O398">
        <v>31</v>
      </c>
      <c r="P398" t="s">
        <v>142</v>
      </c>
      <c r="Q398" t="s">
        <v>143</v>
      </c>
      <c r="R398">
        <v>1</v>
      </c>
      <c r="S398" t="s">
        <v>144</v>
      </c>
      <c r="T398">
        <v>1</v>
      </c>
      <c r="U398" t="s">
        <v>152</v>
      </c>
      <c r="V398" t="s">
        <v>146</v>
      </c>
      <c r="W398">
        <v>1</v>
      </c>
    </row>
    <row r="399" spans="2:23" x14ac:dyDescent="0.3">
      <c r="B399">
        <v>395</v>
      </c>
      <c r="C399" t="s">
        <v>153</v>
      </c>
      <c r="D399">
        <v>9</v>
      </c>
      <c r="E399" t="s">
        <v>135</v>
      </c>
      <c r="F399" t="s">
        <v>157</v>
      </c>
      <c r="G399">
        <v>2406</v>
      </c>
      <c r="H399" t="s">
        <v>149</v>
      </c>
      <c r="I399" t="s">
        <v>171</v>
      </c>
      <c r="J399">
        <v>2</v>
      </c>
      <c r="K399" t="s">
        <v>139</v>
      </c>
      <c r="L399" t="s">
        <v>140</v>
      </c>
      <c r="M399">
        <v>3</v>
      </c>
      <c r="N399" t="s">
        <v>166</v>
      </c>
      <c r="O399">
        <v>31</v>
      </c>
      <c r="P399" t="s">
        <v>142</v>
      </c>
      <c r="Q399" t="s">
        <v>143</v>
      </c>
      <c r="R399">
        <v>1</v>
      </c>
      <c r="S399" t="s">
        <v>168</v>
      </c>
      <c r="T399">
        <v>1</v>
      </c>
      <c r="U399" t="s">
        <v>152</v>
      </c>
      <c r="V399" t="s">
        <v>146</v>
      </c>
      <c r="W399">
        <v>1</v>
      </c>
    </row>
    <row r="400" spans="2:23" x14ac:dyDescent="0.3">
      <c r="B400">
        <v>396</v>
      </c>
      <c r="C400" t="s">
        <v>147</v>
      </c>
      <c r="D400">
        <v>39</v>
      </c>
      <c r="E400" t="s">
        <v>161</v>
      </c>
      <c r="F400" t="s">
        <v>154</v>
      </c>
      <c r="G400">
        <v>11760</v>
      </c>
      <c r="H400" t="s">
        <v>175</v>
      </c>
      <c r="I400" t="s">
        <v>155</v>
      </c>
      <c r="J400">
        <v>2</v>
      </c>
      <c r="K400" t="s">
        <v>139</v>
      </c>
      <c r="L400" t="s">
        <v>140</v>
      </c>
      <c r="M400">
        <v>3</v>
      </c>
      <c r="N400" t="s">
        <v>163</v>
      </c>
      <c r="O400">
        <v>32</v>
      </c>
      <c r="P400" t="s">
        <v>142</v>
      </c>
      <c r="Q400" t="s">
        <v>167</v>
      </c>
      <c r="R400">
        <v>1</v>
      </c>
      <c r="S400" t="s">
        <v>144</v>
      </c>
      <c r="T400">
        <v>1</v>
      </c>
      <c r="U400" t="s">
        <v>145</v>
      </c>
      <c r="V400" t="s">
        <v>146</v>
      </c>
      <c r="W400">
        <v>1</v>
      </c>
    </row>
    <row r="401" spans="2:23" x14ac:dyDescent="0.3">
      <c r="B401">
        <v>397</v>
      </c>
      <c r="C401" t="s">
        <v>134</v>
      </c>
      <c r="D401">
        <v>12</v>
      </c>
      <c r="E401" t="s">
        <v>148</v>
      </c>
      <c r="F401" t="s">
        <v>157</v>
      </c>
      <c r="G401">
        <v>2578</v>
      </c>
      <c r="H401" t="s">
        <v>149</v>
      </c>
      <c r="I401" t="s">
        <v>171</v>
      </c>
      <c r="J401">
        <v>3</v>
      </c>
      <c r="K401" t="s">
        <v>151</v>
      </c>
      <c r="L401" t="s">
        <v>140</v>
      </c>
      <c r="M401">
        <v>4</v>
      </c>
      <c r="N401" t="s">
        <v>163</v>
      </c>
      <c r="O401">
        <v>55</v>
      </c>
      <c r="P401" t="s">
        <v>142</v>
      </c>
      <c r="Q401" t="s">
        <v>160</v>
      </c>
      <c r="R401">
        <v>1</v>
      </c>
      <c r="S401" t="s">
        <v>168</v>
      </c>
      <c r="T401">
        <v>1</v>
      </c>
      <c r="U401" t="s">
        <v>152</v>
      </c>
      <c r="V401" t="s">
        <v>146</v>
      </c>
      <c r="W401">
        <v>1</v>
      </c>
    </row>
    <row r="402" spans="2:23" x14ac:dyDescent="0.3">
      <c r="B402">
        <v>398</v>
      </c>
      <c r="C402" t="s">
        <v>134</v>
      </c>
      <c r="D402">
        <v>36</v>
      </c>
      <c r="E402" t="s">
        <v>135</v>
      </c>
      <c r="F402" t="s">
        <v>157</v>
      </c>
      <c r="G402">
        <v>2348</v>
      </c>
      <c r="H402" t="s">
        <v>149</v>
      </c>
      <c r="I402" t="s">
        <v>150</v>
      </c>
      <c r="J402">
        <v>3</v>
      </c>
      <c r="K402" t="s">
        <v>172</v>
      </c>
      <c r="L402" t="s">
        <v>140</v>
      </c>
      <c r="M402">
        <v>2</v>
      </c>
      <c r="N402" t="s">
        <v>159</v>
      </c>
      <c r="O402">
        <v>46</v>
      </c>
      <c r="P402" t="s">
        <v>142</v>
      </c>
      <c r="Q402" t="s">
        <v>143</v>
      </c>
      <c r="R402">
        <v>2</v>
      </c>
      <c r="S402" t="s">
        <v>144</v>
      </c>
      <c r="T402">
        <v>1</v>
      </c>
      <c r="U402" t="s">
        <v>145</v>
      </c>
      <c r="V402" t="s">
        <v>146</v>
      </c>
      <c r="W402">
        <v>1</v>
      </c>
    </row>
    <row r="403" spans="2:23" x14ac:dyDescent="0.3">
      <c r="B403">
        <v>399</v>
      </c>
      <c r="C403" t="s">
        <v>147</v>
      </c>
      <c r="D403">
        <v>12</v>
      </c>
      <c r="E403" t="s">
        <v>148</v>
      </c>
      <c r="F403" t="s">
        <v>162</v>
      </c>
      <c r="G403">
        <v>1223</v>
      </c>
      <c r="H403" t="s">
        <v>149</v>
      </c>
      <c r="I403" t="s">
        <v>138</v>
      </c>
      <c r="J403">
        <v>1</v>
      </c>
      <c r="K403" t="s">
        <v>170</v>
      </c>
      <c r="L403" t="s">
        <v>140</v>
      </c>
      <c r="M403">
        <v>1</v>
      </c>
      <c r="N403" t="s">
        <v>141</v>
      </c>
      <c r="O403">
        <v>46</v>
      </c>
      <c r="P403" t="s">
        <v>142</v>
      </c>
      <c r="Q403" t="s">
        <v>167</v>
      </c>
      <c r="R403">
        <v>2</v>
      </c>
      <c r="S403" t="s">
        <v>144</v>
      </c>
      <c r="T403">
        <v>1</v>
      </c>
      <c r="U403" t="s">
        <v>152</v>
      </c>
      <c r="V403" t="s">
        <v>146</v>
      </c>
      <c r="W403">
        <v>2</v>
      </c>
    </row>
    <row r="404" spans="2:23" x14ac:dyDescent="0.3">
      <c r="B404">
        <v>400</v>
      </c>
      <c r="C404" t="s">
        <v>153</v>
      </c>
      <c r="D404">
        <v>24</v>
      </c>
      <c r="E404" t="s">
        <v>135</v>
      </c>
      <c r="F404" t="s">
        <v>136</v>
      </c>
      <c r="G404">
        <v>1516</v>
      </c>
      <c r="H404" t="s">
        <v>169</v>
      </c>
      <c r="I404" t="s">
        <v>150</v>
      </c>
      <c r="J404">
        <v>4</v>
      </c>
      <c r="K404" t="s">
        <v>151</v>
      </c>
      <c r="L404" t="s">
        <v>140</v>
      </c>
      <c r="M404">
        <v>1</v>
      </c>
      <c r="N404" t="s">
        <v>141</v>
      </c>
      <c r="O404">
        <v>43</v>
      </c>
      <c r="P404" t="s">
        <v>142</v>
      </c>
      <c r="Q404" t="s">
        <v>143</v>
      </c>
      <c r="R404">
        <v>2</v>
      </c>
      <c r="S404" t="s">
        <v>156</v>
      </c>
      <c r="T404">
        <v>1</v>
      </c>
      <c r="U404" t="s">
        <v>152</v>
      </c>
      <c r="V404" t="s">
        <v>146</v>
      </c>
      <c r="W404">
        <v>1</v>
      </c>
    </row>
    <row r="405" spans="2:23" x14ac:dyDescent="0.3">
      <c r="B405">
        <v>401</v>
      </c>
      <c r="C405" t="s">
        <v>153</v>
      </c>
      <c r="D405">
        <v>18</v>
      </c>
      <c r="E405" t="s">
        <v>148</v>
      </c>
      <c r="F405" t="s">
        <v>136</v>
      </c>
      <c r="G405">
        <v>1473</v>
      </c>
      <c r="H405" t="s">
        <v>149</v>
      </c>
      <c r="I405" t="s">
        <v>173</v>
      </c>
      <c r="J405">
        <v>3</v>
      </c>
      <c r="K405" t="s">
        <v>172</v>
      </c>
      <c r="L405" t="s">
        <v>140</v>
      </c>
      <c r="M405">
        <v>4</v>
      </c>
      <c r="N405" t="s">
        <v>141</v>
      </c>
      <c r="O405">
        <v>39</v>
      </c>
      <c r="P405" t="s">
        <v>142</v>
      </c>
      <c r="Q405" t="s">
        <v>143</v>
      </c>
      <c r="R405">
        <v>1</v>
      </c>
      <c r="S405" t="s">
        <v>144</v>
      </c>
      <c r="T405">
        <v>1</v>
      </c>
      <c r="U405" t="s">
        <v>145</v>
      </c>
      <c r="V405" t="s">
        <v>146</v>
      </c>
      <c r="W405">
        <v>1</v>
      </c>
    </row>
    <row r="406" spans="2:23" x14ac:dyDescent="0.3">
      <c r="B406">
        <v>402</v>
      </c>
      <c r="C406" t="s">
        <v>147</v>
      </c>
      <c r="D406">
        <v>18</v>
      </c>
      <c r="E406" t="s">
        <v>135</v>
      </c>
      <c r="F406" t="s">
        <v>174</v>
      </c>
      <c r="G406">
        <v>1887</v>
      </c>
      <c r="H406" t="s">
        <v>137</v>
      </c>
      <c r="I406" t="s">
        <v>150</v>
      </c>
      <c r="J406">
        <v>4</v>
      </c>
      <c r="K406" t="s">
        <v>172</v>
      </c>
      <c r="L406" t="s">
        <v>140</v>
      </c>
      <c r="M406">
        <v>4</v>
      </c>
      <c r="N406" t="s">
        <v>141</v>
      </c>
      <c r="O406">
        <v>28</v>
      </c>
      <c r="P406" t="s">
        <v>177</v>
      </c>
      <c r="Q406" t="s">
        <v>143</v>
      </c>
      <c r="R406">
        <v>2</v>
      </c>
      <c r="S406" t="s">
        <v>144</v>
      </c>
      <c r="T406">
        <v>1</v>
      </c>
      <c r="U406" t="s">
        <v>152</v>
      </c>
      <c r="V406" t="s">
        <v>146</v>
      </c>
      <c r="W406">
        <v>1</v>
      </c>
    </row>
    <row r="407" spans="2:23" x14ac:dyDescent="0.3">
      <c r="B407">
        <v>403</v>
      </c>
      <c r="C407" t="s">
        <v>153</v>
      </c>
      <c r="D407">
        <v>24</v>
      </c>
      <c r="E407" t="s">
        <v>161</v>
      </c>
      <c r="F407" t="s">
        <v>174</v>
      </c>
      <c r="G407">
        <v>8648</v>
      </c>
      <c r="H407" t="s">
        <v>149</v>
      </c>
      <c r="I407" t="s">
        <v>173</v>
      </c>
      <c r="J407">
        <v>2</v>
      </c>
      <c r="K407" t="s">
        <v>139</v>
      </c>
      <c r="L407" t="s">
        <v>140</v>
      </c>
      <c r="M407">
        <v>2</v>
      </c>
      <c r="N407" t="s">
        <v>166</v>
      </c>
      <c r="O407">
        <v>27</v>
      </c>
      <c r="P407" t="s">
        <v>177</v>
      </c>
      <c r="Q407" t="s">
        <v>143</v>
      </c>
      <c r="R407">
        <v>2</v>
      </c>
      <c r="S407" t="s">
        <v>144</v>
      </c>
      <c r="T407">
        <v>1</v>
      </c>
      <c r="U407" t="s">
        <v>145</v>
      </c>
      <c r="V407" t="s">
        <v>146</v>
      </c>
      <c r="W407">
        <v>2</v>
      </c>
    </row>
    <row r="408" spans="2:23" x14ac:dyDescent="0.3">
      <c r="B408">
        <v>404</v>
      </c>
      <c r="C408" t="s">
        <v>153</v>
      </c>
      <c r="D408">
        <v>14</v>
      </c>
      <c r="E408" t="s">
        <v>161</v>
      </c>
      <c r="F408" t="s">
        <v>162</v>
      </c>
      <c r="G408">
        <v>802</v>
      </c>
      <c r="H408" t="s">
        <v>149</v>
      </c>
      <c r="I408" t="s">
        <v>150</v>
      </c>
      <c r="J408">
        <v>4</v>
      </c>
      <c r="K408" t="s">
        <v>139</v>
      </c>
      <c r="L408" t="s">
        <v>140</v>
      </c>
      <c r="M408">
        <v>2</v>
      </c>
      <c r="N408" t="s">
        <v>166</v>
      </c>
      <c r="O408">
        <v>27</v>
      </c>
      <c r="P408" t="s">
        <v>142</v>
      </c>
      <c r="Q408" t="s">
        <v>143</v>
      </c>
      <c r="R408">
        <v>2</v>
      </c>
      <c r="S408" t="s">
        <v>156</v>
      </c>
      <c r="T408">
        <v>1</v>
      </c>
      <c r="U408" t="s">
        <v>152</v>
      </c>
      <c r="V408" t="s">
        <v>146</v>
      </c>
      <c r="W408">
        <v>1</v>
      </c>
    </row>
    <row r="409" spans="2:23" x14ac:dyDescent="0.3">
      <c r="B409">
        <v>405</v>
      </c>
      <c r="C409" t="s">
        <v>147</v>
      </c>
      <c r="D409">
        <v>18</v>
      </c>
      <c r="E409" t="s">
        <v>161</v>
      </c>
      <c r="F409" t="s">
        <v>162</v>
      </c>
      <c r="G409">
        <v>2899</v>
      </c>
      <c r="H409" t="s">
        <v>137</v>
      </c>
      <c r="I409" t="s">
        <v>138</v>
      </c>
      <c r="J409">
        <v>4</v>
      </c>
      <c r="K409" t="s">
        <v>139</v>
      </c>
      <c r="L409" t="s">
        <v>140</v>
      </c>
      <c r="M409">
        <v>4</v>
      </c>
      <c r="N409" t="s">
        <v>166</v>
      </c>
      <c r="O409">
        <v>43</v>
      </c>
      <c r="P409" t="s">
        <v>142</v>
      </c>
      <c r="Q409" t="s">
        <v>143</v>
      </c>
      <c r="R409">
        <v>1</v>
      </c>
      <c r="S409" t="s">
        <v>144</v>
      </c>
      <c r="T409">
        <v>2</v>
      </c>
      <c r="U409" t="s">
        <v>152</v>
      </c>
      <c r="V409" t="s">
        <v>146</v>
      </c>
      <c r="W409">
        <v>1</v>
      </c>
    </row>
    <row r="410" spans="2:23" x14ac:dyDescent="0.3">
      <c r="B410">
        <v>406</v>
      </c>
      <c r="C410" t="s">
        <v>147</v>
      </c>
      <c r="D410">
        <v>24</v>
      </c>
      <c r="E410" t="s">
        <v>148</v>
      </c>
      <c r="F410" t="s">
        <v>136</v>
      </c>
      <c r="G410">
        <v>2039</v>
      </c>
      <c r="H410" t="s">
        <v>149</v>
      </c>
      <c r="I410" t="s">
        <v>173</v>
      </c>
      <c r="J410">
        <v>1</v>
      </c>
      <c r="K410" t="s">
        <v>172</v>
      </c>
      <c r="L410" t="s">
        <v>140</v>
      </c>
      <c r="M410">
        <v>1</v>
      </c>
      <c r="N410" t="s">
        <v>159</v>
      </c>
      <c r="O410">
        <v>22</v>
      </c>
      <c r="P410" t="s">
        <v>142</v>
      </c>
      <c r="Q410" t="s">
        <v>143</v>
      </c>
      <c r="R410">
        <v>1</v>
      </c>
      <c r="S410" t="s">
        <v>144</v>
      </c>
      <c r="T410">
        <v>1</v>
      </c>
      <c r="U410" t="s">
        <v>145</v>
      </c>
      <c r="V410" t="s">
        <v>146</v>
      </c>
      <c r="W410">
        <v>2</v>
      </c>
    </row>
    <row r="411" spans="2:23" x14ac:dyDescent="0.3">
      <c r="B411">
        <v>407</v>
      </c>
      <c r="C411" t="s">
        <v>153</v>
      </c>
      <c r="D411">
        <v>24</v>
      </c>
      <c r="E411" t="s">
        <v>135</v>
      </c>
      <c r="F411" t="s">
        <v>165</v>
      </c>
      <c r="G411">
        <v>2197</v>
      </c>
      <c r="H411" t="s">
        <v>137</v>
      </c>
      <c r="I411" t="s">
        <v>155</v>
      </c>
      <c r="J411">
        <v>4</v>
      </c>
      <c r="K411" t="s">
        <v>139</v>
      </c>
      <c r="L411" t="s">
        <v>140</v>
      </c>
      <c r="M411">
        <v>4</v>
      </c>
      <c r="N411" t="s">
        <v>166</v>
      </c>
      <c r="O411">
        <v>43</v>
      </c>
      <c r="P411" t="s">
        <v>142</v>
      </c>
      <c r="Q411" t="s">
        <v>143</v>
      </c>
      <c r="R411">
        <v>2</v>
      </c>
      <c r="S411" t="s">
        <v>144</v>
      </c>
      <c r="T411">
        <v>2</v>
      </c>
      <c r="U411" t="s">
        <v>145</v>
      </c>
      <c r="V411" t="s">
        <v>146</v>
      </c>
      <c r="W411">
        <v>1</v>
      </c>
    </row>
    <row r="412" spans="2:23" x14ac:dyDescent="0.3">
      <c r="B412">
        <v>408</v>
      </c>
      <c r="C412" t="s">
        <v>134</v>
      </c>
      <c r="D412">
        <v>15</v>
      </c>
      <c r="E412" t="s">
        <v>148</v>
      </c>
      <c r="F412" t="s">
        <v>136</v>
      </c>
      <c r="G412">
        <v>1053</v>
      </c>
      <c r="H412" t="s">
        <v>149</v>
      </c>
      <c r="I412" t="s">
        <v>173</v>
      </c>
      <c r="J412">
        <v>4</v>
      </c>
      <c r="K412" t="s">
        <v>172</v>
      </c>
      <c r="L412" t="s">
        <v>140</v>
      </c>
      <c r="M412">
        <v>2</v>
      </c>
      <c r="N412" t="s">
        <v>141</v>
      </c>
      <c r="O412">
        <v>27</v>
      </c>
      <c r="P412" t="s">
        <v>142</v>
      </c>
      <c r="Q412" t="s">
        <v>143</v>
      </c>
      <c r="R412">
        <v>1</v>
      </c>
      <c r="S412" t="s">
        <v>144</v>
      </c>
      <c r="T412">
        <v>1</v>
      </c>
      <c r="U412" t="s">
        <v>152</v>
      </c>
      <c r="V412" t="s">
        <v>178</v>
      </c>
      <c r="W412">
        <v>1</v>
      </c>
    </row>
    <row r="413" spans="2:23" x14ac:dyDescent="0.3">
      <c r="B413">
        <v>409</v>
      </c>
      <c r="C413" t="s">
        <v>153</v>
      </c>
      <c r="D413">
        <v>24</v>
      </c>
      <c r="E413" t="s">
        <v>148</v>
      </c>
      <c r="F413" t="s">
        <v>136</v>
      </c>
      <c r="G413">
        <v>3235</v>
      </c>
      <c r="H413" t="s">
        <v>164</v>
      </c>
      <c r="I413" t="s">
        <v>138</v>
      </c>
      <c r="J413">
        <v>3</v>
      </c>
      <c r="K413" t="s">
        <v>170</v>
      </c>
      <c r="L413" t="s">
        <v>140</v>
      </c>
      <c r="M413">
        <v>2</v>
      </c>
      <c r="N413" t="s">
        <v>166</v>
      </c>
      <c r="O413">
        <v>26</v>
      </c>
      <c r="P413" t="s">
        <v>142</v>
      </c>
      <c r="Q413" t="s">
        <v>143</v>
      </c>
      <c r="R413">
        <v>1</v>
      </c>
      <c r="S413" t="s">
        <v>168</v>
      </c>
      <c r="T413">
        <v>1</v>
      </c>
      <c r="U413" t="s">
        <v>145</v>
      </c>
      <c r="V413" t="s">
        <v>146</v>
      </c>
      <c r="W413">
        <v>1</v>
      </c>
    </row>
    <row r="414" spans="2:23" x14ac:dyDescent="0.3">
      <c r="B414">
        <v>410</v>
      </c>
      <c r="C414" t="s">
        <v>179</v>
      </c>
      <c r="D414">
        <v>12</v>
      </c>
      <c r="E414" t="s">
        <v>135</v>
      </c>
      <c r="F414" t="s">
        <v>162</v>
      </c>
      <c r="G414">
        <v>939</v>
      </c>
      <c r="H414" t="s">
        <v>164</v>
      </c>
      <c r="I414" t="s">
        <v>155</v>
      </c>
      <c r="J414">
        <v>4</v>
      </c>
      <c r="K414" t="s">
        <v>172</v>
      </c>
      <c r="L414" t="s">
        <v>140</v>
      </c>
      <c r="M414">
        <v>2</v>
      </c>
      <c r="N414" t="s">
        <v>141</v>
      </c>
      <c r="O414">
        <v>28</v>
      </c>
      <c r="P414" t="s">
        <v>142</v>
      </c>
      <c r="Q414" t="s">
        <v>143</v>
      </c>
      <c r="R414">
        <v>3</v>
      </c>
      <c r="S414" t="s">
        <v>144</v>
      </c>
      <c r="T414">
        <v>1</v>
      </c>
      <c r="U414" t="s">
        <v>145</v>
      </c>
      <c r="V414" t="s">
        <v>146</v>
      </c>
      <c r="W414">
        <v>2</v>
      </c>
    </row>
    <row r="415" spans="2:23" x14ac:dyDescent="0.3">
      <c r="B415">
        <v>411</v>
      </c>
      <c r="C415" t="s">
        <v>147</v>
      </c>
      <c r="D415">
        <v>24</v>
      </c>
      <c r="E415" t="s">
        <v>148</v>
      </c>
      <c r="F415" t="s">
        <v>136</v>
      </c>
      <c r="G415">
        <v>1967</v>
      </c>
      <c r="H415" t="s">
        <v>149</v>
      </c>
      <c r="I415" t="s">
        <v>138</v>
      </c>
      <c r="J415">
        <v>4</v>
      </c>
      <c r="K415" t="s">
        <v>151</v>
      </c>
      <c r="L415" t="s">
        <v>140</v>
      </c>
      <c r="M415">
        <v>4</v>
      </c>
      <c r="N415" t="s">
        <v>166</v>
      </c>
      <c r="O415">
        <v>20</v>
      </c>
      <c r="P415" t="s">
        <v>142</v>
      </c>
      <c r="Q415" t="s">
        <v>143</v>
      </c>
      <c r="R415">
        <v>1</v>
      </c>
      <c r="S415" t="s">
        <v>144</v>
      </c>
      <c r="T415">
        <v>1</v>
      </c>
      <c r="U415" t="s">
        <v>145</v>
      </c>
      <c r="V415" t="s">
        <v>146</v>
      </c>
      <c r="W415">
        <v>1</v>
      </c>
    </row>
    <row r="416" spans="2:23" x14ac:dyDescent="0.3">
      <c r="B416">
        <v>412</v>
      </c>
      <c r="C416" t="s">
        <v>153</v>
      </c>
      <c r="D416">
        <v>33</v>
      </c>
      <c r="E416" t="s">
        <v>135</v>
      </c>
      <c r="F416" t="s">
        <v>165</v>
      </c>
      <c r="G416">
        <v>7253</v>
      </c>
      <c r="H416" t="s">
        <v>149</v>
      </c>
      <c r="I416" t="s">
        <v>155</v>
      </c>
      <c r="J416">
        <v>3</v>
      </c>
      <c r="K416" t="s">
        <v>139</v>
      </c>
      <c r="L416" t="s">
        <v>140</v>
      </c>
      <c r="M416">
        <v>2</v>
      </c>
      <c r="N416" t="s">
        <v>166</v>
      </c>
      <c r="O416">
        <v>35</v>
      </c>
      <c r="P416" t="s">
        <v>142</v>
      </c>
      <c r="Q416" t="s">
        <v>143</v>
      </c>
      <c r="R416">
        <v>2</v>
      </c>
      <c r="S416" t="s">
        <v>168</v>
      </c>
      <c r="T416">
        <v>1</v>
      </c>
      <c r="U416" t="s">
        <v>145</v>
      </c>
      <c r="V416" t="s">
        <v>146</v>
      </c>
      <c r="W416">
        <v>1</v>
      </c>
    </row>
    <row r="417" spans="2:23" x14ac:dyDescent="0.3">
      <c r="B417">
        <v>413</v>
      </c>
      <c r="C417" t="s">
        <v>153</v>
      </c>
      <c r="D417">
        <v>12</v>
      </c>
      <c r="E417" t="s">
        <v>135</v>
      </c>
      <c r="F417" t="s">
        <v>174</v>
      </c>
      <c r="G417">
        <v>2292</v>
      </c>
      <c r="H417" t="s">
        <v>149</v>
      </c>
      <c r="I417" t="s">
        <v>171</v>
      </c>
      <c r="J417">
        <v>4</v>
      </c>
      <c r="K417" t="s">
        <v>139</v>
      </c>
      <c r="L417" t="s">
        <v>140</v>
      </c>
      <c r="M417">
        <v>2</v>
      </c>
      <c r="N417" t="s">
        <v>166</v>
      </c>
      <c r="O417">
        <v>42</v>
      </c>
      <c r="P417" t="s">
        <v>181</v>
      </c>
      <c r="Q417" t="s">
        <v>143</v>
      </c>
      <c r="R417">
        <v>2</v>
      </c>
      <c r="S417" t="s">
        <v>168</v>
      </c>
      <c r="T417">
        <v>1</v>
      </c>
      <c r="U417" t="s">
        <v>145</v>
      </c>
      <c r="V417" t="s">
        <v>146</v>
      </c>
      <c r="W417">
        <v>2</v>
      </c>
    </row>
    <row r="418" spans="2:23" x14ac:dyDescent="0.3">
      <c r="B418">
        <v>414</v>
      </c>
      <c r="C418" t="s">
        <v>153</v>
      </c>
      <c r="D418">
        <v>10</v>
      </c>
      <c r="E418" t="s">
        <v>148</v>
      </c>
      <c r="F418" t="s">
        <v>162</v>
      </c>
      <c r="G418">
        <v>1597</v>
      </c>
      <c r="H418" t="s">
        <v>164</v>
      </c>
      <c r="I418" t="s">
        <v>150</v>
      </c>
      <c r="J418">
        <v>3</v>
      </c>
      <c r="K418" t="s">
        <v>139</v>
      </c>
      <c r="L418" t="s">
        <v>140</v>
      </c>
      <c r="M418">
        <v>2</v>
      </c>
      <c r="N418" t="s">
        <v>163</v>
      </c>
      <c r="O418">
        <v>40</v>
      </c>
      <c r="P418" t="s">
        <v>142</v>
      </c>
      <c r="Q418" t="s">
        <v>167</v>
      </c>
      <c r="R418">
        <v>1</v>
      </c>
      <c r="S418" t="s">
        <v>156</v>
      </c>
      <c r="T418">
        <v>2</v>
      </c>
      <c r="U418" t="s">
        <v>152</v>
      </c>
      <c r="V418" t="s">
        <v>178</v>
      </c>
      <c r="W418">
        <v>1</v>
      </c>
    </row>
    <row r="419" spans="2:23" x14ac:dyDescent="0.3">
      <c r="B419">
        <v>415</v>
      </c>
      <c r="C419" t="s">
        <v>134</v>
      </c>
      <c r="D419">
        <v>24</v>
      </c>
      <c r="E419" t="s">
        <v>148</v>
      </c>
      <c r="F419" t="s">
        <v>162</v>
      </c>
      <c r="G419">
        <v>1381</v>
      </c>
      <c r="H419" t="s">
        <v>137</v>
      </c>
      <c r="I419" t="s">
        <v>150</v>
      </c>
      <c r="J419">
        <v>4</v>
      </c>
      <c r="K419" t="s">
        <v>151</v>
      </c>
      <c r="L419" t="s">
        <v>140</v>
      </c>
      <c r="M419">
        <v>2</v>
      </c>
      <c r="N419" t="s">
        <v>159</v>
      </c>
      <c r="O419">
        <v>35</v>
      </c>
      <c r="P419" t="s">
        <v>142</v>
      </c>
      <c r="Q419" t="s">
        <v>143</v>
      </c>
      <c r="R419">
        <v>1</v>
      </c>
      <c r="S419" t="s">
        <v>144</v>
      </c>
      <c r="T419">
        <v>1</v>
      </c>
      <c r="U419" t="s">
        <v>152</v>
      </c>
      <c r="V419" t="s">
        <v>146</v>
      </c>
      <c r="W419">
        <v>2</v>
      </c>
    </row>
    <row r="420" spans="2:23" x14ac:dyDescent="0.3">
      <c r="B420">
        <v>416</v>
      </c>
      <c r="C420" t="s">
        <v>153</v>
      </c>
      <c r="D420">
        <v>36</v>
      </c>
      <c r="E420" t="s">
        <v>135</v>
      </c>
      <c r="F420" t="s">
        <v>165</v>
      </c>
      <c r="G420">
        <v>5842</v>
      </c>
      <c r="H420" t="s">
        <v>149</v>
      </c>
      <c r="I420" t="s">
        <v>138</v>
      </c>
      <c r="J420">
        <v>2</v>
      </c>
      <c r="K420" t="s">
        <v>139</v>
      </c>
      <c r="L420" t="s">
        <v>140</v>
      </c>
      <c r="M420">
        <v>2</v>
      </c>
      <c r="N420" t="s">
        <v>159</v>
      </c>
      <c r="O420">
        <v>35</v>
      </c>
      <c r="P420" t="s">
        <v>142</v>
      </c>
      <c r="Q420" t="s">
        <v>143</v>
      </c>
      <c r="R420">
        <v>2</v>
      </c>
      <c r="S420" t="s">
        <v>144</v>
      </c>
      <c r="T420">
        <v>2</v>
      </c>
      <c r="U420" t="s">
        <v>145</v>
      </c>
      <c r="V420" t="s">
        <v>146</v>
      </c>
      <c r="W420">
        <v>1</v>
      </c>
    </row>
    <row r="421" spans="2:23" x14ac:dyDescent="0.3">
      <c r="B421">
        <v>417</v>
      </c>
      <c r="C421" t="s">
        <v>134</v>
      </c>
      <c r="D421">
        <v>12</v>
      </c>
      <c r="E421" t="s">
        <v>148</v>
      </c>
      <c r="F421" t="s">
        <v>162</v>
      </c>
      <c r="G421">
        <v>2579</v>
      </c>
      <c r="H421" t="s">
        <v>149</v>
      </c>
      <c r="I421" t="s">
        <v>173</v>
      </c>
      <c r="J421">
        <v>4</v>
      </c>
      <c r="K421" t="s">
        <v>139</v>
      </c>
      <c r="L421" t="s">
        <v>140</v>
      </c>
      <c r="M421">
        <v>1</v>
      </c>
      <c r="N421" t="s">
        <v>141</v>
      </c>
      <c r="O421">
        <v>33</v>
      </c>
      <c r="P421" t="s">
        <v>142</v>
      </c>
      <c r="Q421" t="s">
        <v>143</v>
      </c>
      <c r="R421">
        <v>1</v>
      </c>
      <c r="S421" t="s">
        <v>156</v>
      </c>
      <c r="T421">
        <v>2</v>
      </c>
      <c r="U421" t="s">
        <v>152</v>
      </c>
      <c r="V421" t="s">
        <v>146</v>
      </c>
      <c r="W421">
        <v>2</v>
      </c>
    </row>
    <row r="422" spans="2:23" x14ac:dyDescent="0.3">
      <c r="B422">
        <v>418</v>
      </c>
      <c r="C422" t="s">
        <v>134</v>
      </c>
      <c r="D422">
        <v>18</v>
      </c>
      <c r="E422" t="s">
        <v>161</v>
      </c>
      <c r="F422" t="s">
        <v>154</v>
      </c>
      <c r="G422">
        <v>8471</v>
      </c>
      <c r="H422" t="s">
        <v>137</v>
      </c>
      <c r="I422" t="s">
        <v>150</v>
      </c>
      <c r="J422">
        <v>1</v>
      </c>
      <c r="K422" t="s">
        <v>151</v>
      </c>
      <c r="L422" t="s">
        <v>140</v>
      </c>
      <c r="M422">
        <v>2</v>
      </c>
      <c r="N422" t="s">
        <v>166</v>
      </c>
      <c r="O422">
        <v>23</v>
      </c>
      <c r="P422" t="s">
        <v>142</v>
      </c>
      <c r="Q422" t="s">
        <v>167</v>
      </c>
      <c r="R422">
        <v>2</v>
      </c>
      <c r="S422" t="s">
        <v>144</v>
      </c>
      <c r="T422">
        <v>1</v>
      </c>
      <c r="U422" t="s">
        <v>145</v>
      </c>
      <c r="V422" t="s">
        <v>146</v>
      </c>
      <c r="W422">
        <v>1</v>
      </c>
    </row>
    <row r="423" spans="2:23" x14ac:dyDescent="0.3">
      <c r="B423">
        <v>419</v>
      </c>
      <c r="C423" t="s">
        <v>153</v>
      </c>
      <c r="D423">
        <v>21</v>
      </c>
      <c r="E423" t="s">
        <v>148</v>
      </c>
      <c r="F423" t="s">
        <v>162</v>
      </c>
      <c r="G423">
        <v>2782</v>
      </c>
      <c r="H423" t="s">
        <v>164</v>
      </c>
      <c r="I423" t="s">
        <v>155</v>
      </c>
      <c r="J423">
        <v>1</v>
      </c>
      <c r="K423" t="s">
        <v>151</v>
      </c>
      <c r="L423" t="s">
        <v>140</v>
      </c>
      <c r="M423">
        <v>2</v>
      </c>
      <c r="N423" t="s">
        <v>166</v>
      </c>
      <c r="O423">
        <v>31</v>
      </c>
      <c r="P423" t="s">
        <v>177</v>
      </c>
      <c r="Q423" t="s">
        <v>143</v>
      </c>
      <c r="R423">
        <v>1</v>
      </c>
      <c r="S423" t="s">
        <v>168</v>
      </c>
      <c r="T423">
        <v>1</v>
      </c>
      <c r="U423" t="s">
        <v>152</v>
      </c>
      <c r="V423" t="s">
        <v>146</v>
      </c>
      <c r="W423">
        <v>1</v>
      </c>
    </row>
    <row r="424" spans="2:23" x14ac:dyDescent="0.3">
      <c r="B424">
        <v>420</v>
      </c>
      <c r="C424" t="s">
        <v>147</v>
      </c>
      <c r="D424">
        <v>18</v>
      </c>
      <c r="E424" t="s">
        <v>148</v>
      </c>
      <c r="F424" t="s">
        <v>162</v>
      </c>
      <c r="G424">
        <v>1042</v>
      </c>
      <c r="H424" t="s">
        <v>137</v>
      </c>
      <c r="I424" t="s">
        <v>150</v>
      </c>
      <c r="J424">
        <v>4</v>
      </c>
      <c r="K424" t="s">
        <v>151</v>
      </c>
      <c r="L424" t="s">
        <v>140</v>
      </c>
      <c r="M424">
        <v>2</v>
      </c>
      <c r="N424" t="s">
        <v>159</v>
      </c>
      <c r="O424">
        <v>33</v>
      </c>
      <c r="P424" t="s">
        <v>142</v>
      </c>
      <c r="Q424" t="s">
        <v>143</v>
      </c>
      <c r="R424">
        <v>1</v>
      </c>
      <c r="S424" t="s">
        <v>144</v>
      </c>
      <c r="T424">
        <v>1</v>
      </c>
      <c r="U424" t="s">
        <v>152</v>
      </c>
      <c r="V424" t="s">
        <v>146</v>
      </c>
      <c r="W424">
        <v>2</v>
      </c>
    </row>
    <row r="425" spans="2:23" x14ac:dyDescent="0.3">
      <c r="B425">
        <v>421</v>
      </c>
      <c r="C425" t="s">
        <v>153</v>
      </c>
      <c r="D425">
        <v>15</v>
      </c>
      <c r="E425" t="s">
        <v>148</v>
      </c>
      <c r="F425" t="s">
        <v>162</v>
      </c>
      <c r="G425">
        <v>3186</v>
      </c>
      <c r="H425" t="s">
        <v>169</v>
      </c>
      <c r="I425" t="s">
        <v>155</v>
      </c>
      <c r="J425">
        <v>2</v>
      </c>
      <c r="K425" t="s">
        <v>151</v>
      </c>
      <c r="L425" t="s">
        <v>140</v>
      </c>
      <c r="M425">
        <v>3</v>
      </c>
      <c r="N425" t="s">
        <v>166</v>
      </c>
      <c r="O425">
        <v>20</v>
      </c>
      <c r="P425" t="s">
        <v>142</v>
      </c>
      <c r="Q425" t="s">
        <v>167</v>
      </c>
      <c r="R425">
        <v>1</v>
      </c>
      <c r="S425" t="s">
        <v>144</v>
      </c>
      <c r="T425">
        <v>1</v>
      </c>
      <c r="U425" t="s">
        <v>152</v>
      </c>
      <c r="V425" t="s">
        <v>146</v>
      </c>
      <c r="W425">
        <v>1</v>
      </c>
    </row>
    <row r="426" spans="2:23" x14ac:dyDescent="0.3">
      <c r="B426">
        <v>422</v>
      </c>
      <c r="C426" t="s">
        <v>147</v>
      </c>
      <c r="D426">
        <v>12</v>
      </c>
      <c r="E426" t="s">
        <v>148</v>
      </c>
      <c r="F426" t="s">
        <v>165</v>
      </c>
      <c r="G426">
        <v>2028</v>
      </c>
      <c r="H426" t="s">
        <v>137</v>
      </c>
      <c r="I426" t="s">
        <v>150</v>
      </c>
      <c r="J426">
        <v>4</v>
      </c>
      <c r="K426" t="s">
        <v>139</v>
      </c>
      <c r="L426" t="s">
        <v>140</v>
      </c>
      <c r="M426">
        <v>2</v>
      </c>
      <c r="N426" t="s">
        <v>166</v>
      </c>
      <c r="O426">
        <v>30</v>
      </c>
      <c r="P426" t="s">
        <v>142</v>
      </c>
      <c r="Q426" t="s">
        <v>143</v>
      </c>
      <c r="R426">
        <v>1</v>
      </c>
      <c r="S426" t="s">
        <v>144</v>
      </c>
      <c r="T426">
        <v>1</v>
      </c>
      <c r="U426" t="s">
        <v>152</v>
      </c>
      <c r="V426" t="s">
        <v>146</v>
      </c>
      <c r="W426">
        <v>1</v>
      </c>
    </row>
    <row r="427" spans="2:23" x14ac:dyDescent="0.3">
      <c r="B427">
        <v>423</v>
      </c>
      <c r="C427" t="s">
        <v>147</v>
      </c>
      <c r="D427">
        <v>12</v>
      </c>
      <c r="E427" t="s">
        <v>135</v>
      </c>
      <c r="F427" t="s">
        <v>162</v>
      </c>
      <c r="G427">
        <v>958</v>
      </c>
      <c r="H427" t="s">
        <v>149</v>
      </c>
      <c r="I427" t="s">
        <v>155</v>
      </c>
      <c r="J427">
        <v>2</v>
      </c>
      <c r="K427" t="s">
        <v>139</v>
      </c>
      <c r="L427" t="s">
        <v>140</v>
      </c>
      <c r="M427">
        <v>3</v>
      </c>
      <c r="N427" t="s">
        <v>141</v>
      </c>
      <c r="O427">
        <v>47</v>
      </c>
      <c r="P427" t="s">
        <v>142</v>
      </c>
      <c r="Q427" t="s">
        <v>143</v>
      </c>
      <c r="R427">
        <v>2</v>
      </c>
      <c r="S427" t="s">
        <v>156</v>
      </c>
      <c r="T427">
        <v>2</v>
      </c>
      <c r="U427" t="s">
        <v>152</v>
      </c>
      <c r="V427" t="s">
        <v>146</v>
      </c>
      <c r="W427">
        <v>1</v>
      </c>
    </row>
    <row r="428" spans="2:23" x14ac:dyDescent="0.3">
      <c r="B428">
        <v>424</v>
      </c>
      <c r="C428" t="s">
        <v>153</v>
      </c>
      <c r="D428">
        <v>21</v>
      </c>
      <c r="E428" t="s">
        <v>161</v>
      </c>
      <c r="F428" t="s">
        <v>157</v>
      </c>
      <c r="G428">
        <v>1591</v>
      </c>
      <c r="H428" t="s">
        <v>175</v>
      </c>
      <c r="I428" t="s">
        <v>155</v>
      </c>
      <c r="J428">
        <v>4</v>
      </c>
      <c r="K428" t="s">
        <v>139</v>
      </c>
      <c r="L428" t="s">
        <v>140</v>
      </c>
      <c r="M428">
        <v>3</v>
      </c>
      <c r="N428" t="s">
        <v>141</v>
      </c>
      <c r="O428">
        <v>34</v>
      </c>
      <c r="P428" t="s">
        <v>142</v>
      </c>
      <c r="Q428" t="s">
        <v>143</v>
      </c>
      <c r="R428">
        <v>2</v>
      </c>
      <c r="S428" t="s">
        <v>168</v>
      </c>
      <c r="T428">
        <v>1</v>
      </c>
      <c r="U428" t="s">
        <v>152</v>
      </c>
      <c r="V428" t="s">
        <v>146</v>
      </c>
      <c r="W428">
        <v>1</v>
      </c>
    </row>
    <row r="429" spans="2:23" x14ac:dyDescent="0.3">
      <c r="B429">
        <v>425</v>
      </c>
      <c r="C429" t="s">
        <v>147</v>
      </c>
      <c r="D429">
        <v>12</v>
      </c>
      <c r="E429" t="s">
        <v>148</v>
      </c>
      <c r="F429" t="s">
        <v>157</v>
      </c>
      <c r="G429">
        <v>2762</v>
      </c>
      <c r="H429" t="s">
        <v>137</v>
      </c>
      <c r="I429" t="s">
        <v>138</v>
      </c>
      <c r="J429">
        <v>1</v>
      </c>
      <c r="K429" t="s">
        <v>151</v>
      </c>
      <c r="L429" t="s">
        <v>140</v>
      </c>
      <c r="M429">
        <v>2</v>
      </c>
      <c r="N429" t="s">
        <v>159</v>
      </c>
      <c r="O429">
        <v>25</v>
      </c>
      <c r="P429" t="s">
        <v>177</v>
      </c>
      <c r="Q429" t="s">
        <v>143</v>
      </c>
      <c r="R429">
        <v>1</v>
      </c>
      <c r="S429" t="s">
        <v>144</v>
      </c>
      <c r="T429">
        <v>1</v>
      </c>
      <c r="U429" t="s">
        <v>145</v>
      </c>
      <c r="V429" t="s">
        <v>146</v>
      </c>
      <c r="W429">
        <v>2</v>
      </c>
    </row>
    <row r="430" spans="2:23" x14ac:dyDescent="0.3">
      <c r="B430">
        <v>426</v>
      </c>
      <c r="C430" t="s">
        <v>147</v>
      </c>
      <c r="D430">
        <v>18</v>
      </c>
      <c r="E430" t="s">
        <v>148</v>
      </c>
      <c r="F430" t="s">
        <v>165</v>
      </c>
      <c r="G430">
        <v>2779</v>
      </c>
      <c r="H430" t="s">
        <v>149</v>
      </c>
      <c r="I430" t="s">
        <v>150</v>
      </c>
      <c r="J430">
        <v>1</v>
      </c>
      <c r="K430" t="s">
        <v>172</v>
      </c>
      <c r="L430" t="s">
        <v>140</v>
      </c>
      <c r="M430">
        <v>3</v>
      </c>
      <c r="N430" t="s">
        <v>166</v>
      </c>
      <c r="O430">
        <v>21</v>
      </c>
      <c r="P430" t="s">
        <v>142</v>
      </c>
      <c r="Q430" t="s">
        <v>167</v>
      </c>
      <c r="R430">
        <v>1</v>
      </c>
      <c r="S430" t="s">
        <v>144</v>
      </c>
      <c r="T430">
        <v>1</v>
      </c>
      <c r="U430" t="s">
        <v>145</v>
      </c>
      <c r="V430" t="s">
        <v>146</v>
      </c>
      <c r="W430">
        <v>1</v>
      </c>
    </row>
    <row r="431" spans="2:23" x14ac:dyDescent="0.3">
      <c r="B431">
        <v>427</v>
      </c>
      <c r="C431" t="s">
        <v>153</v>
      </c>
      <c r="D431">
        <v>28</v>
      </c>
      <c r="E431" t="s">
        <v>135</v>
      </c>
      <c r="F431" t="s">
        <v>136</v>
      </c>
      <c r="G431">
        <v>2743</v>
      </c>
      <c r="H431" t="s">
        <v>149</v>
      </c>
      <c r="I431" t="s">
        <v>138</v>
      </c>
      <c r="J431">
        <v>4</v>
      </c>
      <c r="K431" t="s">
        <v>139</v>
      </c>
      <c r="L431" t="s">
        <v>140</v>
      </c>
      <c r="M431">
        <v>2</v>
      </c>
      <c r="N431" t="s">
        <v>166</v>
      </c>
      <c r="O431">
        <v>29</v>
      </c>
      <c r="P431" t="s">
        <v>142</v>
      </c>
      <c r="Q431" t="s">
        <v>143</v>
      </c>
      <c r="R431">
        <v>2</v>
      </c>
      <c r="S431" t="s">
        <v>144</v>
      </c>
      <c r="T431">
        <v>1</v>
      </c>
      <c r="U431" t="s">
        <v>152</v>
      </c>
      <c r="V431" t="s">
        <v>146</v>
      </c>
      <c r="W431">
        <v>1</v>
      </c>
    </row>
    <row r="432" spans="2:23" x14ac:dyDescent="0.3">
      <c r="B432">
        <v>428</v>
      </c>
      <c r="C432" t="s">
        <v>153</v>
      </c>
      <c r="D432">
        <v>18</v>
      </c>
      <c r="E432" t="s">
        <v>135</v>
      </c>
      <c r="F432" t="s">
        <v>136</v>
      </c>
      <c r="G432">
        <v>1149</v>
      </c>
      <c r="H432" t="s">
        <v>169</v>
      </c>
      <c r="I432" t="s">
        <v>150</v>
      </c>
      <c r="J432">
        <v>4</v>
      </c>
      <c r="K432" t="s">
        <v>139</v>
      </c>
      <c r="L432" t="s">
        <v>140</v>
      </c>
      <c r="M432">
        <v>3</v>
      </c>
      <c r="N432" t="s">
        <v>141</v>
      </c>
      <c r="O432">
        <v>46</v>
      </c>
      <c r="P432" t="s">
        <v>142</v>
      </c>
      <c r="Q432" t="s">
        <v>143</v>
      </c>
      <c r="R432">
        <v>2</v>
      </c>
      <c r="S432" t="s">
        <v>144</v>
      </c>
      <c r="T432">
        <v>1</v>
      </c>
      <c r="U432" t="s">
        <v>152</v>
      </c>
      <c r="V432" t="s">
        <v>146</v>
      </c>
      <c r="W432">
        <v>1</v>
      </c>
    </row>
    <row r="433" spans="2:23" x14ac:dyDescent="0.3">
      <c r="B433">
        <v>429</v>
      </c>
      <c r="C433" t="s">
        <v>153</v>
      </c>
      <c r="D433">
        <v>9</v>
      </c>
      <c r="E433" t="s">
        <v>148</v>
      </c>
      <c r="F433" t="s">
        <v>157</v>
      </c>
      <c r="G433">
        <v>1313</v>
      </c>
      <c r="H433" t="s">
        <v>149</v>
      </c>
      <c r="I433" t="s">
        <v>138</v>
      </c>
      <c r="J433">
        <v>1</v>
      </c>
      <c r="K433" t="s">
        <v>139</v>
      </c>
      <c r="L433" t="s">
        <v>140</v>
      </c>
      <c r="M433">
        <v>4</v>
      </c>
      <c r="N433" t="s">
        <v>166</v>
      </c>
      <c r="O433">
        <v>20</v>
      </c>
      <c r="P433" t="s">
        <v>142</v>
      </c>
      <c r="Q433" t="s">
        <v>143</v>
      </c>
      <c r="R433">
        <v>1</v>
      </c>
      <c r="S433" t="s">
        <v>144</v>
      </c>
      <c r="T433">
        <v>1</v>
      </c>
      <c r="U433" t="s">
        <v>152</v>
      </c>
      <c r="V433" t="s">
        <v>146</v>
      </c>
      <c r="W433">
        <v>1</v>
      </c>
    </row>
    <row r="434" spans="2:23" x14ac:dyDescent="0.3">
      <c r="B434">
        <v>430</v>
      </c>
      <c r="C434" t="s">
        <v>134</v>
      </c>
      <c r="D434">
        <v>18</v>
      </c>
      <c r="E434" t="s">
        <v>135</v>
      </c>
      <c r="F434" t="s">
        <v>184</v>
      </c>
      <c r="G434">
        <v>1190</v>
      </c>
      <c r="H434" t="s">
        <v>149</v>
      </c>
      <c r="I434" t="s">
        <v>171</v>
      </c>
      <c r="J434">
        <v>2</v>
      </c>
      <c r="K434" t="s">
        <v>151</v>
      </c>
      <c r="L434" t="s">
        <v>140</v>
      </c>
      <c r="M434">
        <v>4</v>
      </c>
      <c r="N434" t="s">
        <v>163</v>
      </c>
      <c r="O434">
        <v>55</v>
      </c>
      <c r="P434" t="s">
        <v>142</v>
      </c>
      <c r="Q434" t="s">
        <v>160</v>
      </c>
      <c r="R434">
        <v>3</v>
      </c>
      <c r="S434" t="s">
        <v>185</v>
      </c>
      <c r="T434">
        <v>2</v>
      </c>
      <c r="U434" t="s">
        <v>152</v>
      </c>
      <c r="V434" t="s">
        <v>146</v>
      </c>
      <c r="W434">
        <v>2</v>
      </c>
    </row>
    <row r="435" spans="2:23" x14ac:dyDescent="0.3">
      <c r="B435">
        <v>431</v>
      </c>
      <c r="C435" t="s">
        <v>153</v>
      </c>
      <c r="D435">
        <v>5</v>
      </c>
      <c r="E435" t="s">
        <v>148</v>
      </c>
      <c r="F435" t="s">
        <v>174</v>
      </c>
      <c r="G435">
        <v>3448</v>
      </c>
      <c r="H435" t="s">
        <v>149</v>
      </c>
      <c r="I435" t="s">
        <v>155</v>
      </c>
      <c r="J435">
        <v>1</v>
      </c>
      <c r="K435" t="s">
        <v>139</v>
      </c>
      <c r="L435" t="s">
        <v>140</v>
      </c>
      <c r="M435">
        <v>4</v>
      </c>
      <c r="N435" t="s">
        <v>141</v>
      </c>
      <c r="O435">
        <v>74</v>
      </c>
      <c r="P435" t="s">
        <v>142</v>
      </c>
      <c r="Q435" t="s">
        <v>143</v>
      </c>
      <c r="R435">
        <v>1</v>
      </c>
      <c r="S435" t="s">
        <v>156</v>
      </c>
      <c r="T435">
        <v>1</v>
      </c>
      <c r="U435" t="s">
        <v>152</v>
      </c>
      <c r="V435" t="s">
        <v>146</v>
      </c>
      <c r="W435">
        <v>1</v>
      </c>
    </row>
    <row r="436" spans="2:23" x14ac:dyDescent="0.3">
      <c r="B436">
        <v>432</v>
      </c>
      <c r="C436" t="s">
        <v>147</v>
      </c>
      <c r="D436">
        <v>24</v>
      </c>
      <c r="E436" t="s">
        <v>148</v>
      </c>
      <c r="F436" t="s">
        <v>186</v>
      </c>
      <c r="G436">
        <v>11328</v>
      </c>
      <c r="H436" t="s">
        <v>149</v>
      </c>
      <c r="I436" t="s">
        <v>150</v>
      </c>
      <c r="J436">
        <v>2</v>
      </c>
      <c r="K436" t="s">
        <v>139</v>
      </c>
      <c r="L436" t="s">
        <v>182</v>
      </c>
      <c r="M436">
        <v>3</v>
      </c>
      <c r="N436" t="s">
        <v>166</v>
      </c>
      <c r="O436">
        <v>29</v>
      </c>
      <c r="P436" t="s">
        <v>177</v>
      </c>
      <c r="Q436" t="s">
        <v>143</v>
      </c>
      <c r="R436">
        <v>2</v>
      </c>
      <c r="S436" t="s">
        <v>168</v>
      </c>
      <c r="T436">
        <v>1</v>
      </c>
      <c r="U436" t="s">
        <v>145</v>
      </c>
      <c r="V436" t="s">
        <v>146</v>
      </c>
      <c r="W436">
        <v>2</v>
      </c>
    </row>
    <row r="437" spans="2:23" x14ac:dyDescent="0.3">
      <c r="B437">
        <v>433</v>
      </c>
      <c r="C437" t="s">
        <v>134</v>
      </c>
      <c r="D437">
        <v>6</v>
      </c>
      <c r="E437" t="s">
        <v>135</v>
      </c>
      <c r="F437" t="s">
        <v>157</v>
      </c>
      <c r="G437">
        <v>1872</v>
      </c>
      <c r="H437" t="s">
        <v>149</v>
      </c>
      <c r="I437" t="s">
        <v>171</v>
      </c>
      <c r="J437">
        <v>4</v>
      </c>
      <c r="K437" t="s">
        <v>139</v>
      </c>
      <c r="L437" t="s">
        <v>140</v>
      </c>
      <c r="M437">
        <v>4</v>
      </c>
      <c r="N437" t="s">
        <v>163</v>
      </c>
      <c r="O437">
        <v>36</v>
      </c>
      <c r="P437" t="s">
        <v>142</v>
      </c>
      <c r="Q437" t="s">
        <v>160</v>
      </c>
      <c r="R437">
        <v>3</v>
      </c>
      <c r="S437" t="s">
        <v>168</v>
      </c>
      <c r="T437">
        <v>1</v>
      </c>
      <c r="U437" t="s">
        <v>145</v>
      </c>
      <c r="V437" t="s">
        <v>146</v>
      </c>
      <c r="W437">
        <v>1</v>
      </c>
    </row>
    <row r="438" spans="2:23" x14ac:dyDescent="0.3">
      <c r="B438">
        <v>434</v>
      </c>
      <c r="C438" t="s">
        <v>153</v>
      </c>
      <c r="D438">
        <v>24</v>
      </c>
      <c r="E438" t="s">
        <v>135</v>
      </c>
      <c r="F438" t="s">
        <v>184</v>
      </c>
      <c r="G438">
        <v>2058</v>
      </c>
      <c r="H438" t="s">
        <v>149</v>
      </c>
      <c r="I438" t="s">
        <v>150</v>
      </c>
      <c r="J438">
        <v>4</v>
      </c>
      <c r="K438" t="s">
        <v>170</v>
      </c>
      <c r="L438" t="s">
        <v>140</v>
      </c>
      <c r="M438">
        <v>2</v>
      </c>
      <c r="N438" t="s">
        <v>141</v>
      </c>
      <c r="O438">
        <v>33</v>
      </c>
      <c r="P438" t="s">
        <v>142</v>
      </c>
      <c r="Q438" t="s">
        <v>143</v>
      </c>
      <c r="R438">
        <v>2</v>
      </c>
      <c r="S438" t="s">
        <v>144</v>
      </c>
      <c r="T438">
        <v>1</v>
      </c>
      <c r="U438" t="s">
        <v>145</v>
      </c>
      <c r="V438" t="s">
        <v>146</v>
      </c>
      <c r="W438">
        <v>1</v>
      </c>
    </row>
    <row r="439" spans="2:23" x14ac:dyDescent="0.3">
      <c r="B439">
        <v>435</v>
      </c>
      <c r="C439" t="s">
        <v>134</v>
      </c>
      <c r="D439">
        <v>9</v>
      </c>
      <c r="E439" t="s">
        <v>148</v>
      </c>
      <c r="F439" t="s">
        <v>157</v>
      </c>
      <c r="G439">
        <v>2136</v>
      </c>
      <c r="H439" t="s">
        <v>149</v>
      </c>
      <c r="I439" t="s">
        <v>150</v>
      </c>
      <c r="J439">
        <v>3</v>
      </c>
      <c r="K439" t="s">
        <v>139</v>
      </c>
      <c r="L439" t="s">
        <v>140</v>
      </c>
      <c r="M439">
        <v>2</v>
      </c>
      <c r="N439" t="s">
        <v>141</v>
      </c>
      <c r="O439">
        <v>25</v>
      </c>
      <c r="P439" t="s">
        <v>142</v>
      </c>
      <c r="Q439" t="s">
        <v>143</v>
      </c>
      <c r="R439">
        <v>1</v>
      </c>
      <c r="S439" t="s">
        <v>144</v>
      </c>
      <c r="T439">
        <v>1</v>
      </c>
      <c r="U439" t="s">
        <v>152</v>
      </c>
      <c r="V439" t="s">
        <v>146</v>
      </c>
      <c r="W439">
        <v>1</v>
      </c>
    </row>
    <row r="440" spans="2:23" x14ac:dyDescent="0.3">
      <c r="B440">
        <v>436</v>
      </c>
      <c r="C440" t="s">
        <v>147</v>
      </c>
      <c r="D440">
        <v>12</v>
      </c>
      <c r="E440" t="s">
        <v>148</v>
      </c>
      <c r="F440" t="s">
        <v>136</v>
      </c>
      <c r="G440">
        <v>1484</v>
      </c>
      <c r="H440" t="s">
        <v>137</v>
      </c>
      <c r="I440" t="s">
        <v>150</v>
      </c>
      <c r="J440">
        <v>2</v>
      </c>
      <c r="K440" t="s">
        <v>172</v>
      </c>
      <c r="L440" t="s">
        <v>140</v>
      </c>
      <c r="M440">
        <v>1</v>
      </c>
      <c r="N440" t="s">
        <v>141</v>
      </c>
      <c r="O440">
        <v>25</v>
      </c>
      <c r="P440" t="s">
        <v>142</v>
      </c>
      <c r="Q440" t="s">
        <v>143</v>
      </c>
      <c r="R440">
        <v>1</v>
      </c>
      <c r="S440" t="s">
        <v>144</v>
      </c>
      <c r="T440">
        <v>1</v>
      </c>
      <c r="U440" t="s">
        <v>145</v>
      </c>
      <c r="V440" t="s">
        <v>146</v>
      </c>
      <c r="W440">
        <v>2</v>
      </c>
    </row>
    <row r="441" spans="2:23" x14ac:dyDescent="0.3">
      <c r="B441">
        <v>437</v>
      </c>
      <c r="C441" t="s">
        <v>153</v>
      </c>
      <c r="D441">
        <v>6</v>
      </c>
      <c r="E441" t="s">
        <v>148</v>
      </c>
      <c r="F441" t="s">
        <v>184</v>
      </c>
      <c r="G441">
        <v>660</v>
      </c>
      <c r="H441" t="s">
        <v>164</v>
      </c>
      <c r="I441" t="s">
        <v>155</v>
      </c>
      <c r="J441">
        <v>2</v>
      </c>
      <c r="K441" t="s">
        <v>172</v>
      </c>
      <c r="L441" t="s">
        <v>140</v>
      </c>
      <c r="M441">
        <v>4</v>
      </c>
      <c r="N441" t="s">
        <v>141</v>
      </c>
      <c r="O441">
        <v>23</v>
      </c>
      <c r="P441" t="s">
        <v>142</v>
      </c>
      <c r="Q441" t="s">
        <v>167</v>
      </c>
      <c r="R441">
        <v>1</v>
      </c>
      <c r="S441" t="s">
        <v>156</v>
      </c>
      <c r="T441">
        <v>1</v>
      </c>
      <c r="U441" t="s">
        <v>152</v>
      </c>
      <c r="V441" t="s">
        <v>146</v>
      </c>
      <c r="W441">
        <v>1</v>
      </c>
    </row>
    <row r="442" spans="2:23" x14ac:dyDescent="0.3">
      <c r="B442">
        <v>438</v>
      </c>
      <c r="C442" t="s">
        <v>153</v>
      </c>
      <c r="D442">
        <v>24</v>
      </c>
      <c r="E442" t="s">
        <v>135</v>
      </c>
      <c r="F442" t="s">
        <v>162</v>
      </c>
      <c r="G442">
        <v>1287</v>
      </c>
      <c r="H442" t="s">
        <v>169</v>
      </c>
      <c r="I442" t="s">
        <v>138</v>
      </c>
      <c r="J442">
        <v>4</v>
      </c>
      <c r="K442" t="s">
        <v>151</v>
      </c>
      <c r="L442" t="s">
        <v>140</v>
      </c>
      <c r="M442">
        <v>4</v>
      </c>
      <c r="N442" t="s">
        <v>141</v>
      </c>
      <c r="O442">
        <v>37</v>
      </c>
      <c r="P442" t="s">
        <v>142</v>
      </c>
      <c r="Q442" t="s">
        <v>143</v>
      </c>
      <c r="R442">
        <v>2</v>
      </c>
      <c r="S442" t="s">
        <v>144</v>
      </c>
      <c r="T442">
        <v>1</v>
      </c>
      <c r="U442" t="s">
        <v>145</v>
      </c>
      <c r="V442" t="s">
        <v>146</v>
      </c>
      <c r="W442">
        <v>1</v>
      </c>
    </row>
    <row r="443" spans="2:23" x14ac:dyDescent="0.3">
      <c r="B443">
        <v>439</v>
      </c>
      <c r="C443" t="s">
        <v>134</v>
      </c>
      <c r="D443">
        <v>42</v>
      </c>
      <c r="E443" t="s">
        <v>135</v>
      </c>
      <c r="F443" t="s">
        <v>184</v>
      </c>
      <c r="G443">
        <v>3394</v>
      </c>
      <c r="H443" t="s">
        <v>149</v>
      </c>
      <c r="I443" t="s">
        <v>171</v>
      </c>
      <c r="J443">
        <v>4</v>
      </c>
      <c r="K443" t="s">
        <v>139</v>
      </c>
      <c r="L443" t="s">
        <v>182</v>
      </c>
      <c r="M443">
        <v>4</v>
      </c>
      <c r="N443" t="s">
        <v>166</v>
      </c>
      <c r="O443">
        <v>65</v>
      </c>
      <c r="P443" t="s">
        <v>142</v>
      </c>
      <c r="Q443" t="s">
        <v>143</v>
      </c>
      <c r="R443">
        <v>2</v>
      </c>
      <c r="S443" t="s">
        <v>185</v>
      </c>
      <c r="T443">
        <v>1</v>
      </c>
      <c r="U443" t="s">
        <v>152</v>
      </c>
      <c r="V443" t="s">
        <v>146</v>
      </c>
      <c r="W443">
        <v>1</v>
      </c>
    </row>
    <row r="444" spans="2:23" x14ac:dyDescent="0.3">
      <c r="B444">
        <v>440</v>
      </c>
      <c r="C444" t="s">
        <v>179</v>
      </c>
      <c r="D444">
        <v>12</v>
      </c>
      <c r="E444" t="s">
        <v>180</v>
      </c>
      <c r="F444" t="s">
        <v>174</v>
      </c>
      <c r="G444">
        <v>609</v>
      </c>
      <c r="H444" t="s">
        <v>149</v>
      </c>
      <c r="I444" t="s">
        <v>173</v>
      </c>
      <c r="J444">
        <v>4</v>
      </c>
      <c r="K444" t="s">
        <v>151</v>
      </c>
      <c r="L444" t="s">
        <v>140</v>
      </c>
      <c r="M444">
        <v>1</v>
      </c>
      <c r="N444" t="s">
        <v>141</v>
      </c>
      <c r="O444">
        <v>26</v>
      </c>
      <c r="P444" t="s">
        <v>142</v>
      </c>
      <c r="Q444" t="s">
        <v>143</v>
      </c>
      <c r="R444">
        <v>1</v>
      </c>
      <c r="S444" t="s">
        <v>185</v>
      </c>
      <c r="T444">
        <v>1</v>
      </c>
      <c r="U444" t="s">
        <v>152</v>
      </c>
      <c r="V444" t="s">
        <v>146</v>
      </c>
      <c r="W444">
        <v>2</v>
      </c>
    </row>
    <row r="445" spans="2:23" x14ac:dyDescent="0.3">
      <c r="B445">
        <v>441</v>
      </c>
      <c r="C445" t="s">
        <v>153</v>
      </c>
      <c r="D445">
        <v>12</v>
      </c>
      <c r="E445" t="s">
        <v>148</v>
      </c>
      <c r="F445" t="s">
        <v>162</v>
      </c>
      <c r="G445">
        <v>1884</v>
      </c>
      <c r="H445" t="s">
        <v>149</v>
      </c>
      <c r="I445" t="s">
        <v>138</v>
      </c>
      <c r="J445">
        <v>4</v>
      </c>
      <c r="K445" t="s">
        <v>139</v>
      </c>
      <c r="L445" t="s">
        <v>140</v>
      </c>
      <c r="M445">
        <v>4</v>
      </c>
      <c r="N445" t="s">
        <v>166</v>
      </c>
      <c r="O445">
        <v>39</v>
      </c>
      <c r="P445" t="s">
        <v>142</v>
      </c>
      <c r="Q445" t="s">
        <v>143</v>
      </c>
      <c r="R445">
        <v>1</v>
      </c>
      <c r="S445" t="s">
        <v>168</v>
      </c>
      <c r="T445">
        <v>1</v>
      </c>
      <c r="U445" t="s">
        <v>145</v>
      </c>
      <c r="V445" t="s">
        <v>146</v>
      </c>
      <c r="W445">
        <v>1</v>
      </c>
    </row>
    <row r="446" spans="2:23" x14ac:dyDescent="0.3">
      <c r="B446">
        <v>442</v>
      </c>
      <c r="C446" t="s">
        <v>134</v>
      </c>
      <c r="D446">
        <v>12</v>
      </c>
      <c r="E446" t="s">
        <v>148</v>
      </c>
      <c r="F446" t="s">
        <v>157</v>
      </c>
      <c r="G446">
        <v>1620</v>
      </c>
      <c r="H446" t="s">
        <v>149</v>
      </c>
      <c r="I446" t="s">
        <v>150</v>
      </c>
      <c r="J446">
        <v>2</v>
      </c>
      <c r="K446" t="s">
        <v>151</v>
      </c>
      <c r="L446" t="s">
        <v>182</v>
      </c>
      <c r="M446">
        <v>3</v>
      </c>
      <c r="N446" t="s">
        <v>159</v>
      </c>
      <c r="O446">
        <v>30</v>
      </c>
      <c r="P446" t="s">
        <v>142</v>
      </c>
      <c r="Q446" t="s">
        <v>143</v>
      </c>
      <c r="R446">
        <v>1</v>
      </c>
      <c r="S446" t="s">
        <v>144</v>
      </c>
      <c r="T446">
        <v>1</v>
      </c>
      <c r="U446" t="s">
        <v>152</v>
      </c>
      <c r="V446" t="s">
        <v>146</v>
      </c>
      <c r="W446">
        <v>1</v>
      </c>
    </row>
    <row r="447" spans="2:23" x14ac:dyDescent="0.3">
      <c r="B447">
        <v>443</v>
      </c>
      <c r="C447" t="s">
        <v>147</v>
      </c>
      <c r="D447">
        <v>20</v>
      </c>
      <c r="E447" t="s">
        <v>161</v>
      </c>
      <c r="F447" t="s">
        <v>186</v>
      </c>
      <c r="G447">
        <v>2629</v>
      </c>
      <c r="H447" t="s">
        <v>149</v>
      </c>
      <c r="I447" t="s">
        <v>150</v>
      </c>
      <c r="J447">
        <v>2</v>
      </c>
      <c r="K447" t="s">
        <v>139</v>
      </c>
      <c r="L447" t="s">
        <v>140</v>
      </c>
      <c r="M447">
        <v>3</v>
      </c>
      <c r="N447" t="s">
        <v>166</v>
      </c>
      <c r="O447">
        <v>29</v>
      </c>
      <c r="P447" t="s">
        <v>177</v>
      </c>
      <c r="Q447" t="s">
        <v>143</v>
      </c>
      <c r="R447">
        <v>2</v>
      </c>
      <c r="S447" t="s">
        <v>144</v>
      </c>
      <c r="T447">
        <v>1</v>
      </c>
      <c r="U447" t="s">
        <v>145</v>
      </c>
      <c r="V447" t="s">
        <v>146</v>
      </c>
      <c r="W447">
        <v>1</v>
      </c>
    </row>
    <row r="448" spans="2:23" x14ac:dyDescent="0.3">
      <c r="B448">
        <v>444</v>
      </c>
      <c r="C448" t="s">
        <v>153</v>
      </c>
      <c r="D448">
        <v>12</v>
      </c>
      <c r="E448" t="s">
        <v>148</v>
      </c>
      <c r="F448" t="s">
        <v>154</v>
      </c>
      <c r="G448">
        <v>719</v>
      </c>
      <c r="H448" t="s">
        <v>149</v>
      </c>
      <c r="I448" t="s">
        <v>138</v>
      </c>
      <c r="J448">
        <v>4</v>
      </c>
      <c r="K448" t="s">
        <v>139</v>
      </c>
      <c r="L448" t="s">
        <v>140</v>
      </c>
      <c r="M448">
        <v>4</v>
      </c>
      <c r="N448" t="s">
        <v>166</v>
      </c>
      <c r="O448">
        <v>41</v>
      </c>
      <c r="P448" t="s">
        <v>177</v>
      </c>
      <c r="Q448" t="s">
        <v>143</v>
      </c>
      <c r="R448">
        <v>1</v>
      </c>
      <c r="S448" t="s">
        <v>156</v>
      </c>
      <c r="T448">
        <v>2</v>
      </c>
      <c r="U448" t="s">
        <v>152</v>
      </c>
      <c r="V448" t="s">
        <v>146</v>
      </c>
      <c r="W448">
        <v>2</v>
      </c>
    </row>
    <row r="449" spans="2:23" x14ac:dyDescent="0.3">
      <c r="B449">
        <v>445</v>
      </c>
      <c r="C449" t="s">
        <v>147</v>
      </c>
      <c r="D449">
        <v>48</v>
      </c>
      <c r="E449" t="s">
        <v>135</v>
      </c>
      <c r="F449" t="s">
        <v>157</v>
      </c>
      <c r="G449">
        <v>5096</v>
      </c>
      <c r="H449" t="s">
        <v>149</v>
      </c>
      <c r="I449" t="s">
        <v>150</v>
      </c>
      <c r="J449">
        <v>2</v>
      </c>
      <c r="K449" t="s">
        <v>151</v>
      </c>
      <c r="L449" t="s">
        <v>140</v>
      </c>
      <c r="M449">
        <v>3</v>
      </c>
      <c r="N449" t="s">
        <v>166</v>
      </c>
      <c r="O449">
        <v>30</v>
      </c>
      <c r="P449" t="s">
        <v>142</v>
      </c>
      <c r="Q449" t="s">
        <v>143</v>
      </c>
      <c r="R449">
        <v>1</v>
      </c>
      <c r="S449" t="s">
        <v>168</v>
      </c>
      <c r="T449">
        <v>1</v>
      </c>
      <c r="U449" t="s">
        <v>145</v>
      </c>
      <c r="V449" t="s">
        <v>146</v>
      </c>
      <c r="W449">
        <v>2</v>
      </c>
    </row>
    <row r="450" spans="2:23" x14ac:dyDescent="0.3">
      <c r="B450">
        <v>446</v>
      </c>
      <c r="C450" t="s">
        <v>153</v>
      </c>
      <c r="D450">
        <v>9</v>
      </c>
      <c r="E450" t="s">
        <v>135</v>
      </c>
      <c r="F450" t="s">
        <v>154</v>
      </c>
      <c r="G450">
        <v>1244</v>
      </c>
      <c r="H450" t="s">
        <v>137</v>
      </c>
      <c r="I450" t="s">
        <v>138</v>
      </c>
      <c r="J450">
        <v>4</v>
      </c>
      <c r="K450" t="s">
        <v>151</v>
      </c>
      <c r="L450" t="s">
        <v>140</v>
      </c>
      <c r="M450">
        <v>4</v>
      </c>
      <c r="N450" t="s">
        <v>159</v>
      </c>
      <c r="O450">
        <v>41</v>
      </c>
      <c r="P450" t="s">
        <v>142</v>
      </c>
      <c r="Q450" t="s">
        <v>167</v>
      </c>
      <c r="R450">
        <v>2</v>
      </c>
      <c r="S450" t="s">
        <v>156</v>
      </c>
      <c r="T450">
        <v>1</v>
      </c>
      <c r="U450" t="s">
        <v>152</v>
      </c>
      <c r="V450" t="s">
        <v>146</v>
      </c>
      <c r="W450">
        <v>1</v>
      </c>
    </row>
    <row r="451" spans="2:23" x14ac:dyDescent="0.3">
      <c r="B451">
        <v>447</v>
      </c>
      <c r="C451" t="s">
        <v>134</v>
      </c>
      <c r="D451">
        <v>36</v>
      </c>
      <c r="E451" t="s">
        <v>148</v>
      </c>
      <c r="F451" t="s">
        <v>162</v>
      </c>
      <c r="G451">
        <v>1842</v>
      </c>
      <c r="H451" t="s">
        <v>149</v>
      </c>
      <c r="I451" t="s">
        <v>173</v>
      </c>
      <c r="J451">
        <v>4</v>
      </c>
      <c r="K451" t="s">
        <v>151</v>
      </c>
      <c r="L451" t="s">
        <v>140</v>
      </c>
      <c r="M451">
        <v>4</v>
      </c>
      <c r="N451" t="s">
        <v>166</v>
      </c>
      <c r="O451">
        <v>34</v>
      </c>
      <c r="P451" t="s">
        <v>142</v>
      </c>
      <c r="Q451" t="s">
        <v>143</v>
      </c>
      <c r="R451">
        <v>1</v>
      </c>
      <c r="S451" t="s">
        <v>144</v>
      </c>
      <c r="T451">
        <v>1</v>
      </c>
      <c r="U451" t="s">
        <v>145</v>
      </c>
      <c r="V451" t="s">
        <v>146</v>
      </c>
      <c r="W451">
        <v>2</v>
      </c>
    </row>
    <row r="452" spans="2:23" x14ac:dyDescent="0.3">
      <c r="B452">
        <v>448</v>
      </c>
      <c r="C452" t="s">
        <v>147</v>
      </c>
      <c r="D452">
        <v>7</v>
      </c>
      <c r="E452" t="s">
        <v>148</v>
      </c>
      <c r="F452" t="s">
        <v>136</v>
      </c>
      <c r="G452">
        <v>2576</v>
      </c>
      <c r="H452" t="s">
        <v>149</v>
      </c>
      <c r="I452" t="s">
        <v>150</v>
      </c>
      <c r="J452">
        <v>2</v>
      </c>
      <c r="K452" t="s">
        <v>139</v>
      </c>
      <c r="L452" t="s">
        <v>158</v>
      </c>
      <c r="M452">
        <v>2</v>
      </c>
      <c r="N452" t="s">
        <v>141</v>
      </c>
      <c r="O452">
        <v>35</v>
      </c>
      <c r="P452" t="s">
        <v>142</v>
      </c>
      <c r="Q452" t="s">
        <v>143</v>
      </c>
      <c r="R452">
        <v>1</v>
      </c>
      <c r="S452" t="s">
        <v>144</v>
      </c>
      <c r="T452">
        <v>1</v>
      </c>
      <c r="U452" t="s">
        <v>152</v>
      </c>
      <c r="V452" t="s">
        <v>146</v>
      </c>
      <c r="W452">
        <v>1</v>
      </c>
    </row>
    <row r="453" spans="2:23" x14ac:dyDescent="0.3">
      <c r="B453">
        <v>449</v>
      </c>
      <c r="C453" t="s">
        <v>179</v>
      </c>
      <c r="D453">
        <v>12</v>
      </c>
      <c r="E453" t="s">
        <v>148</v>
      </c>
      <c r="F453" t="s">
        <v>157</v>
      </c>
      <c r="G453">
        <v>1424</v>
      </c>
      <c r="H453" t="s">
        <v>137</v>
      </c>
      <c r="I453" t="s">
        <v>138</v>
      </c>
      <c r="J453">
        <v>3</v>
      </c>
      <c r="K453" t="s">
        <v>151</v>
      </c>
      <c r="L453" t="s">
        <v>140</v>
      </c>
      <c r="M453">
        <v>4</v>
      </c>
      <c r="N453" t="s">
        <v>141</v>
      </c>
      <c r="O453">
        <v>55</v>
      </c>
      <c r="P453" t="s">
        <v>142</v>
      </c>
      <c r="Q453" t="s">
        <v>143</v>
      </c>
      <c r="R453">
        <v>1</v>
      </c>
      <c r="S453" t="s">
        <v>168</v>
      </c>
      <c r="T453">
        <v>1</v>
      </c>
      <c r="U453" t="s">
        <v>145</v>
      </c>
      <c r="V453" t="s">
        <v>146</v>
      </c>
      <c r="W453">
        <v>1</v>
      </c>
    </row>
    <row r="454" spans="2:23" x14ac:dyDescent="0.3">
      <c r="B454">
        <v>450</v>
      </c>
      <c r="C454" t="s">
        <v>147</v>
      </c>
      <c r="D454">
        <v>15</v>
      </c>
      <c r="E454" t="s">
        <v>161</v>
      </c>
      <c r="F454" t="s">
        <v>184</v>
      </c>
      <c r="G454">
        <v>1512</v>
      </c>
      <c r="H454" t="s">
        <v>169</v>
      </c>
      <c r="I454" t="s">
        <v>150</v>
      </c>
      <c r="J454">
        <v>3</v>
      </c>
      <c r="K454" t="s">
        <v>172</v>
      </c>
      <c r="L454" t="s">
        <v>140</v>
      </c>
      <c r="M454">
        <v>3</v>
      </c>
      <c r="N454" t="s">
        <v>159</v>
      </c>
      <c r="O454">
        <v>61</v>
      </c>
      <c r="P454" t="s">
        <v>181</v>
      </c>
      <c r="Q454" t="s">
        <v>143</v>
      </c>
      <c r="R454">
        <v>2</v>
      </c>
      <c r="S454" t="s">
        <v>144</v>
      </c>
      <c r="T454">
        <v>1</v>
      </c>
      <c r="U454" t="s">
        <v>152</v>
      </c>
      <c r="V454" t="s">
        <v>146</v>
      </c>
      <c r="W454">
        <v>2</v>
      </c>
    </row>
    <row r="455" spans="2:23" x14ac:dyDescent="0.3">
      <c r="B455">
        <v>451</v>
      </c>
      <c r="C455" t="s">
        <v>153</v>
      </c>
      <c r="D455">
        <v>36</v>
      </c>
      <c r="E455" t="s">
        <v>135</v>
      </c>
      <c r="F455" t="s">
        <v>165</v>
      </c>
      <c r="G455">
        <v>11054</v>
      </c>
      <c r="H455" t="s">
        <v>137</v>
      </c>
      <c r="I455" t="s">
        <v>150</v>
      </c>
      <c r="J455">
        <v>4</v>
      </c>
      <c r="K455" t="s">
        <v>139</v>
      </c>
      <c r="L455" t="s">
        <v>140</v>
      </c>
      <c r="M455">
        <v>2</v>
      </c>
      <c r="N455" t="s">
        <v>166</v>
      </c>
      <c r="O455">
        <v>30</v>
      </c>
      <c r="P455" t="s">
        <v>142</v>
      </c>
      <c r="Q455" t="s">
        <v>143</v>
      </c>
      <c r="R455">
        <v>1</v>
      </c>
      <c r="S455" t="s">
        <v>168</v>
      </c>
      <c r="T455">
        <v>1</v>
      </c>
      <c r="U455" t="s">
        <v>145</v>
      </c>
      <c r="V455" t="s">
        <v>146</v>
      </c>
      <c r="W455">
        <v>1</v>
      </c>
    </row>
    <row r="456" spans="2:23" x14ac:dyDescent="0.3">
      <c r="B456">
        <v>452</v>
      </c>
      <c r="C456" t="s">
        <v>153</v>
      </c>
      <c r="D456">
        <v>6</v>
      </c>
      <c r="E456" t="s">
        <v>148</v>
      </c>
      <c r="F456" t="s">
        <v>136</v>
      </c>
      <c r="G456">
        <v>518</v>
      </c>
      <c r="H456" t="s">
        <v>149</v>
      </c>
      <c r="I456" t="s">
        <v>150</v>
      </c>
      <c r="J456">
        <v>3</v>
      </c>
      <c r="K456" t="s">
        <v>151</v>
      </c>
      <c r="L456" t="s">
        <v>140</v>
      </c>
      <c r="M456">
        <v>1</v>
      </c>
      <c r="N456" t="s">
        <v>141</v>
      </c>
      <c r="O456">
        <v>29</v>
      </c>
      <c r="P456" t="s">
        <v>142</v>
      </c>
      <c r="Q456" t="s">
        <v>143</v>
      </c>
      <c r="R456">
        <v>1</v>
      </c>
      <c r="S456" t="s">
        <v>144</v>
      </c>
      <c r="T456">
        <v>1</v>
      </c>
      <c r="U456" t="s">
        <v>152</v>
      </c>
      <c r="V456" t="s">
        <v>146</v>
      </c>
      <c r="W456">
        <v>1</v>
      </c>
    </row>
    <row r="457" spans="2:23" x14ac:dyDescent="0.3">
      <c r="B457">
        <v>453</v>
      </c>
      <c r="C457" t="s">
        <v>153</v>
      </c>
      <c r="D457">
        <v>12</v>
      </c>
      <c r="E457" t="s">
        <v>176</v>
      </c>
      <c r="F457" t="s">
        <v>157</v>
      </c>
      <c r="G457">
        <v>2759</v>
      </c>
      <c r="H457" t="s">
        <v>149</v>
      </c>
      <c r="I457" t="s">
        <v>138</v>
      </c>
      <c r="J457">
        <v>2</v>
      </c>
      <c r="K457" t="s">
        <v>139</v>
      </c>
      <c r="L457" t="s">
        <v>140</v>
      </c>
      <c r="M457">
        <v>4</v>
      </c>
      <c r="N457" t="s">
        <v>159</v>
      </c>
      <c r="O457">
        <v>34</v>
      </c>
      <c r="P457" t="s">
        <v>142</v>
      </c>
      <c r="Q457" t="s">
        <v>143</v>
      </c>
      <c r="R457">
        <v>2</v>
      </c>
      <c r="S457" t="s">
        <v>144</v>
      </c>
      <c r="T457">
        <v>1</v>
      </c>
      <c r="U457" t="s">
        <v>152</v>
      </c>
      <c r="V457" t="s">
        <v>146</v>
      </c>
      <c r="W457">
        <v>1</v>
      </c>
    </row>
    <row r="458" spans="2:23" x14ac:dyDescent="0.3">
      <c r="B458">
        <v>454</v>
      </c>
      <c r="C458" t="s">
        <v>153</v>
      </c>
      <c r="D458">
        <v>24</v>
      </c>
      <c r="E458" t="s">
        <v>148</v>
      </c>
      <c r="F458" t="s">
        <v>165</v>
      </c>
      <c r="G458">
        <v>2670</v>
      </c>
      <c r="H458" t="s">
        <v>149</v>
      </c>
      <c r="I458" t="s">
        <v>138</v>
      </c>
      <c r="J458">
        <v>4</v>
      </c>
      <c r="K458" t="s">
        <v>139</v>
      </c>
      <c r="L458" t="s">
        <v>140</v>
      </c>
      <c r="M458">
        <v>4</v>
      </c>
      <c r="N458" t="s">
        <v>166</v>
      </c>
      <c r="O458">
        <v>35</v>
      </c>
      <c r="P458" t="s">
        <v>142</v>
      </c>
      <c r="Q458" t="s">
        <v>143</v>
      </c>
      <c r="R458">
        <v>1</v>
      </c>
      <c r="S458" t="s">
        <v>168</v>
      </c>
      <c r="T458">
        <v>1</v>
      </c>
      <c r="U458" t="s">
        <v>145</v>
      </c>
      <c r="V458" t="s">
        <v>146</v>
      </c>
      <c r="W458">
        <v>1</v>
      </c>
    </row>
    <row r="459" spans="2:23" x14ac:dyDescent="0.3">
      <c r="B459">
        <v>455</v>
      </c>
      <c r="C459" t="s">
        <v>134</v>
      </c>
      <c r="D459">
        <v>24</v>
      </c>
      <c r="E459" t="s">
        <v>148</v>
      </c>
      <c r="F459" t="s">
        <v>162</v>
      </c>
      <c r="G459">
        <v>4817</v>
      </c>
      <c r="H459" t="s">
        <v>149</v>
      </c>
      <c r="I459" t="s">
        <v>155</v>
      </c>
      <c r="J459">
        <v>2</v>
      </c>
      <c r="K459" t="s">
        <v>139</v>
      </c>
      <c r="L459" t="s">
        <v>182</v>
      </c>
      <c r="M459">
        <v>3</v>
      </c>
      <c r="N459" t="s">
        <v>159</v>
      </c>
      <c r="O459">
        <v>31</v>
      </c>
      <c r="P459" t="s">
        <v>142</v>
      </c>
      <c r="Q459" t="s">
        <v>143</v>
      </c>
      <c r="R459">
        <v>1</v>
      </c>
      <c r="S459" t="s">
        <v>144</v>
      </c>
      <c r="T459">
        <v>1</v>
      </c>
      <c r="U459" t="s">
        <v>145</v>
      </c>
      <c r="V459" t="s">
        <v>146</v>
      </c>
      <c r="W459">
        <v>2</v>
      </c>
    </row>
    <row r="460" spans="2:23" x14ac:dyDescent="0.3">
      <c r="B460">
        <v>456</v>
      </c>
      <c r="C460" t="s">
        <v>153</v>
      </c>
      <c r="D460">
        <v>24</v>
      </c>
      <c r="E460" t="s">
        <v>148</v>
      </c>
      <c r="F460" t="s">
        <v>165</v>
      </c>
      <c r="G460">
        <v>2679</v>
      </c>
      <c r="H460" t="s">
        <v>149</v>
      </c>
      <c r="I460" t="s">
        <v>173</v>
      </c>
      <c r="J460">
        <v>4</v>
      </c>
      <c r="K460" t="s">
        <v>151</v>
      </c>
      <c r="L460" t="s">
        <v>140</v>
      </c>
      <c r="M460">
        <v>1</v>
      </c>
      <c r="N460" t="s">
        <v>163</v>
      </c>
      <c r="O460">
        <v>29</v>
      </c>
      <c r="P460" t="s">
        <v>142</v>
      </c>
      <c r="Q460" t="s">
        <v>143</v>
      </c>
      <c r="R460">
        <v>1</v>
      </c>
      <c r="S460" t="s">
        <v>168</v>
      </c>
      <c r="T460">
        <v>1</v>
      </c>
      <c r="U460" t="s">
        <v>145</v>
      </c>
      <c r="V460" t="s">
        <v>146</v>
      </c>
      <c r="W460">
        <v>1</v>
      </c>
    </row>
    <row r="461" spans="2:23" x14ac:dyDescent="0.3">
      <c r="B461">
        <v>457</v>
      </c>
      <c r="C461" t="s">
        <v>134</v>
      </c>
      <c r="D461">
        <v>11</v>
      </c>
      <c r="E461" t="s">
        <v>135</v>
      </c>
      <c r="F461" t="s">
        <v>162</v>
      </c>
      <c r="G461">
        <v>3905</v>
      </c>
      <c r="H461" t="s">
        <v>149</v>
      </c>
      <c r="I461" t="s">
        <v>150</v>
      </c>
      <c r="J461">
        <v>2</v>
      </c>
      <c r="K461" t="s">
        <v>139</v>
      </c>
      <c r="L461" t="s">
        <v>140</v>
      </c>
      <c r="M461">
        <v>2</v>
      </c>
      <c r="N461" t="s">
        <v>141</v>
      </c>
      <c r="O461">
        <v>36</v>
      </c>
      <c r="P461" t="s">
        <v>142</v>
      </c>
      <c r="Q461" t="s">
        <v>167</v>
      </c>
      <c r="R461">
        <v>2</v>
      </c>
      <c r="S461" t="s">
        <v>144</v>
      </c>
      <c r="T461">
        <v>2</v>
      </c>
      <c r="U461" t="s">
        <v>152</v>
      </c>
      <c r="V461" t="s">
        <v>146</v>
      </c>
      <c r="W461">
        <v>1</v>
      </c>
    </row>
    <row r="462" spans="2:23" x14ac:dyDescent="0.3">
      <c r="B462">
        <v>458</v>
      </c>
      <c r="C462" t="s">
        <v>134</v>
      </c>
      <c r="D462">
        <v>12</v>
      </c>
      <c r="E462" t="s">
        <v>148</v>
      </c>
      <c r="F462" t="s">
        <v>165</v>
      </c>
      <c r="G462">
        <v>3386</v>
      </c>
      <c r="H462" t="s">
        <v>149</v>
      </c>
      <c r="I462" t="s">
        <v>138</v>
      </c>
      <c r="J462">
        <v>3</v>
      </c>
      <c r="K462" t="s">
        <v>139</v>
      </c>
      <c r="L462" t="s">
        <v>140</v>
      </c>
      <c r="M462">
        <v>4</v>
      </c>
      <c r="N462" t="s">
        <v>163</v>
      </c>
      <c r="O462">
        <v>35</v>
      </c>
      <c r="P462" t="s">
        <v>142</v>
      </c>
      <c r="Q462" t="s">
        <v>160</v>
      </c>
      <c r="R462">
        <v>1</v>
      </c>
      <c r="S462" t="s">
        <v>144</v>
      </c>
      <c r="T462">
        <v>1</v>
      </c>
      <c r="U462" t="s">
        <v>145</v>
      </c>
      <c r="V462" t="s">
        <v>146</v>
      </c>
      <c r="W462">
        <v>2</v>
      </c>
    </row>
    <row r="463" spans="2:23" x14ac:dyDescent="0.3">
      <c r="B463">
        <v>459</v>
      </c>
      <c r="C463" t="s">
        <v>134</v>
      </c>
      <c r="D463">
        <v>6</v>
      </c>
      <c r="E463" t="s">
        <v>148</v>
      </c>
      <c r="F463" t="s">
        <v>183</v>
      </c>
      <c r="G463">
        <v>343</v>
      </c>
      <c r="H463" t="s">
        <v>149</v>
      </c>
      <c r="I463" t="s">
        <v>173</v>
      </c>
      <c r="J463">
        <v>4</v>
      </c>
      <c r="K463" t="s">
        <v>151</v>
      </c>
      <c r="L463" t="s">
        <v>140</v>
      </c>
      <c r="M463">
        <v>1</v>
      </c>
      <c r="N463" t="s">
        <v>141</v>
      </c>
      <c r="O463">
        <v>27</v>
      </c>
      <c r="P463" t="s">
        <v>142</v>
      </c>
      <c r="Q463" t="s">
        <v>143</v>
      </c>
      <c r="R463">
        <v>1</v>
      </c>
      <c r="S463" t="s">
        <v>144</v>
      </c>
      <c r="T463">
        <v>1</v>
      </c>
      <c r="U463" t="s">
        <v>152</v>
      </c>
      <c r="V463" t="s">
        <v>146</v>
      </c>
      <c r="W463">
        <v>1</v>
      </c>
    </row>
    <row r="464" spans="2:23" x14ac:dyDescent="0.3">
      <c r="B464">
        <v>460</v>
      </c>
      <c r="C464" t="s">
        <v>153</v>
      </c>
      <c r="D464">
        <v>18</v>
      </c>
      <c r="E464" t="s">
        <v>148</v>
      </c>
      <c r="F464" t="s">
        <v>136</v>
      </c>
      <c r="G464">
        <v>4594</v>
      </c>
      <c r="H464" t="s">
        <v>149</v>
      </c>
      <c r="I464" t="s">
        <v>173</v>
      </c>
      <c r="J464">
        <v>3</v>
      </c>
      <c r="K464" t="s">
        <v>139</v>
      </c>
      <c r="L464" t="s">
        <v>140</v>
      </c>
      <c r="M464">
        <v>2</v>
      </c>
      <c r="N464" t="s">
        <v>166</v>
      </c>
      <c r="O464">
        <v>32</v>
      </c>
      <c r="P464" t="s">
        <v>142</v>
      </c>
      <c r="Q464" t="s">
        <v>143</v>
      </c>
      <c r="R464">
        <v>1</v>
      </c>
      <c r="S464" t="s">
        <v>144</v>
      </c>
      <c r="T464">
        <v>1</v>
      </c>
      <c r="U464" t="s">
        <v>145</v>
      </c>
      <c r="V464" t="s">
        <v>146</v>
      </c>
      <c r="W464">
        <v>1</v>
      </c>
    </row>
    <row r="465" spans="2:23" x14ac:dyDescent="0.3">
      <c r="B465">
        <v>461</v>
      </c>
      <c r="C465" t="s">
        <v>134</v>
      </c>
      <c r="D465">
        <v>36</v>
      </c>
      <c r="E465" t="s">
        <v>148</v>
      </c>
      <c r="F465" t="s">
        <v>157</v>
      </c>
      <c r="G465">
        <v>3620</v>
      </c>
      <c r="H465" t="s">
        <v>149</v>
      </c>
      <c r="I465" t="s">
        <v>150</v>
      </c>
      <c r="J465">
        <v>1</v>
      </c>
      <c r="K465" t="s">
        <v>139</v>
      </c>
      <c r="L465" t="s">
        <v>158</v>
      </c>
      <c r="M465">
        <v>2</v>
      </c>
      <c r="N465" t="s">
        <v>159</v>
      </c>
      <c r="O465">
        <v>37</v>
      </c>
      <c r="P465" t="s">
        <v>142</v>
      </c>
      <c r="Q465" t="s">
        <v>143</v>
      </c>
      <c r="R465">
        <v>1</v>
      </c>
      <c r="S465" t="s">
        <v>144</v>
      </c>
      <c r="T465">
        <v>2</v>
      </c>
      <c r="U465" t="s">
        <v>152</v>
      </c>
      <c r="V465" t="s">
        <v>146</v>
      </c>
      <c r="W465">
        <v>1</v>
      </c>
    </row>
    <row r="466" spans="2:23" x14ac:dyDescent="0.3">
      <c r="B466">
        <v>462</v>
      </c>
      <c r="C466" t="s">
        <v>134</v>
      </c>
      <c r="D466">
        <v>15</v>
      </c>
      <c r="E466" t="s">
        <v>148</v>
      </c>
      <c r="F466" t="s">
        <v>162</v>
      </c>
      <c r="G466">
        <v>1721</v>
      </c>
      <c r="H466" t="s">
        <v>149</v>
      </c>
      <c r="I466" t="s">
        <v>173</v>
      </c>
      <c r="J466">
        <v>2</v>
      </c>
      <c r="K466" t="s">
        <v>139</v>
      </c>
      <c r="L466" t="s">
        <v>140</v>
      </c>
      <c r="M466">
        <v>3</v>
      </c>
      <c r="N466" t="s">
        <v>141</v>
      </c>
      <c r="O466">
        <v>36</v>
      </c>
      <c r="P466" t="s">
        <v>142</v>
      </c>
      <c r="Q466" t="s">
        <v>143</v>
      </c>
      <c r="R466">
        <v>1</v>
      </c>
      <c r="S466" t="s">
        <v>144</v>
      </c>
      <c r="T466">
        <v>1</v>
      </c>
      <c r="U466" t="s">
        <v>152</v>
      </c>
      <c r="V466" t="s">
        <v>146</v>
      </c>
      <c r="W466">
        <v>1</v>
      </c>
    </row>
    <row r="467" spans="2:23" x14ac:dyDescent="0.3">
      <c r="B467">
        <v>463</v>
      </c>
      <c r="C467" t="s">
        <v>147</v>
      </c>
      <c r="D467">
        <v>12</v>
      </c>
      <c r="E467" t="s">
        <v>148</v>
      </c>
      <c r="F467" t="s">
        <v>157</v>
      </c>
      <c r="G467">
        <v>3017</v>
      </c>
      <c r="H467" t="s">
        <v>149</v>
      </c>
      <c r="I467" t="s">
        <v>173</v>
      </c>
      <c r="J467">
        <v>3</v>
      </c>
      <c r="K467" t="s">
        <v>151</v>
      </c>
      <c r="L467" t="s">
        <v>140</v>
      </c>
      <c r="M467">
        <v>1</v>
      </c>
      <c r="N467" t="s">
        <v>141</v>
      </c>
      <c r="O467">
        <v>34</v>
      </c>
      <c r="P467" t="s">
        <v>142</v>
      </c>
      <c r="Q467" t="s">
        <v>167</v>
      </c>
      <c r="R467">
        <v>1</v>
      </c>
      <c r="S467" t="s">
        <v>168</v>
      </c>
      <c r="T467">
        <v>1</v>
      </c>
      <c r="U467" t="s">
        <v>152</v>
      </c>
      <c r="V467" t="s">
        <v>146</v>
      </c>
      <c r="W467">
        <v>1</v>
      </c>
    </row>
    <row r="468" spans="2:23" x14ac:dyDescent="0.3">
      <c r="B468">
        <v>464</v>
      </c>
      <c r="C468" t="s">
        <v>147</v>
      </c>
      <c r="D468">
        <v>12</v>
      </c>
      <c r="E468" t="s">
        <v>148</v>
      </c>
      <c r="F468" t="s">
        <v>187</v>
      </c>
      <c r="G468">
        <v>754</v>
      </c>
      <c r="H468" t="s">
        <v>137</v>
      </c>
      <c r="I468" t="s">
        <v>138</v>
      </c>
      <c r="J468">
        <v>4</v>
      </c>
      <c r="K468" t="s">
        <v>139</v>
      </c>
      <c r="L468" t="s">
        <v>140</v>
      </c>
      <c r="M468">
        <v>4</v>
      </c>
      <c r="N468" t="s">
        <v>159</v>
      </c>
      <c r="O468">
        <v>38</v>
      </c>
      <c r="P468" t="s">
        <v>142</v>
      </c>
      <c r="Q468" t="s">
        <v>143</v>
      </c>
      <c r="R468">
        <v>2</v>
      </c>
      <c r="S468" t="s">
        <v>144</v>
      </c>
      <c r="T468">
        <v>1</v>
      </c>
      <c r="U468" t="s">
        <v>152</v>
      </c>
      <c r="V468" t="s">
        <v>146</v>
      </c>
      <c r="W468">
        <v>1</v>
      </c>
    </row>
    <row r="469" spans="2:23" x14ac:dyDescent="0.3">
      <c r="B469">
        <v>465</v>
      </c>
      <c r="C469" t="s">
        <v>153</v>
      </c>
      <c r="D469">
        <v>18</v>
      </c>
      <c r="E469" t="s">
        <v>148</v>
      </c>
      <c r="F469" t="s">
        <v>174</v>
      </c>
      <c r="G469">
        <v>1950</v>
      </c>
      <c r="H469" t="s">
        <v>149</v>
      </c>
      <c r="I469" t="s">
        <v>155</v>
      </c>
      <c r="J469">
        <v>4</v>
      </c>
      <c r="K469" t="s">
        <v>139</v>
      </c>
      <c r="L469" t="s">
        <v>140</v>
      </c>
      <c r="M469">
        <v>1</v>
      </c>
      <c r="N469" t="s">
        <v>166</v>
      </c>
      <c r="O469">
        <v>34</v>
      </c>
      <c r="P469" t="s">
        <v>181</v>
      </c>
      <c r="Q469" t="s">
        <v>143</v>
      </c>
      <c r="R469">
        <v>2</v>
      </c>
      <c r="S469" t="s">
        <v>144</v>
      </c>
      <c r="T469">
        <v>1</v>
      </c>
      <c r="U469" t="s">
        <v>145</v>
      </c>
      <c r="V469" t="s">
        <v>146</v>
      </c>
      <c r="W469">
        <v>1</v>
      </c>
    </row>
    <row r="470" spans="2:23" x14ac:dyDescent="0.3">
      <c r="B470">
        <v>466</v>
      </c>
      <c r="C470" t="s">
        <v>134</v>
      </c>
      <c r="D470">
        <v>24</v>
      </c>
      <c r="E470" t="s">
        <v>148</v>
      </c>
      <c r="F470" t="s">
        <v>165</v>
      </c>
      <c r="G470">
        <v>2924</v>
      </c>
      <c r="H470" t="s">
        <v>149</v>
      </c>
      <c r="I470" t="s">
        <v>150</v>
      </c>
      <c r="J470">
        <v>3</v>
      </c>
      <c r="K470" t="s">
        <v>139</v>
      </c>
      <c r="L470" t="s">
        <v>158</v>
      </c>
      <c r="M470">
        <v>4</v>
      </c>
      <c r="N470" t="s">
        <v>163</v>
      </c>
      <c r="O470">
        <v>63</v>
      </c>
      <c r="P470" t="s">
        <v>177</v>
      </c>
      <c r="Q470" t="s">
        <v>143</v>
      </c>
      <c r="R470">
        <v>1</v>
      </c>
      <c r="S470" t="s">
        <v>144</v>
      </c>
      <c r="T470">
        <v>2</v>
      </c>
      <c r="U470" t="s">
        <v>145</v>
      </c>
      <c r="V470" t="s">
        <v>146</v>
      </c>
      <c r="W470">
        <v>1</v>
      </c>
    </row>
    <row r="471" spans="2:23" x14ac:dyDescent="0.3">
      <c r="B471">
        <v>467</v>
      </c>
      <c r="C471" t="s">
        <v>134</v>
      </c>
      <c r="D471">
        <v>24</v>
      </c>
      <c r="E471" t="s">
        <v>161</v>
      </c>
      <c r="F471" t="s">
        <v>136</v>
      </c>
      <c r="G471">
        <v>1659</v>
      </c>
      <c r="H471" t="s">
        <v>149</v>
      </c>
      <c r="I471" t="s">
        <v>173</v>
      </c>
      <c r="J471">
        <v>4</v>
      </c>
      <c r="K471" t="s">
        <v>151</v>
      </c>
      <c r="L471" t="s">
        <v>140</v>
      </c>
      <c r="M471">
        <v>2</v>
      </c>
      <c r="N471" t="s">
        <v>166</v>
      </c>
      <c r="O471">
        <v>29</v>
      </c>
      <c r="P471" t="s">
        <v>142</v>
      </c>
      <c r="Q471" t="s">
        <v>167</v>
      </c>
      <c r="R471">
        <v>1</v>
      </c>
      <c r="S471" t="s">
        <v>156</v>
      </c>
      <c r="T471">
        <v>1</v>
      </c>
      <c r="U471" t="s">
        <v>145</v>
      </c>
      <c r="V471" t="s">
        <v>146</v>
      </c>
      <c r="W471">
        <v>2</v>
      </c>
    </row>
    <row r="472" spans="2:23" x14ac:dyDescent="0.3">
      <c r="B472">
        <v>468</v>
      </c>
      <c r="C472" t="s">
        <v>153</v>
      </c>
      <c r="D472">
        <v>48</v>
      </c>
      <c r="E472" t="s">
        <v>161</v>
      </c>
      <c r="F472" t="s">
        <v>136</v>
      </c>
      <c r="G472">
        <v>7238</v>
      </c>
      <c r="H472" t="s">
        <v>137</v>
      </c>
      <c r="I472" t="s">
        <v>138</v>
      </c>
      <c r="J472">
        <v>3</v>
      </c>
      <c r="K472" t="s">
        <v>139</v>
      </c>
      <c r="L472" t="s">
        <v>140</v>
      </c>
      <c r="M472">
        <v>3</v>
      </c>
      <c r="N472" t="s">
        <v>166</v>
      </c>
      <c r="O472">
        <v>32</v>
      </c>
      <c r="P472" t="s">
        <v>177</v>
      </c>
      <c r="Q472" t="s">
        <v>143</v>
      </c>
      <c r="R472">
        <v>2</v>
      </c>
      <c r="S472" t="s">
        <v>144</v>
      </c>
      <c r="T472">
        <v>2</v>
      </c>
      <c r="U472" t="s">
        <v>152</v>
      </c>
      <c r="V472" t="s">
        <v>146</v>
      </c>
      <c r="W472">
        <v>1</v>
      </c>
    </row>
    <row r="473" spans="2:23" x14ac:dyDescent="0.3">
      <c r="B473">
        <v>469</v>
      </c>
      <c r="C473" t="s">
        <v>153</v>
      </c>
      <c r="D473">
        <v>33</v>
      </c>
      <c r="E473" t="s">
        <v>161</v>
      </c>
      <c r="F473" t="s">
        <v>174</v>
      </c>
      <c r="G473">
        <v>2764</v>
      </c>
      <c r="H473" t="s">
        <v>149</v>
      </c>
      <c r="I473" t="s">
        <v>150</v>
      </c>
      <c r="J473">
        <v>2</v>
      </c>
      <c r="K473" t="s">
        <v>151</v>
      </c>
      <c r="L473" t="s">
        <v>140</v>
      </c>
      <c r="M473">
        <v>2</v>
      </c>
      <c r="N473" t="s">
        <v>166</v>
      </c>
      <c r="O473">
        <v>26</v>
      </c>
      <c r="P473" t="s">
        <v>142</v>
      </c>
      <c r="Q473" t="s">
        <v>143</v>
      </c>
      <c r="R473">
        <v>2</v>
      </c>
      <c r="S473" t="s">
        <v>144</v>
      </c>
      <c r="T473">
        <v>1</v>
      </c>
      <c r="U473" t="s">
        <v>145</v>
      </c>
      <c r="V473" t="s">
        <v>146</v>
      </c>
      <c r="W473">
        <v>1</v>
      </c>
    </row>
    <row r="474" spans="2:23" x14ac:dyDescent="0.3">
      <c r="B474">
        <v>470</v>
      </c>
      <c r="C474" t="s">
        <v>153</v>
      </c>
      <c r="D474">
        <v>24</v>
      </c>
      <c r="E474" t="s">
        <v>161</v>
      </c>
      <c r="F474" t="s">
        <v>165</v>
      </c>
      <c r="G474">
        <v>4679</v>
      </c>
      <c r="H474" t="s">
        <v>149</v>
      </c>
      <c r="I474" t="s">
        <v>155</v>
      </c>
      <c r="J474">
        <v>3</v>
      </c>
      <c r="K474" t="s">
        <v>139</v>
      </c>
      <c r="L474" t="s">
        <v>140</v>
      </c>
      <c r="M474">
        <v>3</v>
      </c>
      <c r="N474" t="s">
        <v>166</v>
      </c>
      <c r="O474">
        <v>35</v>
      </c>
      <c r="P474" t="s">
        <v>142</v>
      </c>
      <c r="Q474" t="s">
        <v>143</v>
      </c>
      <c r="R474">
        <v>2</v>
      </c>
      <c r="S474" t="s">
        <v>156</v>
      </c>
      <c r="T474">
        <v>1</v>
      </c>
      <c r="U474" t="s">
        <v>145</v>
      </c>
      <c r="V474" t="s">
        <v>146</v>
      </c>
      <c r="W474">
        <v>1</v>
      </c>
    </row>
    <row r="475" spans="2:23" x14ac:dyDescent="0.3">
      <c r="B475">
        <v>471</v>
      </c>
      <c r="C475" t="s">
        <v>147</v>
      </c>
      <c r="D475">
        <v>24</v>
      </c>
      <c r="E475" t="s">
        <v>148</v>
      </c>
      <c r="F475" t="s">
        <v>136</v>
      </c>
      <c r="G475">
        <v>3092</v>
      </c>
      <c r="H475" t="s">
        <v>175</v>
      </c>
      <c r="I475" t="s">
        <v>173</v>
      </c>
      <c r="J475">
        <v>3</v>
      </c>
      <c r="K475" t="s">
        <v>172</v>
      </c>
      <c r="L475" t="s">
        <v>140</v>
      </c>
      <c r="M475">
        <v>2</v>
      </c>
      <c r="N475" t="s">
        <v>166</v>
      </c>
      <c r="O475">
        <v>22</v>
      </c>
      <c r="P475" t="s">
        <v>142</v>
      </c>
      <c r="Q475" t="s">
        <v>167</v>
      </c>
      <c r="R475">
        <v>1</v>
      </c>
      <c r="S475" t="s">
        <v>144</v>
      </c>
      <c r="T475">
        <v>1</v>
      </c>
      <c r="U475" t="s">
        <v>145</v>
      </c>
      <c r="V475" t="s">
        <v>146</v>
      </c>
      <c r="W475">
        <v>2</v>
      </c>
    </row>
    <row r="476" spans="2:23" x14ac:dyDescent="0.3">
      <c r="B476">
        <v>472</v>
      </c>
      <c r="C476" t="s">
        <v>134</v>
      </c>
      <c r="D476">
        <v>6</v>
      </c>
      <c r="E476" t="s">
        <v>148</v>
      </c>
      <c r="F476" t="s">
        <v>154</v>
      </c>
      <c r="G476">
        <v>448</v>
      </c>
      <c r="H476" t="s">
        <v>149</v>
      </c>
      <c r="I476" t="s">
        <v>173</v>
      </c>
      <c r="J476">
        <v>4</v>
      </c>
      <c r="K476" t="s">
        <v>151</v>
      </c>
      <c r="L476" t="s">
        <v>140</v>
      </c>
      <c r="M476">
        <v>4</v>
      </c>
      <c r="N476" t="s">
        <v>159</v>
      </c>
      <c r="O476">
        <v>23</v>
      </c>
      <c r="P476" t="s">
        <v>142</v>
      </c>
      <c r="Q476" t="s">
        <v>143</v>
      </c>
      <c r="R476">
        <v>1</v>
      </c>
      <c r="S476" t="s">
        <v>144</v>
      </c>
      <c r="T476">
        <v>1</v>
      </c>
      <c r="U476" t="s">
        <v>152</v>
      </c>
      <c r="V476" t="s">
        <v>146</v>
      </c>
      <c r="W476">
        <v>2</v>
      </c>
    </row>
    <row r="477" spans="2:23" x14ac:dyDescent="0.3">
      <c r="B477">
        <v>473</v>
      </c>
      <c r="C477" t="s">
        <v>134</v>
      </c>
      <c r="D477">
        <v>9</v>
      </c>
      <c r="E477" t="s">
        <v>148</v>
      </c>
      <c r="F477" t="s">
        <v>162</v>
      </c>
      <c r="G477">
        <v>654</v>
      </c>
      <c r="H477" t="s">
        <v>149</v>
      </c>
      <c r="I477" t="s">
        <v>150</v>
      </c>
      <c r="J477">
        <v>4</v>
      </c>
      <c r="K477" t="s">
        <v>139</v>
      </c>
      <c r="L477" t="s">
        <v>140</v>
      </c>
      <c r="M477">
        <v>3</v>
      </c>
      <c r="N477" t="s">
        <v>166</v>
      </c>
      <c r="O477">
        <v>28</v>
      </c>
      <c r="P477" t="s">
        <v>142</v>
      </c>
      <c r="Q477" t="s">
        <v>143</v>
      </c>
      <c r="R477">
        <v>1</v>
      </c>
      <c r="S477" t="s">
        <v>156</v>
      </c>
      <c r="T477">
        <v>1</v>
      </c>
      <c r="U477" t="s">
        <v>152</v>
      </c>
      <c r="V477" t="s">
        <v>146</v>
      </c>
      <c r="W477">
        <v>2</v>
      </c>
    </row>
    <row r="478" spans="2:23" x14ac:dyDescent="0.3">
      <c r="B478">
        <v>474</v>
      </c>
      <c r="C478" t="s">
        <v>153</v>
      </c>
      <c r="D478">
        <v>6</v>
      </c>
      <c r="E478" t="s">
        <v>148</v>
      </c>
      <c r="F478" t="s">
        <v>187</v>
      </c>
      <c r="G478">
        <v>1238</v>
      </c>
      <c r="H478" t="s">
        <v>137</v>
      </c>
      <c r="I478" t="s">
        <v>171</v>
      </c>
      <c r="J478">
        <v>4</v>
      </c>
      <c r="K478" t="s">
        <v>139</v>
      </c>
      <c r="L478" t="s">
        <v>140</v>
      </c>
      <c r="M478">
        <v>4</v>
      </c>
      <c r="N478" t="s">
        <v>159</v>
      </c>
      <c r="O478">
        <v>36</v>
      </c>
      <c r="P478" t="s">
        <v>142</v>
      </c>
      <c r="Q478" t="s">
        <v>143</v>
      </c>
      <c r="R478">
        <v>1</v>
      </c>
      <c r="S478" t="s">
        <v>168</v>
      </c>
      <c r="T478">
        <v>2</v>
      </c>
      <c r="U478" t="s">
        <v>145</v>
      </c>
      <c r="V478" t="s">
        <v>146</v>
      </c>
      <c r="W478">
        <v>1</v>
      </c>
    </row>
    <row r="479" spans="2:23" x14ac:dyDescent="0.3">
      <c r="B479">
        <v>475</v>
      </c>
      <c r="C479" t="s">
        <v>147</v>
      </c>
      <c r="D479">
        <v>18</v>
      </c>
      <c r="E479" t="s">
        <v>135</v>
      </c>
      <c r="F479" t="s">
        <v>136</v>
      </c>
      <c r="G479">
        <v>1245</v>
      </c>
      <c r="H479" t="s">
        <v>149</v>
      </c>
      <c r="I479" t="s">
        <v>150</v>
      </c>
      <c r="J479">
        <v>4</v>
      </c>
      <c r="K479" t="s">
        <v>172</v>
      </c>
      <c r="L479" t="s">
        <v>140</v>
      </c>
      <c r="M479">
        <v>2</v>
      </c>
      <c r="N479" t="s">
        <v>166</v>
      </c>
      <c r="O479">
        <v>33</v>
      </c>
      <c r="P479" t="s">
        <v>142</v>
      </c>
      <c r="Q479" t="s">
        <v>143</v>
      </c>
      <c r="R479">
        <v>1</v>
      </c>
      <c r="S479" t="s">
        <v>144</v>
      </c>
      <c r="T479">
        <v>1</v>
      </c>
      <c r="U479" t="s">
        <v>152</v>
      </c>
      <c r="V479" t="s">
        <v>146</v>
      </c>
      <c r="W479">
        <v>2</v>
      </c>
    </row>
    <row r="480" spans="2:23" x14ac:dyDescent="0.3">
      <c r="B480">
        <v>476</v>
      </c>
      <c r="C480" t="s">
        <v>134</v>
      </c>
      <c r="D480">
        <v>18</v>
      </c>
      <c r="E480" t="s">
        <v>176</v>
      </c>
      <c r="F480" t="s">
        <v>157</v>
      </c>
      <c r="G480">
        <v>3114</v>
      </c>
      <c r="H480" t="s">
        <v>149</v>
      </c>
      <c r="I480" t="s">
        <v>173</v>
      </c>
      <c r="J480">
        <v>1</v>
      </c>
      <c r="K480" t="s">
        <v>151</v>
      </c>
      <c r="L480" t="s">
        <v>140</v>
      </c>
      <c r="M480">
        <v>4</v>
      </c>
      <c r="N480" t="s">
        <v>159</v>
      </c>
      <c r="O480">
        <v>26</v>
      </c>
      <c r="P480" t="s">
        <v>142</v>
      </c>
      <c r="Q480" t="s">
        <v>167</v>
      </c>
      <c r="R480">
        <v>1</v>
      </c>
      <c r="S480" t="s">
        <v>144</v>
      </c>
      <c r="T480">
        <v>1</v>
      </c>
      <c r="U480" t="s">
        <v>152</v>
      </c>
      <c r="V480" t="s">
        <v>146</v>
      </c>
      <c r="W480">
        <v>2</v>
      </c>
    </row>
    <row r="481" spans="2:23" x14ac:dyDescent="0.3">
      <c r="B481">
        <v>477</v>
      </c>
      <c r="C481" t="s">
        <v>153</v>
      </c>
      <c r="D481">
        <v>39</v>
      </c>
      <c r="E481" t="s">
        <v>148</v>
      </c>
      <c r="F481" t="s">
        <v>165</v>
      </c>
      <c r="G481">
        <v>2569</v>
      </c>
      <c r="H481" t="s">
        <v>164</v>
      </c>
      <c r="I481" t="s">
        <v>150</v>
      </c>
      <c r="J481">
        <v>4</v>
      </c>
      <c r="K481" t="s">
        <v>139</v>
      </c>
      <c r="L481" t="s">
        <v>140</v>
      </c>
      <c r="M481">
        <v>4</v>
      </c>
      <c r="N481" t="s">
        <v>166</v>
      </c>
      <c r="O481">
        <v>24</v>
      </c>
      <c r="P481" t="s">
        <v>142</v>
      </c>
      <c r="Q481" t="s">
        <v>143</v>
      </c>
      <c r="R481">
        <v>1</v>
      </c>
      <c r="S481" t="s">
        <v>144</v>
      </c>
      <c r="T481">
        <v>1</v>
      </c>
      <c r="U481" t="s">
        <v>152</v>
      </c>
      <c r="V481" t="s">
        <v>146</v>
      </c>
      <c r="W481">
        <v>1</v>
      </c>
    </row>
    <row r="482" spans="2:23" x14ac:dyDescent="0.3">
      <c r="B482">
        <v>478</v>
      </c>
      <c r="C482" t="s">
        <v>179</v>
      </c>
      <c r="D482">
        <v>24</v>
      </c>
      <c r="E482" t="s">
        <v>148</v>
      </c>
      <c r="F482" t="s">
        <v>136</v>
      </c>
      <c r="G482">
        <v>5152</v>
      </c>
      <c r="H482" t="s">
        <v>149</v>
      </c>
      <c r="I482" t="s">
        <v>155</v>
      </c>
      <c r="J482">
        <v>4</v>
      </c>
      <c r="K482" t="s">
        <v>139</v>
      </c>
      <c r="L482" t="s">
        <v>140</v>
      </c>
      <c r="M482">
        <v>2</v>
      </c>
      <c r="N482" t="s">
        <v>166</v>
      </c>
      <c r="O482">
        <v>25</v>
      </c>
      <c r="P482" t="s">
        <v>177</v>
      </c>
      <c r="Q482" t="s">
        <v>143</v>
      </c>
      <c r="R482">
        <v>1</v>
      </c>
      <c r="S482" t="s">
        <v>144</v>
      </c>
      <c r="T482">
        <v>1</v>
      </c>
      <c r="U482" t="s">
        <v>152</v>
      </c>
      <c r="V482" t="s">
        <v>146</v>
      </c>
      <c r="W482">
        <v>1</v>
      </c>
    </row>
    <row r="483" spans="2:23" x14ac:dyDescent="0.3">
      <c r="B483">
        <v>479</v>
      </c>
      <c r="C483" t="s">
        <v>147</v>
      </c>
      <c r="D483">
        <v>12</v>
      </c>
      <c r="E483" t="s">
        <v>148</v>
      </c>
      <c r="F483" t="s">
        <v>174</v>
      </c>
      <c r="G483">
        <v>1037</v>
      </c>
      <c r="H483" t="s">
        <v>175</v>
      </c>
      <c r="I483" t="s">
        <v>155</v>
      </c>
      <c r="J483">
        <v>3</v>
      </c>
      <c r="K483" t="s">
        <v>139</v>
      </c>
      <c r="L483" t="s">
        <v>140</v>
      </c>
      <c r="M483">
        <v>4</v>
      </c>
      <c r="N483" t="s">
        <v>141</v>
      </c>
      <c r="O483">
        <v>39</v>
      </c>
      <c r="P483" t="s">
        <v>142</v>
      </c>
      <c r="Q483" t="s">
        <v>143</v>
      </c>
      <c r="R483">
        <v>1</v>
      </c>
      <c r="S483" t="s">
        <v>156</v>
      </c>
      <c r="T483">
        <v>1</v>
      </c>
      <c r="U483" t="s">
        <v>152</v>
      </c>
      <c r="V483" t="s">
        <v>146</v>
      </c>
      <c r="W483">
        <v>1</v>
      </c>
    </row>
    <row r="484" spans="2:23" x14ac:dyDescent="0.3">
      <c r="B484">
        <v>480</v>
      </c>
      <c r="C484" t="s">
        <v>134</v>
      </c>
      <c r="D484">
        <v>15</v>
      </c>
      <c r="E484" t="s">
        <v>135</v>
      </c>
      <c r="F484" t="s">
        <v>157</v>
      </c>
      <c r="G484">
        <v>1478</v>
      </c>
      <c r="H484" t="s">
        <v>149</v>
      </c>
      <c r="I484" t="s">
        <v>138</v>
      </c>
      <c r="J484">
        <v>4</v>
      </c>
      <c r="K484" t="s">
        <v>139</v>
      </c>
      <c r="L484" t="s">
        <v>140</v>
      </c>
      <c r="M484">
        <v>4</v>
      </c>
      <c r="N484" t="s">
        <v>166</v>
      </c>
      <c r="O484">
        <v>44</v>
      </c>
      <c r="P484" t="s">
        <v>142</v>
      </c>
      <c r="Q484" t="s">
        <v>143</v>
      </c>
      <c r="R484">
        <v>2</v>
      </c>
      <c r="S484" t="s">
        <v>144</v>
      </c>
      <c r="T484">
        <v>2</v>
      </c>
      <c r="U484" t="s">
        <v>145</v>
      </c>
      <c r="V484" t="s">
        <v>146</v>
      </c>
      <c r="W484">
        <v>1</v>
      </c>
    </row>
    <row r="485" spans="2:23" x14ac:dyDescent="0.3">
      <c r="B485">
        <v>481</v>
      </c>
      <c r="C485" t="s">
        <v>147</v>
      </c>
      <c r="D485">
        <v>12</v>
      </c>
      <c r="E485" t="s">
        <v>135</v>
      </c>
      <c r="F485" t="s">
        <v>136</v>
      </c>
      <c r="G485">
        <v>3573</v>
      </c>
      <c r="H485" t="s">
        <v>149</v>
      </c>
      <c r="I485" t="s">
        <v>150</v>
      </c>
      <c r="J485">
        <v>1</v>
      </c>
      <c r="K485" t="s">
        <v>151</v>
      </c>
      <c r="L485" t="s">
        <v>140</v>
      </c>
      <c r="M485">
        <v>1</v>
      </c>
      <c r="N485" t="s">
        <v>141</v>
      </c>
      <c r="O485">
        <v>23</v>
      </c>
      <c r="P485" t="s">
        <v>142</v>
      </c>
      <c r="Q485" t="s">
        <v>143</v>
      </c>
      <c r="R485">
        <v>1</v>
      </c>
      <c r="S485" t="s">
        <v>156</v>
      </c>
      <c r="T485">
        <v>1</v>
      </c>
      <c r="U485" t="s">
        <v>152</v>
      </c>
      <c r="V485" t="s">
        <v>146</v>
      </c>
      <c r="W485">
        <v>1</v>
      </c>
    </row>
    <row r="486" spans="2:23" x14ac:dyDescent="0.3">
      <c r="B486">
        <v>482</v>
      </c>
      <c r="C486" t="s">
        <v>147</v>
      </c>
      <c r="D486">
        <v>24</v>
      </c>
      <c r="E486" t="s">
        <v>148</v>
      </c>
      <c r="F486" t="s">
        <v>162</v>
      </c>
      <c r="G486">
        <v>1201</v>
      </c>
      <c r="H486" t="s">
        <v>149</v>
      </c>
      <c r="I486" t="s">
        <v>173</v>
      </c>
      <c r="J486">
        <v>4</v>
      </c>
      <c r="K486" t="s">
        <v>139</v>
      </c>
      <c r="L486" t="s">
        <v>140</v>
      </c>
      <c r="M486">
        <v>1</v>
      </c>
      <c r="N486" t="s">
        <v>159</v>
      </c>
      <c r="O486">
        <v>26</v>
      </c>
      <c r="P486" t="s">
        <v>142</v>
      </c>
      <c r="Q486" t="s">
        <v>143</v>
      </c>
      <c r="R486">
        <v>1</v>
      </c>
      <c r="S486" t="s">
        <v>144</v>
      </c>
      <c r="T486">
        <v>1</v>
      </c>
      <c r="U486" t="s">
        <v>152</v>
      </c>
      <c r="V486" t="s">
        <v>146</v>
      </c>
      <c r="W486">
        <v>1</v>
      </c>
    </row>
    <row r="487" spans="2:23" x14ac:dyDescent="0.3">
      <c r="B487">
        <v>483</v>
      </c>
      <c r="C487" t="s">
        <v>134</v>
      </c>
      <c r="D487">
        <v>30</v>
      </c>
      <c r="E487" t="s">
        <v>148</v>
      </c>
      <c r="F487" t="s">
        <v>157</v>
      </c>
      <c r="G487">
        <v>3622</v>
      </c>
      <c r="H487" t="s">
        <v>169</v>
      </c>
      <c r="I487" t="s">
        <v>138</v>
      </c>
      <c r="J487">
        <v>4</v>
      </c>
      <c r="K487" t="s">
        <v>151</v>
      </c>
      <c r="L487" t="s">
        <v>140</v>
      </c>
      <c r="M487">
        <v>4</v>
      </c>
      <c r="N487" t="s">
        <v>159</v>
      </c>
      <c r="O487">
        <v>57</v>
      </c>
      <c r="P487" t="s">
        <v>142</v>
      </c>
      <c r="Q487" t="s">
        <v>167</v>
      </c>
      <c r="R487">
        <v>2</v>
      </c>
      <c r="S487" t="s">
        <v>144</v>
      </c>
      <c r="T487">
        <v>1</v>
      </c>
      <c r="U487" t="s">
        <v>145</v>
      </c>
      <c r="V487" t="s">
        <v>146</v>
      </c>
      <c r="W487">
        <v>1</v>
      </c>
    </row>
    <row r="488" spans="2:23" x14ac:dyDescent="0.3">
      <c r="B488">
        <v>484</v>
      </c>
      <c r="C488" t="s">
        <v>153</v>
      </c>
      <c r="D488">
        <v>15</v>
      </c>
      <c r="E488" t="s">
        <v>161</v>
      </c>
      <c r="F488" t="s">
        <v>157</v>
      </c>
      <c r="G488">
        <v>960</v>
      </c>
      <c r="H488" t="s">
        <v>169</v>
      </c>
      <c r="I488" t="s">
        <v>155</v>
      </c>
      <c r="J488">
        <v>3</v>
      </c>
      <c r="K488" t="s">
        <v>151</v>
      </c>
      <c r="L488" t="s">
        <v>140</v>
      </c>
      <c r="M488">
        <v>2</v>
      </c>
      <c r="N488" t="s">
        <v>159</v>
      </c>
      <c r="O488">
        <v>30</v>
      </c>
      <c r="P488" t="s">
        <v>142</v>
      </c>
      <c r="Q488" t="s">
        <v>143</v>
      </c>
      <c r="R488">
        <v>2</v>
      </c>
      <c r="S488" t="s">
        <v>144</v>
      </c>
      <c r="T488">
        <v>1</v>
      </c>
      <c r="U488" t="s">
        <v>152</v>
      </c>
      <c r="V488" t="s">
        <v>146</v>
      </c>
      <c r="W488">
        <v>1</v>
      </c>
    </row>
    <row r="489" spans="2:23" x14ac:dyDescent="0.3">
      <c r="B489">
        <v>485</v>
      </c>
      <c r="C489" t="s">
        <v>153</v>
      </c>
      <c r="D489">
        <v>12</v>
      </c>
      <c r="E489" t="s">
        <v>135</v>
      </c>
      <c r="F489" t="s">
        <v>162</v>
      </c>
      <c r="G489">
        <v>1163</v>
      </c>
      <c r="H489" t="s">
        <v>164</v>
      </c>
      <c r="I489" t="s">
        <v>150</v>
      </c>
      <c r="J489">
        <v>4</v>
      </c>
      <c r="K489" t="s">
        <v>139</v>
      </c>
      <c r="L489" t="s">
        <v>140</v>
      </c>
      <c r="M489">
        <v>4</v>
      </c>
      <c r="N489" t="s">
        <v>141</v>
      </c>
      <c r="O489">
        <v>44</v>
      </c>
      <c r="P489" t="s">
        <v>142</v>
      </c>
      <c r="Q489" t="s">
        <v>143</v>
      </c>
      <c r="R489">
        <v>1</v>
      </c>
      <c r="S489" t="s">
        <v>144</v>
      </c>
      <c r="T489">
        <v>1</v>
      </c>
      <c r="U489" t="s">
        <v>145</v>
      </c>
      <c r="V489" t="s">
        <v>146</v>
      </c>
      <c r="W489">
        <v>1</v>
      </c>
    </row>
    <row r="490" spans="2:23" x14ac:dyDescent="0.3">
      <c r="B490">
        <v>486</v>
      </c>
      <c r="C490" t="s">
        <v>147</v>
      </c>
      <c r="D490">
        <v>6</v>
      </c>
      <c r="E490" t="s">
        <v>161</v>
      </c>
      <c r="F490" t="s">
        <v>162</v>
      </c>
      <c r="G490">
        <v>1209</v>
      </c>
      <c r="H490" t="s">
        <v>149</v>
      </c>
      <c r="I490" t="s">
        <v>171</v>
      </c>
      <c r="J490">
        <v>4</v>
      </c>
      <c r="K490" t="s">
        <v>139</v>
      </c>
      <c r="L490" t="s">
        <v>140</v>
      </c>
      <c r="M490">
        <v>4</v>
      </c>
      <c r="N490" t="s">
        <v>159</v>
      </c>
      <c r="O490">
        <v>47</v>
      </c>
      <c r="P490" t="s">
        <v>142</v>
      </c>
      <c r="Q490" t="s">
        <v>143</v>
      </c>
      <c r="R490">
        <v>1</v>
      </c>
      <c r="S490" t="s">
        <v>168</v>
      </c>
      <c r="T490">
        <v>1</v>
      </c>
      <c r="U490" t="s">
        <v>145</v>
      </c>
      <c r="V490" t="s">
        <v>146</v>
      </c>
      <c r="W490">
        <v>2</v>
      </c>
    </row>
    <row r="491" spans="2:23" x14ac:dyDescent="0.3">
      <c r="B491">
        <v>487</v>
      </c>
      <c r="C491" t="s">
        <v>153</v>
      </c>
      <c r="D491">
        <v>12</v>
      </c>
      <c r="E491" t="s">
        <v>148</v>
      </c>
      <c r="F491" t="s">
        <v>136</v>
      </c>
      <c r="G491">
        <v>3077</v>
      </c>
      <c r="H491" t="s">
        <v>149</v>
      </c>
      <c r="I491" t="s">
        <v>150</v>
      </c>
      <c r="J491">
        <v>2</v>
      </c>
      <c r="K491" t="s">
        <v>139</v>
      </c>
      <c r="L491" t="s">
        <v>140</v>
      </c>
      <c r="M491">
        <v>4</v>
      </c>
      <c r="N491" t="s">
        <v>166</v>
      </c>
      <c r="O491">
        <v>52</v>
      </c>
      <c r="P491" t="s">
        <v>142</v>
      </c>
      <c r="Q491" t="s">
        <v>143</v>
      </c>
      <c r="R491">
        <v>1</v>
      </c>
      <c r="S491" t="s">
        <v>144</v>
      </c>
      <c r="T491">
        <v>1</v>
      </c>
      <c r="U491" t="s">
        <v>145</v>
      </c>
      <c r="V491" t="s">
        <v>146</v>
      </c>
      <c r="W491">
        <v>1</v>
      </c>
    </row>
    <row r="492" spans="2:23" x14ac:dyDescent="0.3">
      <c r="B492">
        <v>488</v>
      </c>
      <c r="C492" t="s">
        <v>153</v>
      </c>
      <c r="D492">
        <v>24</v>
      </c>
      <c r="E492" t="s">
        <v>148</v>
      </c>
      <c r="F492" t="s">
        <v>162</v>
      </c>
      <c r="G492">
        <v>3757</v>
      </c>
      <c r="H492" t="s">
        <v>149</v>
      </c>
      <c r="I492" t="s">
        <v>138</v>
      </c>
      <c r="J492">
        <v>4</v>
      </c>
      <c r="K492" t="s">
        <v>151</v>
      </c>
      <c r="L492" t="s">
        <v>182</v>
      </c>
      <c r="M492">
        <v>4</v>
      </c>
      <c r="N492" t="s">
        <v>163</v>
      </c>
      <c r="O492">
        <v>62</v>
      </c>
      <c r="P492" t="s">
        <v>142</v>
      </c>
      <c r="Q492" t="s">
        <v>160</v>
      </c>
      <c r="R492">
        <v>1</v>
      </c>
      <c r="S492" t="s">
        <v>144</v>
      </c>
      <c r="T492">
        <v>1</v>
      </c>
      <c r="U492" t="s">
        <v>145</v>
      </c>
      <c r="V492" t="s">
        <v>146</v>
      </c>
      <c r="W492">
        <v>1</v>
      </c>
    </row>
    <row r="493" spans="2:23" x14ac:dyDescent="0.3">
      <c r="B493">
        <v>489</v>
      </c>
      <c r="C493" t="s">
        <v>153</v>
      </c>
      <c r="D493">
        <v>10</v>
      </c>
      <c r="E493" t="s">
        <v>148</v>
      </c>
      <c r="F493" t="s">
        <v>162</v>
      </c>
      <c r="G493">
        <v>1418</v>
      </c>
      <c r="H493" t="s">
        <v>175</v>
      </c>
      <c r="I493" t="s">
        <v>150</v>
      </c>
      <c r="J493">
        <v>3</v>
      </c>
      <c r="K493" t="s">
        <v>139</v>
      </c>
      <c r="L493" t="s">
        <v>140</v>
      </c>
      <c r="M493">
        <v>2</v>
      </c>
      <c r="N493" t="s">
        <v>141</v>
      </c>
      <c r="O493">
        <v>35</v>
      </c>
      <c r="P493" t="s">
        <v>142</v>
      </c>
      <c r="Q493" t="s">
        <v>167</v>
      </c>
      <c r="R493">
        <v>1</v>
      </c>
      <c r="S493" t="s">
        <v>156</v>
      </c>
      <c r="T493">
        <v>1</v>
      </c>
      <c r="U493" t="s">
        <v>152</v>
      </c>
      <c r="V493" t="s">
        <v>178</v>
      </c>
      <c r="W493">
        <v>1</v>
      </c>
    </row>
    <row r="494" spans="2:23" x14ac:dyDescent="0.3">
      <c r="B494">
        <v>490</v>
      </c>
      <c r="C494" t="s">
        <v>153</v>
      </c>
      <c r="D494">
        <v>6</v>
      </c>
      <c r="E494" t="s">
        <v>148</v>
      </c>
      <c r="F494" t="s">
        <v>162</v>
      </c>
      <c r="G494">
        <v>3518</v>
      </c>
      <c r="H494" t="s">
        <v>149</v>
      </c>
      <c r="I494" t="s">
        <v>150</v>
      </c>
      <c r="J494">
        <v>2</v>
      </c>
      <c r="K494" t="s">
        <v>139</v>
      </c>
      <c r="L494" t="s">
        <v>158</v>
      </c>
      <c r="M494">
        <v>3</v>
      </c>
      <c r="N494" t="s">
        <v>159</v>
      </c>
      <c r="O494">
        <v>26</v>
      </c>
      <c r="P494" t="s">
        <v>142</v>
      </c>
      <c r="Q494" t="s">
        <v>167</v>
      </c>
      <c r="R494">
        <v>1</v>
      </c>
      <c r="S494" t="s">
        <v>144</v>
      </c>
      <c r="T494">
        <v>1</v>
      </c>
      <c r="U494" t="s">
        <v>152</v>
      </c>
      <c r="V494" t="s">
        <v>146</v>
      </c>
      <c r="W494">
        <v>1</v>
      </c>
    </row>
    <row r="495" spans="2:23" x14ac:dyDescent="0.3">
      <c r="B495">
        <v>491</v>
      </c>
      <c r="C495" t="s">
        <v>153</v>
      </c>
      <c r="D495">
        <v>12</v>
      </c>
      <c r="E495" t="s">
        <v>135</v>
      </c>
      <c r="F495" t="s">
        <v>136</v>
      </c>
      <c r="G495">
        <v>1934</v>
      </c>
      <c r="H495" t="s">
        <v>149</v>
      </c>
      <c r="I495" t="s">
        <v>138</v>
      </c>
      <c r="J495">
        <v>2</v>
      </c>
      <c r="K495" t="s">
        <v>139</v>
      </c>
      <c r="L495" t="s">
        <v>140</v>
      </c>
      <c r="M495">
        <v>2</v>
      </c>
      <c r="N495" t="s">
        <v>163</v>
      </c>
      <c r="O495">
        <v>26</v>
      </c>
      <c r="P495" t="s">
        <v>142</v>
      </c>
      <c r="Q495" t="s">
        <v>143</v>
      </c>
      <c r="R495">
        <v>2</v>
      </c>
      <c r="S495" t="s">
        <v>144</v>
      </c>
      <c r="T495">
        <v>1</v>
      </c>
      <c r="U495" t="s">
        <v>152</v>
      </c>
      <c r="V495" t="s">
        <v>146</v>
      </c>
      <c r="W495">
        <v>1</v>
      </c>
    </row>
    <row r="496" spans="2:23" x14ac:dyDescent="0.3">
      <c r="B496">
        <v>492</v>
      </c>
      <c r="C496" t="s">
        <v>147</v>
      </c>
      <c r="D496">
        <v>27</v>
      </c>
      <c r="E496" t="s">
        <v>176</v>
      </c>
      <c r="F496" t="s">
        <v>174</v>
      </c>
      <c r="G496">
        <v>8318</v>
      </c>
      <c r="H496" t="s">
        <v>149</v>
      </c>
      <c r="I496" t="s">
        <v>138</v>
      </c>
      <c r="J496">
        <v>2</v>
      </c>
      <c r="K496" t="s">
        <v>151</v>
      </c>
      <c r="L496" t="s">
        <v>140</v>
      </c>
      <c r="M496">
        <v>4</v>
      </c>
      <c r="N496" t="s">
        <v>163</v>
      </c>
      <c r="O496">
        <v>42</v>
      </c>
      <c r="P496" t="s">
        <v>142</v>
      </c>
      <c r="Q496" t="s">
        <v>160</v>
      </c>
      <c r="R496">
        <v>2</v>
      </c>
      <c r="S496" t="s">
        <v>168</v>
      </c>
      <c r="T496">
        <v>1</v>
      </c>
      <c r="U496" t="s">
        <v>145</v>
      </c>
      <c r="V496" t="s">
        <v>146</v>
      </c>
      <c r="W496">
        <v>2</v>
      </c>
    </row>
    <row r="497" spans="2:23" x14ac:dyDescent="0.3">
      <c r="B497">
        <v>493</v>
      </c>
      <c r="C497" t="s">
        <v>153</v>
      </c>
      <c r="D497">
        <v>6</v>
      </c>
      <c r="E497" t="s">
        <v>135</v>
      </c>
      <c r="F497" t="s">
        <v>136</v>
      </c>
      <c r="G497">
        <v>1237</v>
      </c>
      <c r="H497" t="s">
        <v>175</v>
      </c>
      <c r="I497" t="s">
        <v>150</v>
      </c>
      <c r="J497">
        <v>1</v>
      </c>
      <c r="K497" t="s">
        <v>151</v>
      </c>
      <c r="L497" t="s">
        <v>140</v>
      </c>
      <c r="M497">
        <v>1</v>
      </c>
      <c r="N497" t="s">
        <v>159</v>
      </c>
      <c r="O497">
        <v>27</v>
      </c>
      <c r="P497" t="s">
        <v>142</v>
      </c>
      <c r="Q497" t="s">
        <v>143</v>
      </c>
      <c r="R497">
        <v>2</v>
      </c>
      <c r="S497" t="s">
        <v>144</v>
      </c>
      <c r="T497">
        <v>1</v>
      </c>
      <c r="U497" t="s">
        <v>152</v>
      </c>
      <c r="V497" t="s">
        <v>146</v>
      </c>
      <c r="W497">
        <v>1</v>
      </c>
    </row>
    <row r="498" spans="2:23" x14ac:dyDescent="0.3">
      <c r="B498">
        <v>494</v>
      </c>
      <c r="C498" t="s">
        <v>147</v>
      </c>
      <c r="D498">
        <v>6</v>
      </c>
      <c r="E498" t="s">
        <v>148</v>
      </c>
      <c r="F498" t="s">
        <v>136</v>
      </c>
      <c r="G498">
        <v>368</v>
      </c>
      <c r="H498" t="s">
        <v>137</v>
      </c>
      <c r="I498" t="s">
        <v>138</v>
      </c>
      <c r="J498">
        <v>4</v>
      </c>
      <c r="K498" t="s">
        <v>139</v>
      </c>
      <c r="L498" t="s">
        <v>140</v>
      </c>
      <c r="M498">
        <v>4</v>
      </c>
      <c r="N498" t="s">
        <v>159</v>
      </c>
      <c r="O498">
        <v>38</v>
      </c>
      <c r="P498" t="s">
        <v>142</v>
      </c>
      <c r="Q498" t="s">
        <v>143</v>
      </c>
      <c r="R498">
        <v>1</v>
      </c>
      <c r="S498" t="s">
        <v>144</v>
      </c>
      <c r="T498">
        <v>1</v>
      </c>
      <c r="U498" t="s">
        <v>152</v>
      </c>
      <c r="V498" t="s">
        <v>146</v>
      </c>
      <c r="W498">
        <v>1</v>
      </c>
    </row>
    <row r="499" spans="2:23" x14ac:dyDescent="0.3">
      <c r="B499">
        <v>495</v>
      </c>
      <c r="C499" t="s">
        <v>134</v>
      </c>
      <c r="D499">
        <v>12</v>
      </c>
      <c r="E499" t="s">
        <v>135</v>
      </c>
      <c r="F499" t="s">
        <v>162</v>
      </c>
      <c r="G499">
        <v>2122</v>
      </c>
      <c r="H499" t="s">
        <v>149</v>
      </c>
      <c r="I499" t="s">
        <v>150</v>
      </c>
      <c r="J499">
        <v>3</v>
      </c>
      <c r="K499" t="s">
        <v>139</v>
      </c>
      <c r="L499" t="s">
        <v>140</v>
      </c>
      <c r="M499">
        <v>2</v>
      </c>
      <c r="N499" t="s">
        <v>141</v>
      </c>
      <c r="O499">
        <v>39</v>
      </c>
      <c r="P499" t="s">
        <v>142</v>
      </c>
      <c r="Q499" t="s">
        <v>167</v>
      </c>
      <c r="R499">
        <v>2</v>
      </c>
      <c r="S499" t="s">
        <v>156</v>
      </c>
      <c r="T499">
        <v>2</v>
      </c>
      <c r="U499" t="s">
        <v>152</v>
      </c>
      <c r="V499" t="s">
        <v>178</v>
      </c>
      <c r="W499">
        <v>1</v>
      </c>
    </row>
    <row r="500" spans="2:23" x14ac:dyDescent="0.3">
      <c r="B500">
        <v>496</v>
      </c>
      <c r="C500" t="s">
        <v>134</v>
      </c>
      <c r="D500">
        <v>24</v>
      </c>
      <c r="E500" t="s">
        <v>148</v>
      </c>
      <c r="F500" t="s">
        <v>157</v>
      </c>
      <c r="G500">
        <v>2996</v>
      </c>
      <c r="H500" t="s">
        <v>137</v>
      </c>
      <c r="I500" t="s">
        <v>150</v>
      </c>
      <c r="J500">
        <v>2</v>
      </c>
      <c r="K500" t="s">
        <v>172</v>
      </c>
      <c r="L500" t="s">
        <v>140</v>
      </c>
      <c r="M500">
        <v>4</v>
      </c>
      <c r="N500" t="s">
        <v>166</v>
      </c>
      <c r="O500">
        <v>20</v>
      </c>
      <c r="P500" t="s">
        <v>142</v>
      </c>
      <c r="Q500" t="s">
        <v>143</v>
      </c>
      <c r="R500">
        <v>1</v>
      </c>
      <c r="S500" t="s">
        <v>144</v>
      </c>
      <c r="T500">
        <v>1</v>
      </c>
      <c r="U500" t="s">
        <v>152</v>
      </c>
      <c r="V500" t="s">
        <v>146</v>
      </c>
      <c r="W500">
        <v>2</v>
      </c>
    </row>
    <row r="501" spans="2:23" x14ac:dyDescent="0.3">
      <c r="B501">
        <v>497</v>
      </c>
      <c r="C501" t="s">
        <v>147</v>
      </c>
      <c r="D501">
        <v>36</v>
      </c>
      <c r="E501" t="s">
        <v>148</v>
      </c>
      <c r="F501" t="s">
        <v>157</v>
      </c>
      <c r="G501">
        <v>9034</v>
      </c>
      <c r="H501" t="s">
        <v>175</v>
      </c>
      <c r="I501" t="s">
        <v>173</v>
      </c>
      <c r="J501">
        <v>4</v>
      </c>
      <c r="K501" t="s">
        <v>139</v>
      </c>
      <c r="L501" t="s">
        <v>182</v>
      </c>
      <c r="M501">
        <v>1</v>
      </c>
      <c r="N501" t="s">
        <v>163</v>
      </c>
      <c r="O501">
        <v>29</v>
      </c>
      <c r="P501" t="s">
        <v>142</v>
      </c>
      <c r="Q501" t="s">
        <v>167</v>
      </c>
      <c r="R501">
        <v>1</v>
      </c>
      <c r="S501" t="s">
        <v>168</v>
      </c>
      <c r="T501">
        <v>1</v>
      </c>
      <c r="U501" t="s">
        <v>145</v>
      </c>
      <c r="V501" t="s">
        <v>146</v>
      </c>
      <c r="W501">
        <v>2</v>
      </c>
    </row>
    <row r="502" spans="2:23" x14ac:dyDescent="0.3">
      <c r="B502">
        <v>498</v>
      </c>
      <c r="C502" t="s">
        <v>153</v>
      </c>
      <c r="D502">
        <v>24</v>
      </c>
      <c r="E502" t="s">
        <v>135</v>
      </c>
      <c r="F502" t="s">
        <v>157</v>
      </c>
      <c r="G502">
        <v>1585</v>
      </c>
      <c r="H502" t="s">
        <v>149</v>
      </c>
      <c r="I502" t="s">
        <v>155</v>
      </c>
      <c r="J502">
        <v>4</v>
      </c>
      <c r="K502" t="s">
        <v>139</v>
      </c>
      <c r="L502" t="s">
        <v>140</v>
      </c>
      <c r="M502">
        <v>3</v>
      </c>
      <c r="N502" t="s">
        <v>159</v>
      </c>
      <c r="O502">
        <v>40</v>
      </c>
      <c r="P502" t="s">
        <v>142</v>
      </c>
      <c r="Q502" t="s">
        <v>143</v>
      </c>
      <c r="R502">
        <v>2</v>
      </c>
      <c r="S502" t="s">
        <v>144</v>
      </c>
      <c r="T502">
        <v>1</v>
      </c>
      <c r="U502" t="s">
        <v>152</v>
      </c>
      <c r="V502" t="s">
        <v>146</v>
      </c>
      <c r="W502">
        <v>1</v>
      </c>
    </row>
    <row r="503" spans="2:23" x14ac:dyDescent="0.3">
      <c r="B503">
        <v>499</v>
      </c>
      <c r="C503" t="s">
        <v>147</v>
      </c>
      <c r="D503">
        <v>18</v>
      </c>
      <c r="E503" t="s">
        <v>148</v>
      </c>
      <c r="F503" t="s">
        <v>136</v>
      </c>
      <c r="G503">
        <v>1301</v>
      </c>
      <c r="H503" t="s">
        <v>149</v>
      </c>
      <c r="I503" t="s">
        <v>138</v>
      </c>
      <c r="J503">
        <v>4</v>
      </c>
      <c r="K503" t="s">
        <v>172</v>
      </c>
      <c r="L503" t="s">
        <v>158</v>
      </c>
      <c r="M503">
        <v>2</v>
      </c>
      <c r="N503" t="s">
        <v>141</v>
      </c>
      <c r="O503">
        <v>32</v>
      </c>
      <c r="P503" t="s">
        <v>142</v>
      </c>
      <c r="Q503" t="s">
        <v>143</v>
      </c>
      <c r="R503">
        <v>1</v>
      </c>
      <c r="S503" t="s">
        <v>156</v>
      </c>
      <c r="T503">
        <v>1</v>
      </c>
      <c r="U503" t="s">
        <v>152</v>
      </c>
      <c r="V503" t="s">
        <v>146</v>
      </c>
      <c r="W503">
        <v>1</v>
      </c>
    </row>
    <row r="504" spans="2:23" x14ac:dyDescent="0.3">
      <c r="B504">
        <v>500</v>
      </c>
      <c r="C504" t="s">
        <v>179</v>
      </c>
      <c r="D504">
        <v>6</v>
      </c>
      <c r="E504" t="s">
        <v>135</v>
      </c>
      <c r="F504" t="s">
        <v>162</v>
      </c>
      <c r="G504">
        <v>1323</v>
      </c>
      <c r="H504" t="s">
        <v>175</v>
      </c>
      <c r="I504" t="s">
        <v>138</v>
      </c>
      <c r="J504">
        <v>2</v>
      </c>
      <c r="K504" t="s">
        <v>170</v>
      </c>
      <c r="L504" t="s">
        <v>140</v>
      </c>
      <c r="M504">
        <v>4</v>
      </c>
      <c r="N504" t="s">
        <v>166</v>
      </c>
      <c r="O504">
        <v>28</v>
      </c>
      <c r="P504" t="s">
        <v>142</v>
      </c>
      <c r="Q504" t="s">
        <v>143</v>
      </c>
      <c r="R504">
        <v>2</v>
      </c>
      <c r="S504" t="s">
        <v>144</v>
      </c>
      <c r="T504">
        <v>2</v>
      </c>
      <c r="U504" t="s">
        <v>145</v>
      </c>
      <c r="V504" t="s">
        <v>146</v>
      </c>
      <c r="W504">
        <v>1</v>
      </c>
    </row>
    <row r="505" spans="2:23" x14ac:dyDescent="0.3">
      <c r="B505">
        <v>501</v>
      </c>
      <c r="C505" t="s">
        <v>134</v>
      </c>
      <c r="D505">
        <v>24</v>
      </c>
      <c r="E505" t="s">
        <v>148</v>
      </c>
      <c r="F505" t="s">
        <v>162</v>
      </c>
      <c r="G505">
        <v>3123</v>
      </c>
      <c r="H505" t="s">
        <v>149</v>
      </c>
      <c r="I505" t="s">
        <v>173</v>
      </c>
      <c r="J505">
        <v>4</v>
      </c>
      <c r="K505" t="s">
        <v>151</v>
      </c>
      <c r="L505" t="s">
        <v>140</v>
      </c>
      <c r="M505">
        <v>1</v>
      </c>
      <c r="N505" t="s">
        <v>159</v>
      </c>
      <c r="O505">
        <v>27</v>
      </c>
      <c r="P505" t="s">
        <v>142</v>
      </c>
      <c r="Q505" t="s">
        <v>143</v>
      </c>
      <c r="R505">
        <v>1</v>
      </c>
      <c r="S505" t="s">
        <v>144</v>
      </c>
      <c r="T505">
        <v>1</v>
      </c>
      <c r="U505" t="s">
        <v>152</v>
      </c>
      <c r="V505" t="s">
        <v>146</v>
      </c>
      <c r="W505">
        <v>2</v>
      </c>
    </row>
    <row r="506" spans="2:23" x14ac:dyDescent="0.3">
      <c r="B506">
        <v>502</v>
      </c>
      <c r="C506" t="s">
        <v>134</v>
      </c>
      <c r="D506">
        <v>36</v>
      </c>
      <c r="E506" t="s">
        <v>148</v>
      </c>
      <c r="F506" t="s">
        <v>165</v>
      </c>
      <c r="G506">
        <v>5493</v>
      </c>
      <c r="H506" t="s">
        <v>149</v>
      </c>
      <c r="I506" t="s">
        <v>138</v>
      </c>
      <c r="J506">
        <v>2</v>
      </c>
      <c r="K506" t="s">
        <v>139</v>
      </c>
      <c r="L506" t="s">
        <v>140</v>
      </c>
      <c r="M506">
        <v>4</v>
      </c>
      <c r="N506" t="s">
        <v>163</v>
      </c>
      <c r="O506">
        <v>42</v>
      </c>
      <c r="P506" t="s">
        <v>142</v>
      </c>
      <c r="Q506" t="s">
        <v>160</v>
      </c>
      <c r="R506">
        <v>1</v>
      </c>
      <c r="S506" t="s">
        <v>144</v>
      </c>
      <c r="T506">
        <v>2</v>
      </c>
      <c r="U506" t="s">
        <v>152</v>
      </c>
      <c r="V506" t="s">
        <v>146</v>
      </c>
      <c r="W506">
        <v>1</v>
      </c>
    </row>
    <row r="507" spans="2:23" x14ac:dyDescent="0.3">
      <c r="B507">
        <v>503</v>
      </c>
      <c r="C507" t="s">
        <v>179</v>
      </c>
      <c r="D507">
        <v>9</v>
      </c>
      <c r="E507" t="s">
        <v>148</v>
      </c>
      <c r="F507" t="s">
        <v>136</v>
      </c>
      <c r="G507">
        <v>1126</v>
      </c>
      <c r="H507" t="s">
        <v>175</v>
      </c>
      <c r="I507" t="s">
        <v>138</v>
      </c>
      <c r="J507">
        <v>2</v>
      </c>
      <c r="K507" t="s">
        <v>170</v>
      </c>
      <c r="L507" t="s">
        <v>140</v>
      </c>
      <c r="M507">
        <v>4</v>
      </c>
      <c r="N507" t="s">
        <v>141</v>
      </c>
      <c r="O507">
        <v>49</v>
      </c>
      <c r="P507" t="s">
        <v>142</v>
      </c>
      <c r="Q507" t="s">
        <v>143</v>
      </c>
      <c r="R507">
        <v>1</v>
      </c>
      <c r="S507" t="s">
        <v>144</v>
      </c>
      <c r="T507">
        <v>1</v>
      </c>
      <c r="U507" t="s">
        <v>152</v>
      </c>
      <c r="V507" t="s">
        <v>146</v>
      </c>
      <c r="W507">
        <v>1</v>
      </c>
    </row>
    <row r="508" spans="2:23" x14ac:dyDescent="0.3">
      <c r="B508">
        <v>504</v>
      </c>
      <c r="C508" t="s">
        <v>147</v>
      </c>
      <c r="D508">
        <v>24</v>
      </c>
      <c r="E508" t="s">
        <v>135</v>
      </c>
      <c r="F508" t="s">
        <v>136</v>
      </c>
      <c r="G508">
        <v>1216</v>
      </c>
      <c r="H508" t="s">
        <v>175</v>
      </c>
      <c r="I508" t="s">
        <v>173</v>
      </c>
      <c r="J508">
        <v>4</v>
      </c>
      <c r="K508" t="s">
        <v>139</v>
      </c>
      <c r="L508" t="s">
        <v>140</v>
      </c>
      <c r="M508">
        <v>4</v>
      </c>
      <c r="N508" t="s">
        <v>163</v>
      </c>
      <c r="O508">
        <v>38</v>
      </c>
      <c r="P508" t="s">
        <v>177</v>
      </c>
      <c r="Q508" t="s">
        <v>143</v>
      </c>
      <c r="R508">
        <v>2</v>
      </c>
      <c r="S508" t="s">
        <v>144</v>
      </c>
      <c r="T508">
        <v>2</v>
      </c>
      <c r="U508" t="s">
        <v>152</v>
      </c>
      <c r="V508" t="s">
        <v>146</v>
      </c>
      <c r="W508">
        <v>2</v>
      </c>
    </row>
    <row r="509" spans="2:23" x14ac:dyDescent="0.3">
      <c r="B509">
        <v>505</v>
      </c>
      <c r="C509" t="s">
        <v>134</v>
      </c>
      <c r="D509">
        <v>24</v>
      </c>
      <c r="E509" t="s">
        <v>148</v>
      </c>
      <c r="F509" t="s">
        <v>162</v>
      </c>
      <c r="G509">
        <v>1207</v>
      </c>
      <c r="H509" t="s">
        <v>149</v>
      </c>
      <c r="I509" t="s">
        <v>173</v>
      </c>
      <c r="J509">
        <v>4</v>
      </c>
      <c r="K509" t="s">
        <v>151</v>
      </c>
      <c r="L509" t="s">
        <v>140</v>
      </c>
      <c r="M509">
        <v>4</v>
      </c>
      <c r="N509" t="s">
        <v>159</v>
      </c>
      <c r="O509">
        <v>24</v>
      </c>
      <c r="P509" t="s">
        <v>142</v>
      </c>
      <c r="Q509" t="s">
        <v>167</v>
      </c>
      <c r="R509">
        <v>1</v>
      </c>
      <c r="S509" t="s">
        <v>144</v>
      </c>
      <c r="T509">
        <v>1</v>
      </c>
      <c r="U509" t="s">
        <v>152</v>
      </c>
      <c r="V509" t="s">
        <v>146</v>
      </c>
      <c r="W509">
        <v>2</v>
      </c>
    </row>
    <row r="510" spans="2:23" x14ac:dyDescent="0.3">
      <c r="B510">
        <v>506</v>
      </c>
      <c r="C510" t="s">
        <v>153</v>
      </c>
      <c r="D510">
        <v>10</v>
      </c>
      <c r="E510" t="s">
        <v>148</v>
      </c>
      <c r="F510" t="s">
        <v>162</v>
      </c>
      <c r="G510">
        <v>1309</v>
      </c>
      <c r="H510" t="s">
        <v>137</v>
      </c>
      <c r="I510" t="s">
        <v>150</v>
      </c>
      <c r="J510">
        <v>4</v>
      </c>
      <c r="K510" t="s">
        <v>139</v>
      </c>
      <c r="L510" t="s">
        <v>158</v>
      </c>
      <c r="M510">
        <v>4</v>
      </c>
      <c r="N510" t="s">
        <v>159</v>
      </c>
      <c r="O510">
        <v>27</v>
      </c>
      <c r="P510" t="s">
        <v>142</v>
      </c>
      <c r="Q510" t="s">
        <v>143</v>
      </c>
      <c r="R510">
        <v>1</v>
      </c>
      <c r="S510" t="s">
        <v>156</v>
      </c>
      <c r="T510">
        <v>1</v>
      </c>
      <c r="U510" t="s">
        <v>152</v>
      </c>
      <c r="V510" t="s">
        <v>146</v>
      </c>
      <c r="W510">
        <v>2</v>
      </c>
    </row>
    <row r="511" spans="2:23" x14ac:dyDescent="0.3">
      <c r="B511">
        <v>507</v>
      </c>
      <c r="C511" t="s">
        <v>179</v>
      </c>
      <c r="D511">
        <v>15</v>
      </c>
      <c r="E511" t="s">
        <v>135</v>
      </c>
      <c r="F511" t="s">
        <v>165</v>
      </c>
      <c r="G511">
        <v>2360</v>
      </c>
      <c r="H511" t="s">
        <v>164</v>
      </c>
      <c r="I511" t="s">
        <v>150</v>
      </c>
      <c r="J511">
        <v>2</v>
      </c>
      <c r="K511" t="s">
        <v>139</v>
      </c>
      <c r="L511" t="s">
        <v>140</v>
      </c>
      <c r="M511">
        <v>2</v>
      </c>
      <c r="N511" t="s">
        <v>166</v>
      </c>
      <c r="O511">
        <v>36</v>
      </c>
      <c r="P511" t="s">
        <v>142</v>
      </c>
      <c r="Q511" t="s">
        <v>143</v>
      </c>
      <c r="R511">
        <v>1</v>
      </c>
      <c r="S511" t="s">
        <v>144</v>
      </c>
      <c r="T511">
        <v>1</v>
      </c>
      <c r="U511" t="s">
        <v>145</v>
      </c>
      <c r="V511" t="s">
        <v>146</v>
      </c>
      <c r="W511">
        <v>1</v>
      </c>
    </row>
    <row r="512" spans="2:23" x14ac:dyDescent="0.3">
      <c r="B512">
        <v>508</v>
      </c>
      <c r="C512" t="s">
        <v>147</v>
      </c>
      <c r="D512">
        <v>15</v>
      </c>
      <c r="E512" t="s">
        <v>180</v>
      </c>
      <c r="F512" t="s">
        <v>162</v>
      </c>
      <c r="G512">
        <v>6850</v>
      </c>
      <c r="H512" t="s">
        <v>175</v>
      </c>
      <c r="I512" t="s">
        <v>171</v>
      </c>
      <c r="J512">
        <v>1</v>
      </c>
      <c r="K512" t="s">
        <v>139</v>
      </c>
      <c r="L512" t="s">
        <v>140</v>
      </c>
      <c r="M512">
        <v>2</v>
      </c>
      <c r="N512" t="s">
        <v>159</v>
      </c>
      <c r="O512">
        <v>34</v>
      </c>
      <c r="P512" t="s">
        <v>142</v>
      </c>
      <c r="Q512" t="s">
        <v>143</v>
      </c>
      <c r="R512">
        <v>1</v>
      </c>
      <c r="S512" t="s">
        <v>168</v>
      </c>
      <c r="T512">
        <v>2</v>
      </c>
      <c r="U512" t="s">
        <v>145</v>
      </c>
      <c r="V512" t="s">
        <v>146</v>
      </c>
      <c r="W512">
        <v>2</v>
      </c>
    </row>
    <row r="513" spans="2:23" x14ac:dyDescent="0.3">
      <c r="B513">
        <v>509</v>
      </c>
      <c r="C513" t="s">
        <v>153</v>
      </c>
      <c r="D513">
        <v>24</v>
      </c>
      <c r="E513" t="s">
        <v>148</v>
      </c>
      <c r="F513" t="s">
        <v>136</v>
      </c>
      <c r="G513">
        <v>1413</v>
      </c>
      <c r="H513" t="s">
        <v>149</v>
      </c>
      <c r="I513" t="s">
        <v>150</v>
      </c>
      <c r="J513">
        <v>4</v>
      </c>
      <c r="K513" t="s">
        <v>172</v>
      </c>
      <c r="L513" t="s">
        <v>140</v>
      </c>
      <c r="M513">
        <v>2</v>
      </c>
      <c r="N513" t="s">
        <v>159</v>
      </c>
      <c r="O513">
        <v>28</v>
      </c>
      <c r="P513" t="s">
        <v>142</v>
      </c>
      <c r="Q513" t="s">
        <v>143</v>
      </c>
      <c r="R513">
        <v>1</v>
      </c>
      <c r="S513" t="s">
        <v>144</v>
      </c>
      <c r="T513">
        <v>1</v>
      </c>
      <c r="U513" t="s">
        <v>152</v>
      </c>
      <c r="V513" t="s">
        <v>146</v>
      </c>
      <c r="W513">
        <v>1</v>
      </c>
    </row>
    <row r="514" spans="2:23" x14ac:dyDescent="0.3">
      <c r="B514">
        <v>510</v>
      </c>
      <c r="C514" t="s">
        <v>153</v>
      </c>
      <c r="D514">
        <v>39</v>
      </c>
      <c r="E514" t="s">
        <v>148</v>
      </c>
      <c r="F514" t="s">
        <v>165</v>
      </c>
      <c r="G514">
        <v>8588</v>
      </c>
      <c r="H514" t="s">
        <v>175</v>
      </c>
      <c r="I514" t="s">
        <v>138</v>
      </c>
      <c r="J514">
        <v>4</v>
      </c>
      <c r="K514" t="s">
        <v>139</v>
      </c>
      <c r="L514" t="s">
        <v>140</v>
      </c>
      <c r="M514">
        <v>2</v>
      </c>
      <c r="N514" t="s">
        <v>166</v>
      </c>
      <c r="O514">
        <v>45</v>
      </c>
      <c r="P514" t="s">
        <v>142</v>
      </c>
      <c r="Q514" t="s">
        <v>143</v>
      </c>
      <c r="R514">
        <v>1</v>
      </c>
      <c r="S514" t="s">
        <v>168</v>
      </c>
      <c r="T514">
        <v>1</v>
      </c>
      <c r="U514" t="s">
        <v>145</v>
      </c>
      <c r="V514" t="s">
        <v>146</v>
      </c>
      <c r="W514">
        <v>1</v>
      </c>
    </row>
    <row r="515" spans="2:23" x14ac:dyDescent="0.3">
      <c r="B515">
        <v>511</v>
      </c>
      <c r="C515" t="s">
        <v>134</v>
      </c>
      <c r="D515">
        <v>12</v>
      </c>
      <c r="E515" t="s">
        <v>148</v>
      </c>
      <c r="F515" t="s">
        <v>162</v>
      </c>
      <c r="G515">
        <v>759</v>
      </c>
      <c r="H515" t="s">
        <v>149</v>
      </c>
      <c r="I515" t="s">
        <v>155</v>
      </c>
      <c r="J515">
        <v>4</v>
      </c>
      <c r="K515" t="s">
        <v>139</v>
      </c>
      <c r="L515" t="s">
        <v>140</v>
      </c>
      <c r="M515">
        <v>2</v>
      </c>
      <c r="N515" t="s">
        <v>141</v>
      </c>
      <c r="O515">
        <v>26</v>
      </c>
      <c r="P515" t="s">
        <v>142</v>
      </c>
      <c r="Q515" t="s">
        <v>143</v>
      </c>
      <c r="R515">
        <v>1</v>
      </c>
      <c r="S515" t="s">
        <v>144</v>
      </c>
      <c r="T515">
        <v>1</v>
      </c>
      <c r="U515" t="s">
        <v>152</v>
      </c>
      <c r="V515" t="s">
        <v>146</v>
      </c>
      <c r="W515">
        <v>2</v>
      </c>
    </row>
    <row r="516" spans="2:23" x14ac:dyDescent="0.3">
      <c r="B516">
        <v>512</v>
      </c>
      <c r="C516" t="s">
        <v>153</v>
      </c>
      <c r="D516">
        <v>36</v>
      </c>
      <c r="E516" t="s">
        <v>148</v>
      </c>
      <c r="F516" t="s">
        <v>165</v>
      </c>
      <c r="G516">
        <v>4686</v>
      </c>
      <c r="H516" t="s">
        <v>149</v>
      </c>
      <c r="I516" t="s">
        <v>150</v>
      </c>
      <c r="J516">
        <v>2</v>
      </c>
      <c r="K516" t="s">
        <v>139</v>
      </c>
      <c r="L516" t="s">
        <v>140</v>
      </c>
      <c r="M516">
        <v>2</v>
      </c>
      <c r="N516" t="s">
        <v>163</v>
      </c>
      <c r="O516">
        <v>32</v>
      </c>
      <c r="P516" t="s">
        <v>142</v>
      </c>
      <c r="Q516" t="s">
        <v>160</v>
      </c>
      <c r="R516">
        <v>1</v>
      </c>
      <c r="S516" t="s">
        <v>168</v>
      </c>
      <c r="T516">
        <v>1</v>
      </c>
      <c r="U516" t="s">
        <v>145</v>
      </c>
      <c r="V516" t="s">
        <v>146</v>
      </c>
      <c r="W516">
        <v>1</v>
      </c>
    </row>
    <row r="517" spans="2:23" x14ac:dyDescent="0.3">
      <c r="B517">
        <v>513</v>
      </c>
      <c r="C517" t="s">
        <v>179</v>
      </c>
      <c r="D517">
        <v>15</v>
      </c>
      <c r="E517" t="s">
        <v>148</v>
      </c>
      <c r="F517" t="s">
        <v>174</v>
      </c>
      <c r="G517">
        <v>2687</v>
      </c>
      <c r="H517" t="s">
        <v>149</v>
      </c>
      <c r="I517" t="s">
        <v>155</v>
      </c>
      <c r="J517">
        <v>2</v>
      </c>
      <c r="K517" t="s">
        <v>139</v>
      </c>
      <c r="L517" t="s">
        <v>140</v>
      </c>
      <c r="M517">
        <v>4</v>
      </c>
      <c r="N517" t="s">
        <v>159</v>
      </c>
      <c r="O517">
        <v>26</v>
      </c>
      <c r="P517" t="s">
        <v>142</v>
      </c>
      <c r="Q517" t="s">
        <v>167</v>
      </c>
      <c r="R517">
        <v>1</v>
      </c>
      <c r="S517" t="s">
        <v>144</v>
      </c>
      <c r="T517">
        <v>1</v>
      </c>
      <c r="U517" t="s">
        <v>145</v>
      </c>
      <c r="V517" t="s">
        <v>146</v>
      </c>
      <c r="W517">
        <v>1</v>
      </c>
    </row>
    <row r="518" spans="2:23" x14ac:dyDescent="0.3">
      <c r="B518">
        <v>514</v>
      </c>
      <c r="C518" t="s">
        <v>147</v>
      </c>
      <c r="D518">
        <v>12</v>
      </c>
      <c r="E518" t="s">
        <v>161</v>
      </c>
      <c r="F518" t="s">
        <v>136</v>
      </c>
      <c r="G518">
        <v>585</v>
      </c>
      <c r="H518" t="s">
        <v>149</v>
      </c>
      <c r="I518" t="s">
        <v>150</v>
      </c>
      <c r="J518">
        <v>4</v>
      </c>
      <c r="K518" t="s">
        <v>172</v>
      </c>
      <c r="L518" t="s">
        <v>182</v>
      </c>
      <c r="M518">
        <v>4</v>
      </c>
      <c r="N518" t="s">
        <v>141</v>
      </c>
      <c r="O518">
        <v>20</v>
      </c>
      <c r="P518" t="s">
        <v>142</v>
      </c>
      <c r="Q518" t="s">
        <v>167</v>
      </c>
      <c r="R518">
        <v>2</v>
      </c>
      <c r="S518" t="s">
        <v>144</v>
      </c>
      <c r="T518">
        <v>1</v>
      </c>
      <c r="U518" t="s">
        <v>152</v>
      </c>
      <c r="V518" t="s">
        <v>146</v>
      </c>
      <c r="W518">
        <v>1</v>
      </c>
    </row>
    <row r="519" spans="2:23" x14ac:dyDescent="0.3">
      <c r="B519">
        <v>515</v>
      </c>
      <c r="C519" t="s">
        <v>153</v>
      </c>
      <c r="D519">
        <v>24</v>
      </c>
      <c r="E519" t="s">
        <v>148</v>
      </c>
      <c r="F519" t="s">
        <v>162</v>
      </c>
      <c r="G519">
        <v>2255</v>
      </c>
      <c r="H519" t="s">
        <v>137</v>
      </c>
      <c r="I519" t="s">
        <v>173</v>
      </c>
      <c r="J519">
        <v>4</v>
      </c>
      <c r="K519" t="s">
        <v>139</v>
      </c>
      <c r="L519" t="s">
        <v>140</v>
      </c>
      <c r="M519">
        <v>1</v>
      </c>
      <c r="N519" t="s">
        <v>159</v>
      </c>
      <c r="O519">
        <v>54</v>
      </c>
      <c r="P519" t="s">
        <v>142</v>
      </c>
      <c r="Q519" t="s">
        <v>143</v>
      </c>
      <c r="R519">
        <v>1</v>
      </c>
      <c r="S519" t="s">
        <v>144</v>
      </c>
      <c r="T519">
        <v>1</v>
      </c>
      <c r="U519" t="s">
        <v>152</v>
      </c>
      <c r="V519" t="s">
        <v>146</v>
      </c>
      <c r="W519">
        <v>1</v>
      </c>
    </row>
    <row r="520" spans="2:23" x14ac:dyDescent="0.3">
      <c r="B520">
        <v>516</v>
      </c>
      <c r="C520" t="s">
        <v>134</v>
      </c>
      <c r="D520">
        <v>6</v>
      </c>
      <c r="E520" t="s">
        <v>135</v>
      </c>
      <c r="F520" t="s">
        <v>162</v>
      </c>
      <c r="G520">
        <v>609</v>
      </c>
      <c r="H520" t="s">
        <v>149</v>
      </c>
      <c r="I520" t="s">
        <v>155</v>
      </c>
      <c r="J520">
        <v>4</v>
      </c>
      <c r="K520" t="s">
        <v>151</v>
      </c>
      <c r="L520" t="s">
        <v>140</v>
      </c>
      <c r="M520">
        <v>3</v>
      </c>
      <c r="N520" t="s">
        <v>159</v>
      </c>
      <c r="O520">
        <v>37</v>
      </c>
      <c r="P520" t="s">
        <v>142</v>
      </c>
      <c r="Q520" t="s">
        <v>143</v>
      </c>
      <c r="R520">
        <v>2</v>
      </c>
      <c r="S520" t="s">
        <v>144</v>
      </c>
      <c r="T520">
        <v>1</v>
      </c>
      <c r="U520" t="s">
        <v>152</v>
      </c>
      <c r="V520" t="s">
        <v>178</v>
      </c>
      <c r="W520">
        <v>1</v>
      </c>
    </row>
    <row r="521" spans="2:23" x14ac:dyDescent="0.3">
      <c r="B521">
        <v>517</v>
      </c>
      <c r="C521" t="s">
        <v>134</v>
      </c>
      <c r="D521">
        <v>6</v>
      </c>
      <c r="E521" t="s">
        <v>135</v>
      </c>
      <c r="F521" t="s">
        <v>162</v>
      </c>
      <c r="G521">
        <v>1361</v>
      </c>
      <c r="H521" t="s">
        <v>149</v>
      </c>
      <c r="I521" t="s">
        <v>173</v>
      </c>
      <c r="J521">
        <v>2</v>
      </c>
      <c r="K521" t="s">
        <v>139</v>
      </c>
      <c r="L521" t="s">
        <v>140</v>
      </c>
      <c r="M521">
        <v>4</v>
      </c>
      <c r="N521" t="s">
        <v>141</v>
      </c>
      <c r="O521">
        <v>40</v>
      </c>
      <c r="P521" t="s">
        <v>142</v>
      </c>
      <c r="Q521" t="s">
        <v>143</v>
      </c>
      <c r="R521">
        <v>1</v>
      </c>
      <c r="S521" t="s">
        <v>156</v>
      </c>
      <c r="T521">
        <v>2</v>
      </c>
      <c r="U521" t="s">
        <v>152</v>
      </c>
      <c r="V521" t="s">
        <v>178</v>
      </c>
      <c r="W521">
        <v>1</v>
      </c>
    </row>
    <row r="522" spans="2:23" x14ac:dyDescent="0.3">
      <c r="B522">
        <v>518</v>
      </c>
      <c r="C522" t="s">
        <v>153</v>
      </c>
      <c r="D522">
        <v>36</v>
      </c>
      <c r="E522" t="s">
        <v>135</v>
      </c>
      <c r="F522" t="s">
        <v>157</v>
      </c>
      <c r="G522">
        <v>7127</v>
      </c>
      <c r="H522" t="s">
        <v>149</v>
      </c>
      <c r="I522" t="s">
        <v>173</v>
      </c>
      <c r="J522">
        <v>2</v>
      </c>
      <c r="K522" t="s">
        <v>151</v>
      </c>
      <c r="L522" t="s">
        <v>140</v>
      </c>
      <c r="M522">
        <v>4</v>
      </c>
      <c r="N522" t="s">
        <v>159</v>
      </c>
      <c r="O522">
        <v>23</v>
      </c>
      <c r="P522" t="s">
        <v>142</v>
      </c>
      <c r="Q522" t="s">
        <v>167</v>
      </c>
      <c r="R522">
        <v>2</v>
      </c>
      <c r="S522" t="s">
        <v>144</v>
      </c>
      <c r="T522">
        <v>1</v>
      </c>
      <c r="U522" t="s">
        <v>145</v>
      </c>
      <c r="V522" t="s">
        <v>146</v>
      </c>
      <c r="W522">
        <v>2</v>
      </c>
    </row>
    <row r="523" spans="2:23" x14ac:dyDescent="0.3">
      <c r="B523">
        <v>519</v>
      </c>
      <c r="C523" t="s">
        <v>134</v>
      </c>
      <c r="D523">
        <v>6</v>
      </c>
      <c r="E523" t="s">
        <v>148</v>
      </c>
      <c r="F523" t="s">
        <v>162</v>
      </c>
      <c r="G523">
        <v>1203</v>
      </c>
      <c r="H523" t="s">
        <v>175</v>
      </c>
      <c r="I523" t="s">
        <v>138</v>
      </c>
      <c r="J523">
        <v>3</v>
      </c>
      <c r="K523" t="s">
        <v>139</v>
      </c>
      <c r="L523" t="s">
        <v>140</v>
      </c>
      <c r="M523">
        <v>2</v>
      </c>
      <c r="N523" t="s">
        <v>159</v>
      </c>
      <c r="O523">
        <v>43</v>
      </c>
      <c r="P523" t="s">
        <v>142</v>
      </c>
      <c r="Q523" t="s">
        <v>143</v>
      </c>
      <c r="R523">
        <v>1</v>
      </c>
      <c r="S523" t="s">
        <v>144</v>
      </c>
      <c r="T523">
        <v>1</v>
      </c>
      <c r="U523" t="s">
        <v>145</v>
      </c>
      <c r="V523" t="s">
        <v>146</v>
      </c>
      <c r="W523">
        <v>1</v>
      </c>
    </row>
    <row r="524" spans="2:23" x14ac:dyDescent="0.3">
      <c r="B524">
        <v>520</v>
      </c>
      <c r="C524" t="s">
        <v>153</v>
      </c>
      <c r="D524">
        <v>6</v>
      </c>
      <c r="E524" t="s">
        <v>135</v>
      </c>
      <c r="F524" t="s">
        <v>136</v>
      </c>
      <c r="G524">
        <v>700</v>
      </c>
      <c r="H524" t="s">
        <v>137</v>
      </c>
      <c r="I524" t="s">
        <v>138</v>
      </c>
      <c r="J524">
        <v>4</v>
      </c>
      <c r="K524" t="s">
        <v>139</v>
      </c>
      <c r="L524" t="s">
        <v>140</v>
      </c>
      <c r="M524">
        <v>4</v>
      </c>
      <c r="N524" t="s">
        <v>163</v>
      </c>
      <c r="O524">
        <v>36</v>
      </c>
      <c r="P524" t="s">
        <v>142</v>
      </c>
      <c r="Q524" t="s">
        <v>160</v>
      </c>
      <c r="R524">
        <v>2</v>
      </c>
      <c r="S524" t="s">
        <v>144</v>
      </c>
      <c r="T524">
        <v>1</v>
      </c>
      <c r="U524" t="s">
        <v>152</v>
      </c>
      <c r="V524" t="s">
        <v>146</v>
      </c>
      <c r="W524">
        <v>1</v>
      </c>
    </row>
    <row r="525" spans="2:23" x14ac:dyDescent="0.3">
      <c r="B525">
        <v>521</v>
      </c>
      <c r="C525" t="s">
        <v>153</v>
      </c>
      <c r="D525">
        <v>24</v>
      </c>
      <c r="E525" t="s">
        <v>135</v>
      </c>
      <c r="F525" t="s">
        <v>184</v>
      </c>
      <c r="G525">
        <v>5507</v>
      </c>
      <c r="H525" t="s">
        <v>149</v>
      </c>
      <c r="I525" t="s">
        <v>138</v>
      </c>
      <c r="J525">
        <v>3</v>
      </c>
      <c r="K525" t="s">
        <v>139</v>
      </c>
      <c r="L525" t="s">
        <v>140</v>
      </c>
      <c r="M525">
        <v>4</v>
      </c>
      <c r="N525" t="s">
        <v>163</v>
      </c>
      <c r="O525">
        <v>44</v>
      </c>
      <c r="P525" t="s">
        <v>142</v>
      </c>
      <c r="Q525" t="s">
        <v>160</v>
      </c>
      <c r="R525">
        <v>2</v>
      </c>
      <c r="S525" t="s">
        <v>144</v>
      </c>
      <c r="T525">
        <v>1</v>
      </c>
      <c r="U525" t="s">
        <v>152</v>
      </c>
      <c r="V525" t="s">
        <v>146</v>
      </c>
      <c r="W525">
        <v>1</v>
      </c>
    </row>
    <row r="526" spans="2:23" x14ac:dyDescent="0.3">
      <c r="B526">
        <v>522</v>
      </c>
      <c r="C526" t="s">
        <v>134</v>
      </c>
      <c r="D526">
        <v>18</v>
      </c>
      <c r="E526" t="s">
        <v>148</v>
      </c>
      <c r="F526" t="s">
        <v>136</v>
      </c>
      <c r="G526">
        <v>3190</v>
      </c>
      <c r="H526" t="s">
        <v>149</v>
      </c>
      <c r="I526" t="s">
        <v>150</v>
      </c>
      <c r="J526">
        <v>2</v>
      </c>
      <c r="K526" t="s">
        <v>151</v>
      </c>
      <c r="L526" t="s">
        <v>140</v>
      </c>
      <c r="M526">
        <v>2</v>
      </c>
      <c r="N526" t="s">
        <v>141</v>
      </c>
      <c r="O526">
        <v>24</v>
      </c>
      <c r="P526" t="s">
        <v>142</v>
      </c>
      <c r="Q526" t="s">
        <v>143</v>
      </c>
      <c r="R526">
        <v>1</v>
      </c>
      <c r="S526" t="s">
        <v>144</v>
      </c>
      <c r="T526">
        <v>1</v>
      </c>
      <c r="U526" t="s">
        <v>152</v>
      </c>
      <c r="V526" t="s">
        <v>146</v>
      </c>
      <c r="W526">
        <v>2</v>
      </c>
    </row>
    <row r="527" spans="2:23" x14ac:dyDescent="0.3">
      <c r="B527">
        <v>523</v>
      </c>
      <c r="C527" t="s">
        <v>134</v>
      </c>
      <c r="D527">
        <v>48</v>
      </c>
      <c r="E527" t="s">
        <v>176</v>
      </c>
      <c r="F527" t="s">
        <v>157</v>
      </c>
      <c r="G527">
        <v>7119</v>
      </c>
      <c r="H527" t="s">
        <v>149</v>
      </c>
      <c r="I527" t="s">
        <v>150</v>
      </c>
      <c r="J527">
        <v>3</v>
      </c>
      <c r="K527" t="s">
        <v>139</v>
      </c>
      <c r="L527" t="s">
        <v>140</v>
      </c>
      <c r="M527">
        <v>4</v>
      </c>
      <c r="N527" t="s">
        <v>163</v>
      </c>
      <c r="O527">
        <v>53</v>
      </c>
      <c r="P527" t="s">
        <v>142</v>
      </c>
      <c r="Q527" t="s">
        <v>160</v>
      </c>
      <c r="R527">
        <v>2</v>
      </c>
      <c r="S527" t="s">
        <v>144</v>
      </c>
      <c r="T527">
        <v>2</v>
      </c>
      <c r="U527" t="s">
        <v>152</v>
      </c>
      <c r="V527" t="s">
        <v>146</v>
      </c>
      <c r="W527">
        <v>2</v>
      </c>
    </row>
    <row r="528" spans="2:23" x14ac:dyDescent="0.3">
      <c r="B528">
        <v>524</v>
      </c>
      <c r="C528" t="s">
        <v>153</v>
      </c>
      <c r="D528">
        <v>24</v>
      </c>
      <c r="E528" t="s">
        <v>148</v>
      </c>
      <c r="F528" t="s">
        <v>165</v>
      </c>
      <c r="G528">
        <v>3488</v>
      </c>
      <c r="H528" t="s">
        <v>175</v>
      </c>
      <c r="I528" t="s">
        <v>155</v>
      </c>
      <c r="J528">
        <v>3</v>
      </c>
      <c r="K528" t="s">
        <v>151</v>
      </c>
      <c r="L528" t="s">
        <v>140</v>
      </c>
      <c r="M528">
        <v>4</v>
      </c>
      <c r="N528" t="s">
        <v>166</v>
      </c>
      <c r="O528">
        <v>23</v>
      </c>
      <c r="P528" t="s">
        <v>142</v>
      </c>
      <c r="Q528" t="s">
        <v>143</v>
      </c>
      <c r="R528">
        <v>1</v>
      </c>
      <c r="S528" t="s">
        <v>144</v>
      </c>
      <c r="T528">
        <v>1</v>
      </c>
      <c r="U528" t="s">
        <v>152</v>
      </c>
      <c r="V528" t="s">
        <v>146</v>
      </c>
      <c r="W528">
        <v>1</v>
      </c>
    </row>
    <row r="529" spans="2:23" x14ac:dyDescent="0.3">
      <c r="B529">
        <v>525</v>
      </c>
      <c r="C529" t="s">
        <v>147</v>
      </c>
      <c r="D529">
        <v>18</v>
      </c>
      <c r="E529" t="s">
        <v>148</v>
      </c>
      <c r="F529" t="s">
        <v>136</v>
      </c>
      <c r="G529">
        <v>1113</v>
      </c>
      <c r="H529" t="s">
        <v>149</v>
      </c>
      <c r="I529" t="s">
        <v>150</v>
      </c>
      <c r="J529">
        <v>4</v>
      </c>
      <c r="K529" t="s">
        <v>151</v>
      </c>
      <c r="L529" t="s">
        <v>158</v>
      </c>
      <c r="M529">
        <v>4</v>
      </c>
      <c r="N529" t="s">
        <v>141</v>
      </c>
      <c r="O529">
        <v>26</v>
      </c>
      <c r="P529" t="s">
        <v>142</v>
      </c>
      <c r="Q529" t="s">
        <v>143</v>
      </c>
      <c r="R529">
        <v>1</v>
      </c>
      <c r="S529" t="s">
        <v>156</v>
      </c>
      <c r="T529">
        <v>2</v>
      </c>
      <c r="U529" t="s">
        <v>152</v>
      </c>
      <c r="V529" t="s">
        <v>146</v>
      </c>
      <c r="W529">
        <v>1</v>
      </c>
    </row>
    <row r="530" spans="2:23" x14ac:dyDescent="0.3">
      <c r="B530">
        <v>526</v>
      </c>
      <c r="C530" t="s">
        <v>147</v>
      </c>
      <c r="D530">
        <v>26</v>
      </c>
      <c r="E530" t="s">
        <v>148</v>
      </c>
      <c r="F530" t="s">
        <v>165</v>
      </c>
      <c r="G530">
        <v>7966</v>
      </c>
      <c r="H530" t="s">
        <v>149</v>
      </c>
      <c r="I530" t="s">
        <v>173</v>
      </c>
      <c r="J530">
        <v>2</v>
      </c>
      <c r="K530" t="s">
        <v>139</v>
      </c>
      <c r="L530" t="s">
        <v>140</v>
      </c>
      <c r="M530">
        <v>3</v>
      </c>
      <c r="N530" t="s">
        <v>166</v>
      </c>
      <c r="O530">
        <v>30</v>
      </c>
      <c r="P530" t="s">
        <v>142</v>
      </c>
      <c r="Q530" t="s">
        <v>143</v>
      </c>
      <c r="R530">
        <v>2</v>
      </c>
      <c r="S530" t="s">
        <v>144</v>
      </c>
      <c r="T530">
        <v>1</v>
      </c>
      <c r="U530" t="s">
        <v>152</v>
      </c>
      <c r="V530" t="s">
        <v>146</v>
      </c>
      <c r="W530">
        <v>1</v>
      </c>
    </row>
    <row r="531" spans="2:23" x14ac:dyDescent="0.3">
      <c r="B531">
        <v>527</v>
      </c>
      <c r="C531" t="s">
        <v>153</v>
      </c>
      <c r="D531">
        <v>15</v>
      </c>
      <c r="E531" t="s">
        <v>135</v>
      </c>
      <c r="F531" t="s">
        <v>154</v>
      </c>
      <c r="G531">
        <v>1532</v>
      </c>
      <c r="H531" t="s">
        <v>175</v>
      </c>
      <c r="I531" t="s">
        <v>150</v>
      </c>
      <c r="J531">
        <v>4</v>
      </c>
      <c r="K531" t="s">
        <v>151</v>
      </c>
      <c r="L531" t="s">
        <v>140</v>
      </c>
      <c r="M531">
        <v>3</v>
      </c>
      <c r="N531" t="s">
        <v>166</v>
      </c>
      <c r="O531">
        <v>31</v>
      </c>
      <c r="P531" t="s">
        <v>142</v>
      </c>
      <c r="Q531" t="s">
        <v>143</v>
      </c>
      <c r="R531">
        <v>1</v>
      </c>
      <c r="S531" t="s">
        <v>144</v>
      </c>
      <c r="T531">
        <v>1</v>
      </c>
      <c r="U531" t="s">
        <v>152</v>
      </c>
      <c r="V531" t="s">
        <v>146</v>
      </c>
      <c r="W531">
        <v>1</v>
      </c>
    </row>
    <row r="532" spans="2:23" x14ac:dyDescent="0.3">
      <c r="B532">
        <v>528</v>
      </c>
      <c r="C532" t="s">
        <v>153</v>
      </c>
      <c r="D532">
        <v>4</v>
      </c>
      <c r="E532" t="s">
        <v>135</v>
      </c>
      <c r="F532" t="s">
        <v>136</v>
      </c>
      <c r="G532">
        <v>1503</v>
      </c>
      <c r="H532" t="s">
        <v>149</v>
      </c>
      <c r="I532" t="s">
        <v>155</v>
      </c>
      <c r="J532">
        <v>2</v>
      </c>
      <c r="K532" t="s">
        <v>139</v>
      </c>
      <c r="L532" t="s">
        <v>140</v>
      </c>
      <c r="M532">
        <v>1</v>
      </c>
      <c r="N532" t="s">
        <v>141</v>
      </c>
      <c r="O532">
        <v>42</v>
      </c>
      <c r="P532" t="s">
        <v>142</v>
      </c>
      <c r="Q532" t="s">
        <v>143</v>
      </c>
      <c r="R532">
        <v>2</v>
      </c>
      <c r="S532" t="s">
        <v>156</v>
      </c>
      <c r="T532">
        <v>2</v>
      </c>
      <c r="U532" t="s">
        <v>152</v>
      </c>
      <c r="V532" t="s">
        <v>146</v>
      </c>
      <c r="W532">
        <v>1</v>
      </c>
    </row>
    <row r="533" spans="2:23" x14ac:dyDescent="0.3">
      <c r="B533">
        <v>529</v>
      </c>
      <c r="C533" t="s">
        <v>134</v>
      </c>
      <c r="D533">
        <v>36</v>
      </c>
      <c r="E533" t="s">
        <v>148</v>
      </c>
      <c r="F533" t="s">
        <v>136</v>
      </c>
      <c r="G533">
        <v>2302</v>
      </c>
      <c r="H533" t="s">
        <v>149</v>
      </c>
      <c r="I533" t="s">
        <v>150</v>
      </c>
      <c r="J533">
        <v>4</v>
      </c>
      <c r="K533" t="s">
        <v>170</v>
      </c>
      <c r="L533" t="s">
        <v>140</v>
      </c>
      <c r="M533">
        <v>4</v>
      </c>
      <c r="N533" t="s">
        <v>166</v>
      </c>
      <c r="O533">
        <v>31</v>
      </c>
      <c r="P533" t="s">
        <v>142</v>
      </c>
      <c r="Q533" t="s">
        <v>167</v>
      </c>
      <c r="R533">
        <v>1</v>
      </c>
      <c r="S533" t="s">
        <v>144</v>
      </c>
      <c r="T533">
        <v>1</v>
      </c>
      <c r="U533" t="s">
        <v>152</v>
      </c>
      <c r="V533" t="s">
        <v>146</v>
      </c>
      <c r="W533">
        <v>2</v>
      </c>
    </row>
    <row r="534" spans="2:23" x14ac:dyDescent="0.3">
      <c r="B534">
        <v>530</v>
      </c>
      <c r="C534" t="s">
        <v>134</v>
      </c>
      <c r="D534">
        <v>6</v>
      </c>
      <c r="E534" t="s">
        <v>148</v>
      </c>
      <c r="F534" t="s">
        <v>162</v>
      </c>
      <c r="G534">
        <v>662</v>
      </c>
      <c r="H534" t="s">
        <v>149</v>
      </c>
      <c r="I534" t="s">
        <v>173</v>
      </c>
      <c r="J534">
        <v>3</v>
      </c>
      <c r="K534" t="s">
        <v>139</v>
      </c>
      <c r="L534" t="s">
        <v>140</v>
      </c>
      <c r="M534">
        <v>4</v>
      </c>
      <c r="N534" t="s">
        <v>141</v>
      </c>
      <c r="O534">
        <v>41</v>
      </c>
      <c r="P534" t="s">
        <v>142</v>
      </c>
      <c r="Q534" t="s">
        <v>143</v>
      </c>
      <c r="R534">
        <v>1</v>
      </c>
      <c r="S534" t="s">
        <v>156</v>
      </c>
      <c r="T534">
        <v>2</v>
      </c>
      <c r="U534" t="s">
        <v>145</v>
      </c>
      <c r="V534" t="s">
        <v>146</v>
      </c>
      <c r="W534">
        <v>1</v>
      </c>
    </row>
    <row r="535" spans="2:23" x14ac:dyDescent="0.3">
      <c r="B535">
        <v>531</v>
      </c>
      <c r="C535" t="s">
        <v>147</v>
      </c>
      <c r="D535">
        <v>36</v>
      </c>
      <c r="E535" t="s">
        <v>148</v>
      </c>
      <c r="F535" t="s">
        <v>154</v>
      </c>
      <c r="G535">
        <v>2273</v>
      </c>
      <c r="H535" t="s">
        <v>149</v>
      </c>
      <c r="I535" t="s">
        <v>155</v>
      </c>
      <c r="J535">
        <v>3</v>
      </c>
      <c r="K535" t="s">
        <v>139</v>
      </c>
      <c r="L535" t="s">
        <v>140</v>
      </c>
      <c r="M535">
        <v>1</v>
      </c>
      <c r="N535" t="s">
        <v>166</v>
      </c>
      <c r="O535">
        <v>32</v>
      </c>
      <c r="P535" t="s">
        <v>142</v>
      </c>
      <c r="Q535" t="s">
        <v>143</v>
      </c>
      <c r="R535">
        <v>2</v>
      </c>
      <c r="S535" t="s">
        <v>144</v>
      </c>
      <c r="T535">
        <v>2</v>
      </c>
      <c r="U535" t="s">
        <v>152</v>
      </c>
      <c r="V535" t="s">
        <v>146</v>
      </c>
      <c r="W535">
        <v>1</v>
      </c>
    </row>
    <row r="536" spans="2:23" x14ac:dyDescent="0.3">
      <c r="B536">
        <v>532</v>
      </c>
      <c r="C536" t="s">
        <v>147</v>
      </c>
      <c r="D536">
        <v>15</v>
      </c>
      <c r="E536" t="s">
        <v>148</v>
      </c>
      <c r="F536" t="s">
        <v>162</v>
      </c>
      <c r="G536">
        <v>2631</v>
      </c>
      <c r="H536" t="s">
        <v>175</v>
      </c>
      <c r="I536" t="s">
        <v>150</v>
      </c>
      <c r="J536">
        <v>2</v>
      </c>
      <c r="K536" t="s">
        <v>151</v>
      </c>
      <c r="L536" t="s">
        <v>140</v>
      </c>
      <c r="M536">
        <v>4</v>
      </c>
      <c r="N536" t="s">
        <v>166</v>
      </c>
      <c r="O536">
        <v>28</v>
      </c>
      <c r="P536" t="s">
        <v>142</v>
      </c>
      <c r="Q536" t="s">
        <v>167</v>
      </c>
      <c r="R536">
        <v>2</v>
      </c>
      <c r="S536" t="s">
        <v>144</v>
      </c>
      <c r="T536">
        <v>1</v>
      </c>
      <c r="U536" t="s">
        <v>145</v>
      </c>
      <c r="V536" t="s">
        <v>146</v>
      </c>
      <c r="W536">
        <v>2</v>
      </c>
    </row>
    <row r="537" spans="2:23" x14ac:dyDescent="0.3">
      <c r="B537">
        <v>533</v>
      </c>
      <c r="C537" t="s">
        <v>153</v>
      </c>
      <c r="D537">
        <v>12</v>
      </c>
      <c r="E537" t="s">
        <v>161</v>
      </c>
      <c r="F537" t="s">
        <v>165</v>
      </c>
      <c r="G537">
        <v>1503</v>
      </c>
      <c r="H537" t="s">
        <v>149</v>
      </c>
      <c r="I537" t="s">
        <v>150</v>
      </c>
      <c r="J537">
        <v>4</v>
      </c>
      <c r="K537" t="s">
        <v>172</v>
      </c>
      <c r="L537" t="s">
        <v>140</v>
      </c>
      <c r="M537">
        <v>4</v>
      </c>
      <c r="N537" t="s">
        <v>141</v>
      </c>
      <c r="O537">
        <v>41</v>
      </c>
      <c r="P537" t="s">
        <v>142</v>
      </c>
      <c r="Q537" t="s">
        <v>167</v>
      </c>
      <c r="R537">
        <v>1</v>
      </c>
      <c r="S537" t="s">
        <v>144</v>
      </c>
      <c r="T537">
        <v>1</v>
      </c>
      <c r="U537" t="s">
        <v>152</v>
      </c>
      <c r="V537" t="s">
        <v>146</v>
      </c>
      <c r="W537">
        <v>1</v>
      </c>
    </row>
    <row r="538" spans="2:23" x14ac:dyDescent="0.3">
      <c r="B538">
        <v>534</v>
      </c>
      <c r="C538" t="s">
        <v>153</v>
      </c>
      <c r="D538">
        <v>24</v>
      </c>
      <c r="E538" t="s">
        <v>148</v>
      </c>
      <c r="F538" t="s">
        <v>136</v>
      </c>
      <c r="G538">
        <v>1311</v>
      </c>
      <c r="H538" t="s">
        <v>175</v>
      </c>
      <c r="I538" t="s">
        <v>155</v>
      </c>
      <c r="J538">
        <v>4</v>
      </c>
      <c r="K538" t="s">
        <v>172</v>
      </c>
      <c r="L538" t="s">
        <v>140</v>
      </c>
      <c r="M538">
        <v>3</v>
      </c>
      <c r="N538" t="s">
        <v>159</v>
      </c>
      <c r="O538">
        <v>26</v>
      </c>
      <c r="P538" t="s">
        <v>142</v>
      </c>
      <c r="Q538" t="s">
        <v>143</v>
      </c>
      <c r="R538">
        <v>1</v>
      </c>
      <c r="S538" t="s">
        <v>144</v>
      </c>
      <c r="T538">
        <v>1</v>
      </c>
      <c r="U538" t="s">
        <v>145</v>
      </c>
      <c r="V538" t="s">
        <v>146</v>
      </c>
      <c r="W538">
        <v>1</v>
      </c>
    </row>
    <row r="539" spans="2:23" x14ac:dyDescent="0.3">
      <c r="B539">
        <v>535</v>
      </c>
      <c r="C539" t="s">
        <v>153</v>
      </c>
      <c r="D539">
        <v>24</v>
      </c>
      <c r="E539" t="s">
        <v>148</v>
      </c>
      <c r="F539" t="s">
        <v>136</v>
      </c>
      <c r="G539">
        <v>3105</v>
      </c>
      <c r="H539" t="s">
        <v>137</v>
      </c>
      <c r="I539" t="s">
        <v>173</v>
      </c>
      <c r="J539">
        <v>4</v>
      </c>
      <c r="K539" t="s">
        <v>139</v>
      </c>
      <c r="L539" t="s">
        <v>140</v>
      </c>
      <c r="M539">
        <v>2</v>
      </c>
      <c r="N539" t="s">
        <v>166</v>
      </c>
      <c r="O539">
        <v>25</v>
      </c>
      <c r="P539" t="s">
        <v>142</v>
      </c>
      <c r="Q539" t="s">
        <v>143</v>
      </c>
      <c r="R539">
        <v>2</v>
      </c>
      <c r="S539" t="s">
        <v>144</v>
      </c>
      <c r="T539">
        <v>1</v>
      </c>
      <c r="U539" t="s">
        <v>152</v>
      </c>
      <c r="V539" t="s">
        <v>146</v>
      </c>
      <c r="W539">
        <v>1</v>
      </c>
    </row>
    <row r="540" spans="2:23" x14ac:dyDescent="0.3">
      <c r="B540">
        <v>536</v>
      </c>
      <c r="C540" t="s">
        <v>179</v>
      </c>
      <c r="D540">
        <v>21</v>
      </c>
      <c r="E540" t="s">
        <v>135</v>
      </c>
      <c r="F540" t="s">
        <v>154</v>
      </c>
      <c r="G540">
        <v>2319</v>
      </c>
      <c r="H540" t="s">
        <v>149</v>
      </c>
      <c r="I540" t="s">
        <v>173</v>
      </c>
      <c r="J540">
        <v>2</v>
      </c>
      <c r="K540" t="s">
        <v>170</v>
      </c>
      <c r="L540" t="s">
        <v>140</v>
      </c>
      <c r="M540">
        <v>1</v>
      </c>
      <c r="N540" t="s">
        <v>166</v>
      </c>
      <c r="O540">
        <v>33</v>
      </c>
      <c r="P540" t="s">
        <v>142</v>
      </c>
      <c r="Q540" t="s">
        <v>167</v>
      </c>
      <c r="R540">
        <v>1</v>
      </c>
      <c r="S540" t="s">
        <v>144</v>
      </c>
      <c r="T540">
        <v>1</v>
      </c>
      <c r="U540" t="s">
        <v>152</v>
      </c>
      <c r="V540" t="s">
        <v>146</v>
      </c>
      <c r="W540">
        <v>2</v>
      </c>
    </row>
    <row r="541" spans="2:23" x14ac:dyDescent="0.3">
      <c r="B541">
        <v>537</v>
      </c>
      <c r="C541" t="s">
        <v>134</v>
      </c>
      <c r="D541">
        <v>6</v>
      </c>
      <c r="E541" t="s">
        <v>148</v>
      </c>
      <c r="F541" t="s">
        <v>162</v>
      </c>
      <c r="G541">
        <v>1374</v>
      </c>
      <c r="H541" t="s">
        <v>137</v>
      </c>
      <c r="I541" t="s">
        <v>171</v>
      </c>
      <c r="J541">
        <v>4</v>
      </c>
      <c r="K541" t="s">
        <v>151</v>
      </c>
      <c r="L541" t="s">
        <v>140</v>
      </c>
      <c r="M541">
        <v>3</v>
      </c>
      <c r="N541" t="s">
        <v>159</v>
      </c>
      <c r="O541">
        <v>75</v>
      </c>
      <c r="P541" t="s">
        <v>142</v>
      </c>
      <c r="Q541" t="s">
        <v>143</v>
      </c>
      <c r="R541">
        <v>1</v>
      </c>
      <c r="S541" t="s">
        <v>168</v>
      </c>
      <c r="T541">
        <v>1</v>
      </c>
      <c r="U541" t="s">
        <v>145</v>
      </c>
      <c r="V541" t="s">
        <v>146</v>
      </c>
      <c r="W541">
        <v>1</v>
      </c>
    </row>
    <row r="542" spans="2:23" x14ac:dyDescent="0.3">
      <c r="B542">
        <v>538</v>
      </c>
      <c r="C542" t="s">
        <v>147</v>
      </c>
      <c r="D542">
        <v>18</v>
      </c>
      <c r="E542" t="s">
        <v>135</v>
      </c>
      <c r="F542" t="s">
        <v>157</v>
      </c>
      <c r="G542">
        <v>3612</v>
      </c>
      <c r="H542" t="s">
        <v>149</v>
      </c>
      <c r="I542" t="s">
        <v>138</v>
      </c>
      <c r="J542">
        <v>3</v>
      </c>
      <c r="K542" t="s">
        <v>151</v>
      </c>
      <c r="L542" t="s">
        <v>140</v>
      </c>
      <c r="M542">
        <v>4</v>
      </c>
      <c r="N542" t="s">
        <v>159</v>
      </c>
      <c r="O542">
        <v>37</v>
      </c>
      <c r="P542" t="s">
        <v>142</v>
      </c>
      <c r="Q542" t="s">
        <v>143</v>
      </c>
      <c r="R542">
        <v>1</v>
      </c>
      <c r="S542" t="s">
        <v>144</v>
      </c>
      <c r="T542">
        <v>1</v>
      </c>
      <c r="U542" t="s">
        <v>145</v>
      </c>
      <c r="V542" t="s">
        <v>146</v>
      </c>
      <c r="W542">
        <v>1</v>
      </c>
    </row>
    <row r="543" spans="2:23" x14ac:dyDescent="0.3">
      <c r="B543">
        <v>539</v>
      </c>
      <c r="C543" t="s">
        <v>134</v>
      </c>
      <c r="D543">
        <v>48</v>
      </c>
      <c r="E543" t="s">
        <v>148</v>
      </c>
      <c r="F543" t="s">
        <v>162</v>
      </c>
      <c r="G543">
        <v>7763</v>
      </c>
      <c r="H543" t="s">
        <v>149</v>
      </c>
      <c r="I543" t="s">
        <v>138</v>
      </c>
      <c r="J543">
        <v>4</v>
      </c>
      <c r="K543" t="s">
        <v>139</v>
      </c>
      <c r="L543" t="s">
        <v>140</v>
      </c>
      <c r="M543">
        <v>4</v>
      </c>
      <c r="N543" t="s">
        <v>163</v>
      </c>
      <c r="O543">
        <v>42</v>
      </c>
      <c r="P543" t="s">
        <v>177</v>
      </c>
      <c r="Q543" t="s">
        <v>160</v>
      </c>
      <c r="R543">
        <v>1</v>
      </c>
      <c r="S543" t="s">
        <v>168</v>
      </c>
      <c r="T543">
        <v>1</v>
      </c>
      <c r="U543" t="s">
        <v>152</v>
      </c>
      <c r="V543" t="s">
        <v>146</v>
      </c>
      <c r="W543">
        <v>2</v>
      </c>
    </row>
    <row r="544" spans="2:23" x14ac:dyDescent="0.3">
      <c r="B544">
        <v>540</v>
      </c>
      <c r="C544" t="s">
        <v>179</v>
      </c>
      <c r="D544">
        <v>18</v>
      </c>
      <c r="E544" t="s">
        <v>148</v>
      </c>
      <c r="F544" t="s">
        <v>157</v>
      </c>
      <c r="G544">
        <v>3049</v>
      </c>
      <c r="H544" t="s">
        <v>149</v>
      </c>
      <c r="I544" t="s">
        <v>173</v>
      </c>
      <c r="J544">
        <v>1</v>
      </c>
      <c r="K544" t="s">
        <v>151</v>
      </c>
      <c r="L544" t="s">
        <v>140</v>
      </c>
      <c r="M544">
        <v>1</v>
      </c>
      <c r="N544" t="s">
        <v>159</v>
      </c>
      <c r="O544">
        <v>45</v>
      </c>
      <c r="P544" t="s">
        <v>181</v>
      </c>
      <c r="Q544" t="s">
        <v>143</v>
      </c>
      <c r="R544">
        <v>1</v>
      </c>
      <c r="S544" t="s">
        <v>156</v>
      </c>
      <c r="T544">
        <v>1</v>
      </c>
      <c r="U544" t="s">
        <v>152</v>
      </c>
      <c r="V544" t="s">
        <v>146</v>
      </c>
      <c r="W544">
        <v>1</v>
      </c>
    </row>
    <row r="545" spans="2:23" x14ac:dyDescent="0.3">
      <c r="B545">
        <v>541</v>
      </c>
      <c r="C545" t="s">
        <v>147</v>
      </c>
      <c r="D545">
        <v>12</v>
      </c>
      <c r="E545" t="s">
        <v>148</v>
      </c>
      <c r="F545" t="s">
        <v>136</v>
      </c>
      <c r="G545">
        <v>1534</v>
      </c>
      <c r="H545" t="s">
        <v>149</v>
      </c>
      <c r="I545" t="s">
        <v>173</v>
      </c>
      <c r="J545">
        <v>1</v>
      </c>
      <c r="K545" t="s">
        <v>172</v>
      </c>
      <c r="L545" t="s">
        <v>140</v>
      </c>
      <c r="M545">
        <v>1</v>
      </c>
      <c r="N545" t="s">
        <v>141</v>
      </c>
      <c r="O545">
        <v>23</v>
      </c>
      <c r="P545" t="s">
        <v>142</v>
      </c>
      <c r="Q545" t="s">
        <v>167</v>
      </c>
      <c r="R545">
        <v>1</v>
      </c>
      <c r="S545" t="s">
        <v>144</v>
      </c>
      <c r="T545">
        <v>1</v>
      </c>
      <c r="U545" t="s">
        <v>152</v>
      </c>
      <c r="V545" t="s">
        <v>146</v>
      </c>
      <c r="W545">
        <v>2</v>
      </c>
    </row>
    <row r="546" spans="2:23" x14ac:dyDescent="0.3">
      <c r="B546">
        <v>542</v>
      </c>
      <c r="C546" t="s">
        <v>153</v>
      </c>
      <c r="D546">
        <v>24</v>
      </c>
      <c r="E546" t="s">
        <v>161</v>
      </c>
      <c r="F546" t="s">
        <v>162</v>
      </c>
      <c r="G546">
        <v>2032</v>
      </c>
      <c r="H546" t="s">
        <v>149</v>
      </c>
      <c r="I546" t="s">
        <v>138</v>
      </c>
      <c r="J546">
        <v>4</v>
      </c>
      <c r="K546" t="s">
        <v>139</v>
      </c>
      <c r="L546" t="s">
        <v>140</v>
      </c>
      <c r="M546">
        <v>4</v>
      </c>
      <c r="N546" t="s">
        <v>163</v>
      </c>
      <c r="O546">
        <v>60</v>
      </c>
      <c r="P546" t="s">
        <v>142</v>
      </c>
      <c r="Q546" t="s">
        <v>160</v>
      </c>
      <c r="R546">
        <v>2</v>
      </c>
      <c r="S546" t="s">
        <v>144</v>
      </c>
      <c r="T546">
        <v>1</v>
      </c>
      <c r="U546" t="s">
        <v>145</v>
      </c>
      <c r="V546" t="s">
        <v>146</v>
      </c>
      <c r="W546">
        <v>1</v>
      </c>
    </row>
    <row r="547" spans="2:23" x14ac:dyDescent="0.3">
      <c r="B547">
        <v>543</v>
      </c>
      <c r="C547" t="s">
        <v>134</v>
      </c>
      <c r="D547">
        <v>30</v>
      </c>
      <c r="E547" t="s">
        <v>148</v>
      </c>
      <c r="F547" t="s">
        <v>157</v>
      </c>
      <c r="G547">
        <v>6350</v>
      </c>
      <c r="H547" t="s">
        <v>137</v>
      </c>
      <c r="I547" t="s">
        <v>138</v>
      </c>
      <c r="J547">
        <v>4</v>
      </c>
      <c r="K547" t="s">
        <v>139</v>
      </c>
      <c r="L547" t="s">
        <v>140</v>
      </c>
      <c r="M547">
        <v>4</v>
      </c>
      <c r="N547" t="s">
        <v>159</v>
      </c>
      <c r="O547">
        <v>31</v>
      </c>
      <c r="P547" t="s">
        <v>142</v>
      </c>
      <c r="Q547" t="s">
        <v>143</v>
      </c>
      <c r="R547">
        <v>1</v>
      </c>
      <c r="S547" t="s">
        <v>144</v>
      </c>
      <c r="T547">
        <v>1</v>
      </c>
      <c r="U547" t="s">
        <v>152</v>
      </c>
      <c r="V547" t="s">
        <v>146</v>
      </c>
      <c r="W547">
        <v>2</v>
      </c>
    </row>
    <row r="548" spans="2:23" x14ac:dyDescent="0.3">
      <c r="B548">
        <v>544</v>
      </c>
      <c r="C548" t="s">
        <v>179</v>
      </c>
      <c r="D548">
        <v>18</v>
      </c>
      <c r="E548" t="s">
        <v>148</v>
      </c>
      <c r="F548" t="s">
        <v>157</v>
      </c>
      <c r="G548">
        <v>2864</v>
      </c>
      <c r="H548" t="s">
        <v>149</v>
      </c>
      <c r="I548" t="s">
        <v>150</v>
      </c>
      <c r="J548">
        <v>2</v>
      </c>
      <c r="K548" t="s">
        <v>139</v>
      </c>
      <c r="L548" t="s">
        <v>140</v>
      </c>
      <c r="M548">
        <v>1</v>
      </c>
      <c r="N548" t="s">
        <v>141</v>
      </c>
      <c r="O548">
        <v>34</v>
      </c>
      <c r="P548" t="s">
        <v>142</v>
      </c>
      <c r="Q548" t="s">
        <v>143</v>
      </c>
      <c r="R548">
        <v>1</v>
      </c>
      <c r="S548" t="s">
        <v>156</v>
      </c>
      <c r="T548">
        <v>2</v>
      </c>
      <c r="U548" t="s">
        <v>152</v>
      </c>
      <c r="V548" t="s">
        <v>146</v>
      </c>
      <c r="W548">
        <v>2</v>
      </c>
    </row>
    <row r="549" spans="2:23" x14ac:dyDescent="0.3">
      <c r="B549">
        <v>545</v>
      </c>
      <c r="C549" t="s">
        <v>153</v>
      </c>
      <c r="D549">
        <v>12</v>
      </c>
      <c r="E549" t="s">
        <v>135</v>
      </c>
      <c r="F549" t="s">
        <v>162</v>
      </c>
      <c r="G549">
        <v>1255</v>
      </c>
      <c r="H549" t="s">
        <v>149</v>
      </c>
      <c r="I549" t="s">
        <v>138</v>
      </c>
      <c r="J549">
        <v>4</v>
      </c>
      <c r="K549" t="s">
        <v>139</v>
      </c>
      <c r="L549" t="s">
        <v>140</v>
      </c>
      <c r="M549">
        <v>4</v>
      </c>
      <c r="N549" t="s">
        <v>141</v>
      </c>
      <c r="O549">
        <v>61</v>
      </c>
      <c r="P549" t="s">
        <v>142</v>
      </c>
      <c r="Q549" t="s">
        <v>143</v>
      </c>
      <c r="R549">
        <v>2</v>
      </c>
      <c r="S549" t="s">
        <v>156</v>
      </c>
      <c r="T549">
        <v>1</v>
      </c>
      <c r="U549" t="s">
        <v>152</v>
      </c>
      <c r="V549" t="s">
        <v>146</v>
      </c>
      <c r="W549">
        <v>1</v>
      </c>
    </row>
    <row r="550" spans="2:23" x14ac:dyDescent="0.3">
      <c r="B550">
        <v>546</v>
      </c>
      <c r="C550" t="s">
        <v>134</v>
      </c>
      <c r="D550">
        <v>24</v>
      </c>
      <c r="E550" t="s">
        <v>161</v>
      </c>
      <c r="F550" t="s">
        <v>162</v>
      </c>
      <c r="G550">
        <v>1333</v>
      </c>
      <c r="H550" t="s">
        <v>149</v>
      </c>
      <c r="I550" t="s">
        <v>171</v>
      </c>
      <c r="J550">
        <v>4</v>
      </c>
      <c r="K550" t="s">
        <v>139</v>
      </c>
      <c r="L550" t="s">
        <v>140</v>
      </c>
      <c r="M550">
        <v>2</v>
      </c>
      <c r="N550" t="s">
        <v>141</v>
      </c>
      <c r="O550">
        <v>43</v>
      </c>
      <c r="P550" t="s">
        <v>142</v>
      </c>
      <c r="Q550" t="s">
        <v>160</v>
      </c>
      <c r="R550">
        <v>2</v>
      </c>
      <c r="S550" t="s">
        <v>144</v>
      </c>
      <c r="T550">
        <v>2</v>
      </c>
      <c r="U550" t="s">
        <v>152</v>
      </c>
      <c r="V550" t="s">
        <v>146</v>
      </c>
      <c r="W550">
        <v>2</v>
      </c>
    </row>
    <row r="551" spans="2:23" x14ac:dyDescent="0.3">
      <c r="B551">
        <v>547</v>
      </c>
      <c r="C551" t="s">
        <v>153</v>
      </c>
      <c r="D551">
        <v>24</v>
      </c>
      <c r="E551" t="s">
        <v>135</v>
      </c>
      <c r="F551" t="s">
        <v>162</v>
      </c>
      <c r="G551">
        <v>2022</v>
      </c>
      <c r="H551" t="s">
        <v>149</v>
      </c>
      <c r="I551" t="s">
        <v>150</v>
      </c>
      <c r="J551">
        <v>4</v>
      </c>
      <c r="K551" t="s">
        <v>151</v>
      </c>
      <c r="L551" t="s">
        <v>140</v>
      </c>
      <c r="M551">
        <v>4</v>
      </c>
      <c r="N551" t="s">
        <v>166</v>
      </c>
      <c r="O551">
        <v>37</v>
      </c>
      <c r="P551" t="s">
        <v>142</v>
      </c>
      <c r="Q551" t="s">
        <v>143</v>
      </c>
      <c r="R551">
        <v>1</v>
      </c>
      <c r="S551" t="s">
        <v>144</v>
      </c>
      <c r="T551">
        <v>1</v>
      </c>
      <c r="U551" t="s">
        <v>145</v>
      </c>
      <c r="V551" t="s">
        <v>146</v>
      </c>
      <c r="W551">
        <v>1</v>
      </c>
    </row>
    <row r="552" spans="2:23" x14ac:dyDescent="0.3">
      <c r="B552">
        <v>548</v>
      </c>
      <c r="C552" t="s">
        <v>153</v>
      </c>
      <c r="D552">
        <v>24</v>
      </c>
      <c r="E552" t="s">
        <v>148</v>
      </c>
      <c r="F552" t="s">
        <v>136</v>
      </c>
      <c r="G552">
        <v>1552</v>
      </c>
      <c r="H552" t="s">
        <v>149</v>
      </c>
      <c r="I552" t="s">
        <v>155</v>
      </c>
      <c r="J552">
        <v>3</v>
      </c>
      <c r="K552" t="s">
        <v>139</v>
      </c>
      <c r="L552" t="s">
        <v>140</v>
      </c>
      <c r="M552">
        <v>1</v>
      </c>
      <c r="N552" t="s">
        <v>166</v>
      </c>
      <c r="O552">
        <v>32</v>
      </c>
      <c r="P552" t="s">
        <v>177</v>
      </c>
      <c r="Q552" t="s">
        <v>143</v>
      </c>
      <c r="R552">
        <v>1</v>
      </c>
      <c r="S552" t="s">
        <v>144</v>
      </c>
      <c r="T552">
        <v>2</v>
      </c>
      <c r="U552" t="s">
        <v>152</v>
      </c>
      <c r="V552" t="s">
        <v>146</v>
      </c>
      <c r="W552">
        <v>1</v>
      </c>
    </row>
    <row r="553" spans="2:23" x14ac:dyDescent="0.3">
      <c r="B553">
        <v>549</v>
      </c>
      <c r="C553" t="s">
        <v>134</v>
      </c>
      <c r="D553">
        <v>12</v>
      </c>
      <c r="E553" t="s">
        <v>180</v>
      </c>
      <c r="F553" t="s">
        <v>136</v>
      </c>
      <c r="G553">
        <v>626</v>
      </c>
      <c r="H553" t="s">
        <v>149</v>
      </c>
      <c r="I553" t="s">
        <v>150</v>
      </c>
      <c r="J553">
        <v>4</v>
      </c>
      <c r="K553" t="s">
        <v>151</v>
      </c>
      <c r="L553" t="s">
        <v>140</v>
      </c>
      <c r="M553">
        <v>4</v>
      </c>
      <c r="N553" t="s">
        <v>141</v>
      </c>
      <c r="O553">
        <v>24</v>
      </c>
      <c r="P553" t="s">
        <v>177</v>
      </c>
      <c r="Q553" t="s">
        <v>143</v>
      </c>
      <c r="R553">
        <v>1</v>
      </c>
      <c r="S553" t="s">
        <v>156</v>
      </c>
      <c r="T553">
        <v>1</v>
      </c>
      <c r="U553" t="s">
        <v>152</v>
      </c>
      <c r="V553" t="s">
        <v>146</v>
      </c>
      <c r="W553">
        <v>2</v>
      </c>
    </row>
    <row r="554" spans="2:23" x14ac:dyDescent="0.3">
      <c r="B554">
        <v>550</v>
      </c>
      <c r="C554" t="s">
        <v>153</v>
      </c>
      <c r="D554">
        <v>48</v>
      </c>
      <c r="E554" t="s">
        <v>135</v>
      </c>
      <c r="F554" t="s">
        <v>165</v>
      </c>
      <c r="G554">
        <v>8858</v>
      </c>
      <c r="H554" t="s">
        <v>137</v>
      </c>
      <c r="I554" t="s">
        <v>155</v>
      </c>
      <c r="J554">
        <v>2</v>
      </c>
      <c r="K554" t="s">
        <v>139</v>
      </c>
      <c r="L554" t="s">
        <v>140</v>
      </c>
      <c r="M554">
        <v>1</v>
      </c>
      <c r="N554" t="s">
        <v>163</v>
      </c>
      <c r="O554">
        <v>35</v>
      </c>
      <c r="P554" t="s">
        <v>142</v>
      </c>
      <c r="Q554" t="s">
        <v>160</v>
      </c>
      <c r="R554">
        <v>2</v>
      </c>
      <c r="S554" t="s">
        <v>144</v>
      </c>
      <c r="T554">
        <v>1</v>
      </c>
      <c r="U554" t="s">
        <v>145</v>
      </c>
      <c r="V554" t="s">
        <v>146</v>
      </c>
      <c r="W554">
        <v>1</v>
      </c>
    </row>
    <row r="555" spans="2:23" x14ac:dyDescent="0.3">
      <c r="B555">
        <v>551</v>
      </c>
      <c r="C555" t="s">
        <v>153</v>
      </c>
      <c r="D555">
        <v>12</v>
      </c>
      <c r="E555" t="s">
        <v>135</v>
      </c>
      <c r="F555" t="s">
        <v>184</v>
      </c>
      <c r="G555">
        <v>996</v>
      </c>
      <c r="H555" t="s">
        <v>137</v>
      </c>
      <c r="I555" t="s">
        <v>155</v>
      </c>
      <c r="J555">
        <v>4</v>
      </c>
      <c r="K555" t="s">
        <v>151</v>
      </c>
      <c r="L555" t="s">
        <v>140</v>
      </c>
      <c r="M555">
        <v>4</v>
      </c>
      <c r="N555" t="s">
        <v>141</v>
      </c>
      <c r="O555">
        <v>23</v>
      </c>
      <c r="P555" t="s">
        <v>142</v>
      </c>
      <c r="Q555" t="s">
        <v>143</v>
      </c>
      <c r="R555">
        <v>2</v>
      </c>
      <c r="S555" t="s">
        <v>144</v>
      </c>
      <c r="T555">
        <v>1</v>
      </c>
      <c r="U555" t="s">
        <v>152</v>
      </c>
      <c r="V555" t="s">
        <v>146</v>
      </c>
      <c r="W555">
        <v>1</v>
      </c>
    </row>
    <row r="556" spans="2:23" x14ac:dyDescent="0.3">
      <c r="B556">
        <v>552</v>
      </c>
      <c r="C556" t="s">
        <v>153</v>
      </c>
      <c r="D556">
        <v>6</v>
      </c>
      <c r="E556" t="s">
        <v>180</v>
      </c>
      <c r="F556" t="s">
        <v>136</v>
      </c>
      <c r="G556">
        <v>1750</v>
      </c>
      <c r="H556" t="s">
        <v>164</v>
      </c>
      <c r="I556" t="s">
        <v>138</v>
      </c>
      <c r="J556">
        <v>2</v>
      </c>
      <c r="K556" t="s">
        <v>139</v>
      </c>
      <c r="L556" t="s">
        <v>140</v>
      </c>
      <c r="M556">
        <v>4</v>
      </c>
      <c r="N556" t="s">
        <v>159</v>
      </c>
      <c r="O556">
        <v>45</v>
      </c>
      <c r="P556" t="s">
        <v>177</v>
      </c>
      <c r="Q556" t="s">
        <v>143</v>
      </c>
      <c r="R556">
        <v>1</v>
      </c>
      <c r="S556" t="s">
        <v>156</v>
      </c>
      <c r="T556">
        <v>2</v>
      </c>
      <c r="U556" t="s">
        <v>152</v>
      </c>
      <c r="V556" t="s">
        <v>146</v>
      </c>
      <c r="W556">
        <v>1</v>
      </c>
    </row>
    <row r="557" spans="2:23" x14ac:dyDescent="0.3">
      <c r="B557">
        <v>553</v>
      </c>
      <c r="C557" t="s">
        <v>134</v>
      </c>
      <c r="D557">
        <v>48</v>
      </c>
      <c r="E557" t="s">
        <v>148</v>
      </c>
      <c r="F557" t="s">
        <v>136</v>
      </c>
      <c r="G557">
        <v>6999</v>
      </c>
      <c r="H557" t="s">
        <v>149</v>
      </c>
      <c r="I557" t="s">
        <v>155</v>
      </c>
      <c r="J557">
        <v>1</v>
      </c>
      <c r="K557" t="s">
        <v>172</v>
      </c>
      <c r="L557" t="s">
        <v>158</v>
      </c>
      <c r="M557">
        <v>1</v>
      </c>
      <c r="N557" t="s">
        <v>141</v>
      </c>
      <c r="O557">
        <v>34</v>
      </c>
      <c r="P557" t="s">
        <v>142</v>
      </c>
      <c r="Q557" t="s">
        <v>143</v>
      </c>
      <c r="R557">
        <v>2</v>
      </c>
      <c r="S557" t="s">
        <v>144</v>
      </c>
      <c r="T557">
        <v>1</v>
      </c>
      <c r="U557" t="s">
        <v>145</v>
      </c>
      <c r="V557" t="s">
        <v>146</v>
      </c>
      <c r="W557">
        <v>2</v>
      </c>
    </row>
    <row r="558" spans="2:23" x14ac:dyDescent="0.3">
      <c r="B558">
        <v>554</v>
      </c>
      <c r="C558" t="s">
        <v>147</v>
      </c>
      <c r="D558">
        <v>12</v>
      </c>
      <c r="E558" t="s">
        <v>135</v>
      </c>
      <c r="F558" t="s">
        <v>162</v>
      </c>
      <c r="G558">
        <v>1995</v>
      </c>
      <c r="H558" t="s">
        <v>175</v>
      </c>
      <c r="I558" t="s">
        <v>173</v>
      </c>
      <c r="J558">
        <v>4</v>
      </c>
      <c r="K558" t="s">
        <v>139</v>
      </c>
      <c r="L558" t="s">
        <v>140</v>
      </c>
      <c r="M558">
        <v>1</v>
      </c>
      <c r="N558" t="s">
        <v>166</v>
      </c>
      <c r="O558">
        <v>27</v>
      </c>
      <c r="P558" t="s">
        <v>142</v>
      </c>
      <c r="Q558" t="s">
        <v>143</v>
      </c>
      <c r="R558">
        <v>1</v>
      </c>
      <c r="S558" t="s">
        <v>144</v>
      </c>
      <c r="T558">
        <v>1</v>
      </c>
      <c r="U558" t="s">
        <v>152</v>
      </c>
      <c r="V558" t="s">
        <v>146</v>
      </c>
      <c r="W558">
        <v>1</v>
      </c>
    </row>
    <row r="559" spans="2:23" x14ac:dyDescent="0.3">
      <c r="B559">
        <v>555</v>
      </c>
      <c r="C559" t="s">
        <v>147</v>
      </c>
      <c r="D559">
        <v>9</v>
      </c>
      <c r="E559" t="s">
        <v>148</v>
      </c>
      <c r="F559" t="s">
        <v>154</v>
      </c>
      <c r="G559">
        <v>1199</v>
      </c>
      <c r="H559" t="s">
        <v>149</v>
      </c>
      <c r="I559" t="s">
        <v>155</v>
      </c>
      <c r="J559">
        <v>4</v>
      </c>
      <c r="K559" t="s">
        <v>151</v>
      </c>
      <c r="L559" t="s">
        <v>140</v>
      </c>
      <c r="M559">
        <v>4</v>
      </c>
      <c r="N559" t="s">
        <v>159</v>
      </c>
      <c r="O559">
        <v>67</v>
      </c>
      <c r="P559" t="s">
        <v>142</v>
      </c>
      <c r="Q559" t="s">
        <v>143</v>
      </c>
      <c r="R559">
        <v>2</v>
      </c>
      <c r="S559" t="s">
        <v>168</v>
      </c>
      <c r="T559">
        <v>1</v>
      </c>
      <c r="U559" t="s">
        <v>145</v>
      </c>
      <c r="V559" t="s">
        <v>146</v>
      </c>
      <c r="W559">
        <v>1</v>
      </c>
    </row>
    <row r="560" spans="2:23" x14ac:dyDescent="0.3">
      <c r="B560">
        <v>556</v>
      </c>
      <c r="C560" t="s">
        <v>147</v>
      </c>
      <c r="D560">
        <v>12</v>
      </c>
      <c r="E560" t="s">
        <v>148</v>
      </c>
      <c r="F560" t="s">
        <v>136</v>
      </c>
      <c r="G560">
        <v>1331</v>
      </c>
      <c r="H560" t="s">
        <v>149</v>
      </c>
      <c r="I560" t="s">
        <v>173</v>
      </c>
      <c r="J560">
        <v>2</v>
      </c>
      <c r="K560" t="s">
        <v>139</v>
      </c>
      <c r="L560" t="s">
        <v>140</v>
      </c>
      <c r="M560">
        <v>1</v>
      </c>
      <c r="N560" t="s">
        <v>166</v>
      </c>
      <c r="O560">
        <v>22</v>
      </c>
      <c r="P560" t="s">
        <v>181</v>
      </c>
      <c r="Q560" t="s">
        <v>143</v>
      </c>
      <c r="R560">
        <v>1</v>
      </c>
      <c r="S560" t="s">
        <v>144</v>
      </c>
      <c r="T560">
        <v>1</v>
      </c>
      <c r="U560" t="s">
        <v>152</v>
      </c>
      <c r="V560" t="s">
        <v>146</v>
      </c>
      <c r="W560">
        <v>2</v>
      </c>
    </row>
    <row r="561" spans="2:23" x14ac:dyDescent="0.3">
      <c r="B561">
        <v>557</v>
      </c>
      <c r="C561" t="s">
        <v>147</v>
      </c>
      <c r="D561">
        <v>18</v>
      </c>
      <c r="E561" t="s">
        <v>176</v>
      </c>
      <c r="F561" t="s">
        <v>162</v>
      </c>
      <c r="G561">
        <v>2278</v>
      </c>
      <c r="H561" t="s">
        <v>175</v>
      </c>
      <c r="I561" t="s">
        <v>173</v>
      </c>
      <c r="J561">
        <v>3</v>
      </c>
      <c r="K561" t="s">
        <v>151</v>
      </c>
      <c r="L561" t="s">
        <v>140</v>
      </c>
      <c r="M561">
        <v>3</v>
      </c>
      <c r="N561" t="s">
        <v>166</v>
      </c>
      <c r="O561">
        <v>28</v>
      </c>
      <c r="P561" t="s">
        <v>142</v>
      </c>
      <c r="Q561" t="s">
        <v>143</v>
      </c>
      <c r="R561">
        <v>2</v>
      </c>
      <c r="S561" t="s">
        <v>144</v>
      </c>
      <c r="T561">
        <v>1</v>
      </c>
      <c r="U561" t="s">
        <v>152</v>
      </c>
      <c r="V561" t="s">
        <v>146</v>
      </c>
      <c r="W561">
        <v>2</v>
      </c>
    </row>
    <row r="562" spans="2:23" x14ac:dyDescent="0.3">
      <c r="B562">
        <v>558</v>
      </c>
      <c r="C562" t="s">
        <v>153</v>
      </c>
      <c r="D562">
        <v>21</v>
      </c>
      <c r="E562" t="s">
        <v>176</v>
      </c>
      <c r="F562" t="s">
        <v>162</v>
      </c>
      <c r="G562">
        <v>5003</v>
      </c>
      <c r="H562" t="s">
        <v>137</v>
      </c>
      <c r="I562" t="s">
        <v>150</v>
      </c>
      <c r="J562">
        <v>1</v>
      </c>
      <c r="K562" t="s">
        <v>151</v>
      </c>
      <c r="L562" t="s">
        <v>140</v>
      </c>
      <c r="M562">
        <v>4</v>
      </c>
      <c r="N562" t="s">
        <v>159</v>
      </c>
      <c r="O562">
        <v>29</v>
      </c>
      <c r="P562" t="s">
        <v>177</v>
      </c>
      <c r="Q562" t="s">
        <v>143</v>
      </c>
      <c r="R562">
        <v>2</v>
      </c>
      <c r="S562" t="s">
        <v>144</v>
      </c>
      <c r="T562">
        <v>1</v>
      </c>
      <c r="U562" t="s">
        <v>145</v>
      </c>
      <c r="V562" t="s">
        <v>146</v>
      </c>
      <c r="W562">
        <v>2</v>
      </c>
    </row>
    <row r="563" spans="2:23" x14ac:dyDescent="0.3">
      <c r="B563">
        <v>559</v>
      </c>
      <c r="C563" t="s">
        <v>134</v>
      </c>
      <c r="D563">
        <v>24</v>
      </c>
      <c r="E563" t="s">
        <v>180</v>
      </c>
      <c r="F563" t="s">
        <v>157</v>
      </c>
      <c r="G563">
        <v>3552</v>
      </c>
      <c r="H563" t="s">
        <v>149</v>
      </c>
      <c r="I563" t="s">
        <v>155</v>
      </c>
      <c r="J563">
        <v>3</v>
      </c>
      <c r="K563" t="s">
        <v>139</v>
      </c>
      <c r="L563" t="s">
        <v>140</v>
      </c>
      <c r="M563">
        <v>4</v>
      </c>
      <c r="N563" t="s">
        <v>166</v>
      </c>
      <c r="O563">
        <v>27</v>
      </c>
      <c r="P563" t="s">
        <v>177</v>
      </c>
      <c r="Q563" t="s">
        <v>143</v>
      </c>
      <c r="R563">
        <v>1</v>
      </c>
      <c r="S563" t="s">
        <v>144</v>
      </c>
      <c r="T563">
        <v>1</v>
      </c>
      <c r="U563" t="s">
        <v>152</v>
      </c>
      <c r="V563" t="s">
        <v>146</v>
      </c>
      <c r="W563">
        <v>2</v>
      </c>
    </row>
    <row r="564" spans="2:23" x14ac:dyDescent="0.3">
      <c r="B564">
        <v>560</v>
      </c>
      <c r="C564" t="s">
        <v>147</v>
      </c>
      <c r="D564">
        <v>18</v>
      </c>
      <c r="E564" t="s">
        <v>135</v>
      </c>
      <c r="F564" t="s">
        <v>157</v>
      </c>
      <c r="G564">
        <v>1928</v>
      </c>
      <c r="H564" t="s">
        <v>149</v>
      </c>
      <c r="I564" t="s">
        <v>173</v>
      </c>
      <c r="J564">
        <v>2</v>
      </c>
      <c r="K564" t="s">
        <v>139</v>
      </c>
      <c r="L564" t="s">
        <v>140</v>
      </c>
      <c r="M564">
        <v>2</v>
      </c>
      <c r="N564" t="s">
        <v>141</v>
      </c>
      <c r="O564">
        <v>31</v>
      </c>
      <c r="P564" t="s">
        <v>142</v>
      </c>
      <c r="Q564" t="s">
        <v>143</v>
      </c>
      <c r="R564">
        <v>2</v>
      </c>
      <c r="S564" t="s">
        <v>156</v>
      </c>
      <c r="T564">
        <v>1</v>
      </c>
      <c r="U564" t="s">
        <v>152</v>
      </c>
      <c r="V564" t="s">
        <v>146</v>
      </c>
      <c r="W564">
        <v>2</v>
      </c>
    </row>
    <row r="565" spans="2:23" x14ac:dyDescent="0.3">
      <c r="B565">
        <v>561</v>
      </c>
      <c r="C565" t="s">
        <v>134</v>
      </c>
      <c r="D565">
        <v>24</v>
      </c>
      <c r="E565" t="s">
        <v>148</v>
      </c>
      <c r="F565" t="s">
        <v>165</v>
      </c>
      <c r="G565">
        <v>2964</v>
      </c>
      <c r="H565" t="s">
        <v>137</v>
      </c>
      <c r="I565" t="s">
        <v>138</v>
      </c>
      <c r="J565">
        <v>4</v>
      </c>
      <c r="K565" t="s">
        <v>139</v>
      </c>
      <c r="L565" t="s">
        <v>140</v>
      </c>
      <c r="M565">
        <v>4</v>
      </c>
      <c r="N565" t="s">
        <v>163</v>
      </c>
      <c r="O565">
        <v>49</v>
      </c>
      <c r="P565" t="s">
        <v>177</v>
      </c>
      <c r="Q565" t="s">
        <v>160</v>
      </c>
      <c r="R565">
        <v>1</v>
      </c>
      <c r="S565" t="s">
        <v>144</v>
      </c>
      <c r="T565">
        <v>2</v>
      </c>
      <c r="U565" t="s">
        <v>145</v>
      </c>
      <c r="V565" t="s">
        <v>146</v>
      </c>
      <c r="W565">
        <v>1</v>
      </c>
    </row>
    <row r="566" spans="2:23" x14ac:dyDescent="0.3">
      <c r="B566">
        <v>562</v>
      </c>
      <c r="C566" t="s">
        <v>134</v>
      </c>
      <c r="D566">
        <v>24</v>
      </c>
      <c r="E566" t="s">
        <v>180</v>
      </c>
      <c r="F566" t="s">
        <v>136</v>
      </c>
      <c r="G566">
        <v>1546</v>
      </c>
      <c r="H566" t="s">
        <v>149</v>
      </c>
      <c r="I566" t="s">
        <v>155</v>
      </c>
      <c r="J566">
        <v>4</v>
      </c>
      <c r="K566" t="s">
        <v>139</v>
      </c>
      <c r="L566" t="s">
        <v>158</v>
      </c>
      <c r="M566">
        <v>4</v>
      </c>
      <c r="N566" t="s">
        <v>166</v>
      </c>
      <c r="O566">
        <v>24</v>
      </c>
      <c r="P566" t="s">
        <v>177</v>
      </c>
      <c r="Q566" t="s">
        <v>167</v>
      </c>
      <c r="R566">
        <v>1</v>
      </c>
      <c r="S566" t="s">
        <v>156</v>
      </c>
      <c r="T566">
        <v>1</v>
      </c>
      <c r="U566" t="s">
        <v>152</v>
      </c>
      <c r="V566" t="s">
        <v>146</v>
      </c>
      <c r="W566">
        <v>2</v>
      </c>
    </row>
    <row r="567" spans="2:23" x14ac:dyDescent="0.3">
      <c r="B567">
        <v>563</v>
      </c>
      <c r="C567" t="s">
        <v>179</v>
      </c>
      <c r="D567">
        <v>6</v>
      </c>
      <c r="E567" t="s">
        <v>161</v>
      </c>
      <c r="F567" t="s">
        <v>136</v>
      </c>
      <c r="G567">
        <v>683</v>
      </c>
      <c r="H567" t="s">
        <v>149</v>
      </c>
      <c r="I567" t="s">
        <v>173</v>
      </c>
      <c r="J567">
        <v>2</v>
      </c>
      <c r="K567" t="s">
        <v>151</v>
      </c>
      <c r="L567" t="s">
        <v>140</v>
      </c>
      <c r="M567">
        <v>1</v>
      </c>
      <c r="N567" t="s">
        <v>159</v>
      </c>
      <c r="O567">
        <v>29</v>
      </c>
      <c r="P567" t="s">
        <v>177</v>
      </c>
      <c r="Q567" t="s">
        <v>143</v>
      </c>
      <c r="R567">
        <v>1</v>
      </c>
      <c r="S567" t="s">
        <v>144</v>
      </c>
      <c r="T567">
        <v>1</v>
      </c>
      <c r="U567" t="s">
        <v>152</v>
      </c>
      <c r="V567" t="s">
        <v>146</v>
      </c>
      <c r="W567">
        <v>1</v>
      </c>
    </row>
    <row r="568" spans="2:23" x14ac:dyDescent="0.3">
      <c r="B568">
        <v>564</v>
      </c>
      <c r="C568" t="s">
        <v>147</v>
      </c>
      <c r="D568">
        <v>36</v>
      </c>
      <c r="E568" t="s">
        <v>148</v>
      </c>
      <c r="F568" t="s">
        <v>162</v>
      </c>
      <c r="G568">
        <v>12389</v>
      </c>
      <c r="H568" t="s">
        <v>137</v>
      </c>
      <c r="I568" t="s">
        <v>150</v>
      </c>
      <c r="J568">
        <v>1</v>
      </c>
      <c r="K568" t="s">
        <v>139</v>
      </c>
      <c r="L568" t="s">
        <v>140</v>
      </c>
      <c r="M568">
        <v>4</v>
      </c>
      <c r="N568" t="s">
        <v>163</v>
      </c>
      <c r="O568">
        <v>37</v>
      </c>
      <c r="P568" t="s">
        <v>142</v>
      </c>
      <c r="Q568" t="s">
        <v>160</v>
      </c>
      <c r="R568">
        <v>1</v>
      </c>
      <c r="S568" t="s">
        <v>144</v>
      </c>
      <c r="T568">
        <v>1</v>
      </c>
      <c r="U568" t="s">
        <v>145</v>
      </c>
      <c r="V568" t="s">
        <v>146</v>
      </c>
      <c r="W568">
        <v>2</v>
      </c>
    </row>
    <row r="569" spans="2:23" x14ac:dyDescent="0.3">
      <c r="B569">
        <v>565</v>
      </c>
      <c r="C569" t="s">
        <v>147</v>
      </c>
      <c r="D569">
        <v>24</v>
      </c>
      <c r="E569" t="s">
        <v>161</v>
      </c>
      <c r="F569" t="s">
        <v>174</v>
      </c>
      <c r="G569">
        <v>4712</v>
      </c>
      <c r="H569" t="s">
        <v>137</v>
      </c>
      <c r="I569" t="s">
        <v>150</v>
      </c>
      <c r="J569">
        <v>4</v>
      </c>
      <c r="K569" t="s">
        <v>139</v>
      </c>
      <c r="L569" t="s">
        <v>140</v>
      </c>
      <c r="M569">
        <v>2</v>
      </c>
      <c r="N569" t="s">
        <v>159</v>
      </c>
      <c r="O569">
        <v>37</v>
      </c>
      <c r="P569" t="s">
        <v>177</v>
      </c>
      <c r="Q569" t="s">
        <v>143</v>
      </c>
      <c r="R569">
        <v>2</v>
      </c>
      <c r="S569" t="s">
        <v>168</v>
      </c>
      <c r="T569">
        <v>1</v>
      </c>
      <c r="U569" t="s">
        <v>145</v>
      </c>
      <c r="V569" t="s">
        <v>146</v>
      </c>
      <c r="W569">
        <v>1</v>
      </c>
    </row>
    <row r="570" spans="2:23" x14ac:dyDescent="0.3">
      <c r="B570">
        <v>566</v>
      </c>
      <c r="C570" t="s">
        <v>147</v>
      </c>
      <c r="D570">
        <v>24</v>
      </c>
      <c r="E570" t="s">
        <v>161</v>
      </c>
      <c r="F570" t="s">
        <v>136</v>
      </c>
      <c r="G570">
        <v>1553</v>
      </c>
      <c r="H570" t="s">
        <v>175</v>
      </c>
      <c r="I570" t="s">
        <v>155</v>
      </c>
      <c r="J570">
        <v>3</v>
      </c>
      <c r="K570" t="s">
        <v>151</v>
      </c>
      <c r="L570" t="s">
        <v>140</v>
      </c>
      <c r="M570">
        <v>2</v>
      </c>
      <c r="N570" t="s">
        <v>159</v>
      </c>
      <c r="O570">
        <v>23</v>
      </c>
      <c r="P570" t="s">
        <v>142</v>
      </c>
      <c r="Q570" t="s">
        <v>167</v>
      </c>
      <c r="R570">
        <v>2</v>
      </c>
      <c r="S570" t="s">
        <v>144</v>
      </c>
      <c r="T570">
        <v>1</v>
      </c>
      <c r="U570" t="s">
        <v>145</v>
      </c>
      <c r="V570" t="s">
        <v>146</v>
      </c>
      <c r="W570">
        <v>1</v>
      </c>
    </row>
    <row r="571" spans="2:23" x14ac:dyDescent="0.3">
      <c r="B571">
        <v>567</v>
      </c>
      <c r="C571" t="s">
        <v>134</v>
      </c>
      <c r="D571">
        <v>12</v>
      </c>
      <c r="E571" t="s">
        <v>148</v>
      </c>
      <c r="F571" t="s">
        <v>162</v>
      </c>
      <c r="G571">
        <v>1372</v>
      </c>
      <c r="H571" t="s">
        <v>149</v>
      </c>
      <c r="I571" t="s">
        <v>155</v>
      </c>
      <c r="J571">
        <v>2</v>
      </c>
      <c r="K571" t="s">
        <v>170</v>
      </c>
      <c r="L571" t="s">
        <v>140</v>
      </c>
      <c r="M571">
        <v>3</v>
      </c>
      <c r="N571" t="s">
        <v>166</v>
      </c>
      <c r="O571">
        <v>36</v>
      </c>
      <c r="P571" t="s">
        <v>142</v>
      </c>
      <c r="Q571" t="s">
        <v>143</v>
      </c>
      <c r="R571">
        <v>1</v>
      </c>
      <c r="S571" t="s">
        <v>144</v>
      </c>
      <c r="T571">
        <v>1</v>
      </c>
      <c r="U571" t="s">
        <v>152</v>
      </c>
      <c r="V571" t="s">
        <v>146</v>
      </c>
      <c r="W571">
        <v>2</v>
      </c>
    </row>
    <row r="572" spans="2:23" x14ac:dyDescent="0.3">
      <c r="B572">
        <v>568</v>
      </c>
      <c r="C572" t="s">
        <v>153</v>
      </c>
      <c r="D572">
        <v>24</v>
      </c>
      <c r="E572" t="s">
        <v>135</v>
      </c>
      <c r="F572" t="s">
        <v>136</v>
      </c>
      <c r="G572">
        <v>2578</v>
      </c>
      <c r="H572" t="s">
        <v>169</v>
      </c>
      <c r="I572" t="s">
        <v>138</v>
      </c>
      <c r="J572">
        <v>2</v>
      </c>
      <c r="K572" t="s">
        <v>139</v>
      </c>
      <c r="L572" t="s">
        <v>140</v>
      </c>
      <c r="M572">
        <v>2</v>
      </c>
      <c r="N572" t="s">
        <v>166</v>
      </c>
      <c r="O572">
        <v>34</v>
      </c>
      <c r="P572" t="s">
        <v>142</v>
      </c>
      <c r="Q572" t="s">
        <v>143</v>
      </c>
      <c r="R572">
        <v>1</v>
      </c>
      <c r="S572" t="s">
        <v>144</v>
      </c>
      <c r="T572">
        <v>1</v>
      </c>
      <c r="U572" t="s">
        <v>152</v>
      </c>
      <c r="V572" t="s">
        <v>146</v>
      </c>
      <c r="W572">
        <v>1</v>
      </c>
    </row>
    <row r="573" spans="2:23" x14ac:dyDescent="0.3">
      <c r="B573">
        <v>569</v>
      </c>
      <c r="C573" t="s">
        <v>147</v>
      </c>
      <c r="D573">
        <v>48</v>
      </c>
      <c r="E573" t="s">
        <v>148</v>
      </c>
      <c r="F573" t="s">
        <v>136</v>
      </c>
      <c r="G573">
        <v>3979</v>
      </c>
      <c r="H573" t="s">
        <v>137</v>
      </c>
      <c r="I573" t="s">
        <v>155</v>
      </c>
      <c r="J573">
        <v>4</v>
      </c>
      <c r="K573" t="s">
        <v>139</v>
      </c>
      <c r="L573" t="s">
        <v>140</v>
      </c>
      <c r="M573">
        <v>1</v>
      </c>
      <c r="N573" t="s">
        <v>166</v>
      </c>
      <c r="O573">
        <v>41</v>
      </c>
      <c r="P573" t="s">
        <v>142</v>
      </c>
      <c r="Q573" t="s">
        <v>143</v>
      </c>
      <c r="R573">
        <v>2</v>
      </c>
      <c r="S573" t="s">
        <v>144</v>
      </c>
      <c r="T573">
        <v>2</v>
      </c>
      <c r="U573" t="s">
        <v>145</v>
      </c>
      <c r="V573" t="s">
        <v>146</v>
      </c>
      <c r="W573">
        <v>1</v>
      </c>
    </row>
    <row r="574" spans="2:23" x14ac:dyDescent="0.3">
      <c r="B574">
        <v>570</v>
      </c>
      <c r="C574" t="s">
        <v>134</v>
      </c>
      <c r="D574">
        <v>48</v>
      </c>
      <c r="E574" t="s">
        <v>148</v>
      </c>
      <c r="F574" t="s">
        <v>136</v>
      </c>
      <c r="G574">
        <v>6758</v>
      </c>
      <c r="H574" t="s">
        <v>149</v>
      </c>
      <c r="I574" t="s">
        <v>150</v>
      </c>
      <c r="J574">
        <v>3</v>
      </c>
      <c r="K574" t="s">
        <v>151</v>
      </c>
      <c r="L574" t="s">
        <v>140</v>
      </c>
      <c r="M574">
        <v>2</v>
      </c>
      <c r="N574" t="s">
        <v>166</v>
      </c>
      <c r="O574">
        <v>31</v>
      </c>
      <c r="P574" t="s">
        <v>142</v>
      </c>
      <c r="Q574" t="s">
        <v>143</v>
      </c>
      <c r="R574">
        <v>1</v>
      </c>
      <c r="S574" t="s">
        <v>144</v>
      </c>
      <c r="T574">
        <v>1</v>
      </c>
      <c r="U574" t="s">
        <v>145</v>
      </c>
      <c r="V574" t="s">
        <v>146</v>
      </c>
      <c r="W574">
        <v>2</v>
      </c>
    </row>
    <row r="575" spans="2:23" x14ac:dyDescent="0.3">
      <c r="B575">
        <v>571</v>
      </c>
      <c r="C575" t="s">
        <v>134</v>
      </c>
      <c r="D575">
        <v>24</v>
      </c>
      <c r="E575" t="s">
        <v>148</v>
      </c>
      <c r="F575" t="s">
        <v>157</v>
      </c>
      <c r="G575">
        <v>3234</v>
      </c>
      <c r="H575" t="s">
        <v>149</v>
      </c>
      <c r="I575" t="s">
        <v>173</v>
      </c>
      <c r="J575">
        <v>4</v>
      </c>
      <c r="K575" t="s">
        <v>151</v>
      </c>
      <c r="L575" t="s">
        <v>140</v>
      </c>
      <c r="M575">
        <v>4</v>
      </c>
      <c r="N575" t="s">
        <v>141</v>
      </c>
      <c r="O575">
        <v>23</v>
      </c>
      <c r="P575" t="s">
        <v>142</v>
      </c>
      <c r="Q575" t="s">
        <v>167</v>
      </c>
      <c r="R575">
        <v>1</v>
      </c>
      <c r="S575" t="s">
        <v>156</v>
      </c>
      <c r="T575">
        <v>1</v>
      </c>
      <c r="U575" t="s">
        <v>145</v>
      </c>
      <c r="V575" t="s">
        <v>146</v>
      </c>
      <c r="W575">
        <v>2</v>
      </c>
    </row>
    <row r="576" spans="2:23" x14ac:dyDescent="0.3">
      <c r="B576">
        <v>572</v>
      </c>
      <c r="C576" t="s">
        <v>153</v>
      </c>
      <c r="D576">
        <v>30</v>
      </c>
      <c r="E576" t="s">
        <v>135</v>
      </c>
      <c r="F576" t="s">
        <v>136</v>
      </c>
      <c r="G576">
        <v>5954</v>
      </c>
      <c r="H576" t="s">
        <v>149</v>
      </c>
      <c r="I576" t="s">
        <v>155</v>
      </c>
      <c r="J576">
        <v>3</v>
      </c>
      <c r="K576" t="s">
        <v>139</v>
      </c>
      <c r="L576" t="s">
        <v>182</v>
      </c>
      <c r="M576">
        <v>2</v>
      </c>
      <c r="N576" t="s">
        <v>166</v>
      </c>
      <c r="O576">
        <v>38</v>
      </c>
      <c r="P576" t="s">
        <v>142</v>
      </c>
      <c r="Q576" t="s">
        <v>143</v>
      </c>
      <c r="R576">
        <v>1</v>
      </c>
      <c r="S576" t="s">
        <v>144</v>
      </c>
      <c r="T576">
        <v>1</v>
      </c>
      <c r="U576" t="s">
        <v>152</v>
      </c>
      <c r="V576" t="s">
        <v>146</v>
      </c>
      <c r="W576">
        <v>1</v>
      </c>
    </row>
    <row r="577" spans="2:23" x14ac:dyDescent="0.3">
      <c r="B577">
        <v>573</v>
      </c>
      <c r="C577" t="s">
        <v>153</v>
      </c>
      <c r="D577">
        <v>24</v>
      </c>
      <c r="E577" t="s">
        <v>148</v>
      </c>
      <c r="F577" t="s">
        <v>165</v>
      </c>
      <c r="G577">
        <v>5433</v>
      </c>
      <c r="H577" t="s">
        <v>137</v>
      </c>
      <c r="I577" t="s">
        <v>171</v>
      </c>
      <c r="J577">
        <v>2</v>
      </c>
      <c r="K577" t="s">
        <v>151</v>
      </c>
      <c r="L577" t="s">
        <v>140</v>
      </c>
      <c r="M577">
        <v>4</v>
      </c>
      <c r="N577" t="s">
        <v>159</v>
      </c>
      <c r="O577">
        <v>26</v>
      </c>
      <c r="P577" t="s">
        <v>142</v>
      </c>
      <c r="Q577" t="s">
        <v>167</v>
      </c>
      <c r="R577">
        <v>1</v>
      </c>
      <c r="S577" t="s">
        <v>168</v>
      </c>
      <c r="T577">
        <v>1</v>
      </c>
      <c r="U577" t="s">
        <v>145</v>
      </c>
      <c r="V577" t="s">
        <v>146</v>
      </c>
      <c r="W577">
        <v>1</v>
      </c>
    </row>
    <row r="578" spans="2:23" x14ac:dyDescent="0.3">
      <c r="B578">
        <v>574</v>
      </c>
      <c r="C578" t="s">
        <v>134</v>
      </c>
      <c r="D578">
        <v>15</v>
      </c>
      <c r="E578" t="s">
        <v>148</v>
      </c>
      <c r="F578" t="s">
        <v>174</v>
      </c>
      <c r="G578">
        <v>806</v>
      </c>
      <c r="H578" t="s">
        <v>149</v>
      </c>
      <c r="I578" t="s">
        <v>150</v>
      </c>
      <c r="J578">
        <v>4</v>
      </c>
      <c r="K578" t="s">
        <v>151</v>
      </c>
      <c r="L578" t="s">
        <v>140</v>
      </c>
      <c r="M578">
        <v>4</v>
      </c>
      <c r="N578" t="s">
        <v>159</v>
      </c>
      <c r="O578">
        <v>22</v>
      </c>
      <c r="P578" t="s">
        <v>142</v>
      </c>
      <c r="Q578" t="s">
        <v>143</v>
      </c>
      <c r="R578">
        <v>1</v>
      </c>
      <c r="S578" t="s">
        <v>156</v>
      </c>
      <c r="T578">
        <v>1</v>
      </c>
      <c r="U578" t="s">
        <v>152</v>
      </c>
      <c r="V578" t="s">
        <v>146</v>
      </c>
      <c r="W578">
        <v>1</v>
      </c>
    </row>
    <row r="579" spans="2:23" x14ac:dyDescent="0.3">
      <c r="B579">
        <v>575</v>
      </c>
      <c r="C579" t="s">
        <v>147</v>
      </c>
      <c r="D579">
        <v>9</v>
      </c>
      <c r="E579" t="s">
        <v>148</v>
      </c>
      <c r="F579" t="s">
        <v>136</v>
      </c>
      <c r="G579">
        <v>1082</v>
      </c>
      <c r="H579" t="s">
        <v>149</v>
      </c>
      <c r="I579" t="s">
        <v>138</v>
      </c>
      <c r="J579">
        <v>4</v>
      </c>
      <c r="K579" t="s">
        <v>139</v>
      </c>
      <c r="L579" t="s">
        <v>140</v>
      </c>
      <c r="M579">
        <v>4</v>
      </c>
      <c r="N579" t="s">
        <v>166</v>
      </c>
      <c r="O579">
        <v>27</v>
      </c>
      <c r="P579" t="s">
        <v>142</v>
      </c>
      <c r="Q579" t="s">
        <v>143</v>
      </c>
      <c r="R579">
        <v>2</v>
      </c>
      <c r="S579" t="s">
        <v>156</v>
      </c>
      <c r="T579">
        <v>1</v>
      </c>
      <c r="U579" t="s">
        <v>152</v>
      </c>
      <c r="V579" t="s">
        <v>146</v>
      </c>
      <c r="W579">
        <v>1</v>
      </c>
    </row>
    <row r="580" spans="2:23" x14ac:dyDescent="0.3">
      <c r="B580">
        <v>576</v>
      </c>
      <c r="C580" t="s">
        <v>153</v>
      </c>
      <c r="D580">
        <v>15</v>
      </c>
      <c r="E580" t="s">
        <v>135</v>
      </c>
      <c r="F580" t="s">
        <v>157</v>
      </c>
      <c r="G580">
        <v>2788</v>
      </c>
      <c r="H580" t="s">
        <v>149</v>
      </c>
      <c r="I580" t="s">
        <v>155</v>
      </c>
      <c r="J580">
        <v>2</v>
      </c>
      <c r="K580" t="s">
        <v>151</v>
      </c>
      <c r="L580" t="s">
        <v>182</v>
      </c>
      <c r="M580">
        <v>3</v>
      </c>
      <c r="N580" t="s">
        <v>166</v>
      </c>
      <c r="O580">
        <v>24</v>
      </c>
      <c r="P580" t="s">
        <v>177</v>
      </c>
      <c r="Q580" t="s">
        <v>143</v>
      </c>
      <c r="R580">
        <v>2</v>
      </c>
      <c r="S580" t="s">
        <v>144</v>
      </c>
      <c r="T580">
        <v>1</v>
      </c>
      <c r="U580" t="s">
        <v>152</v>
      </c>
      <c r="V580" t="s">
        <v>146</v>
      </c>
      <c r="W580">
        <v>1</v>
      </c>
    </row>
    <row r="581" spans="2:23" x14ac:dyDescent="0.3">
      <c r="B581">
        <v>577</v>
      </c>
      <c r="C581" t="s">
        <v>147</v>
      </c>
      <c r="D581">
        <v>12</v>
      </c>
      <c r="E581" t="s">
        <v>148</v>
      </c>
      <c r="F581" t="s">
        <v>136</v>
      </c>
      <c r="G581">
        <v>2930</v>
      </c>
      <c r="H581" t="s">
        <v>149</v>
      </c>
      <c r="I581" t="s">
        <v>155</v>
      </c>
      <c r="J581">
        <v>2</v>
      </c>
      <c r="K581" t="s">
        <v>151</v>
      </c>
      <c r="L581" t="s">
        <v>140</v>
      </c>
      <c r="M581">
        <v>1</v>
      </c>
      <c r="N581" t="s">
        <v>141</v>
      </c>
      <c r="O581">
        <v>27</v>
      </c>
      <c r="P581" t="s">
        <v>142</v>
      </c>
      <c r="Q581" t="s">
        <v>143</v>
      </c>
      <c r="R581">
        <v>1</v>
      </c>
      <c r="S581" t="s">
        <v>144</v>
      </c>
      <c r="T581">
        <v>1</v>
      </c>
      <c r="U581" t="s">
        <v>152</v>
      </c>
      <c r="V581" t="s">
        <v>146</v>
      </c>
      <c r="W581">
        <v>1</v>
      </c>
    </row>
    <row r="582" spans="2:23" x14ac:dyDescent="0.3">
      <c r="B582">
        <v>578</v>
      </c>
      <c r="C582" t="s">
        <v>153</v>
      </c>
      <c r="D582">
        <v>24</v>
      </c>
      <c r="E582" t="s">
        <v>135</v>
      </c>
      <c r="F582" t="s">
        <v>154</v>
      </c>
      <c r="G582">
        <v>1927</v>
      </c>
      <c r="H582" t="s">
        <v>137</v>
      </c>
      <c r="I582" t="s">
        <v>150</v>
      </c>
      <c r="J582">
        <v>3</v>
      </c>
      <c r="K582" t="s">
        <v>151</v>
      </c>
      <c r="L582" t="s">
        <v>140</v>
      </c>
      <c r="M582">
        <v>2</v>
      </c>
      <c r="N582" t="s">
        <v>166</v>
      </c>
      <c r="O582">
        <v>33</v>
      </c>
      <c r="P582" t="s">
        <v>142</v>
      </c>
      <c r="Q582" t="s">
        <v>143</v>
      </c>
      <c r="R582">
        <v>2</v>
      </c>
      <c r="S582" t="s">
        <v>144</v>
      </c>
      <c r="T582">
        <v>1</v>
      </c>
      <c r="U582" t="s">
        <v>145</v>
      </c>
      <c r="V582" t="s">
        <v>146</v>
      </c>
      <c r="W582">
        <v>1</v>
      </c>
    </row>
    <row r="583" spans="2:23" x14ac:dyDescent="0.3">
      <c r="B583">
        <v>579</v>
      </c>
      <c r="C583" t="s">
        <v>147</v>
      </c>
      <c r="D583">
        <v>36</v>
      </c>
      <c r="E583" t="s">
        <v>135</v>
      </c>
      <c r="F583" t="s">
        <v>162</v>
      </c>
      <c r="G583">
        <v>2820</v>
      </c>
      <c r="H583" t="s">
        <v>149</v>
      </c>
      <c r="I583" t="s">
        <v>173</v>
      </c>
      <c r="J583">
        <v>4</v>
      </c>
      <c r="K583" t="s">
        <v>170</v>
      </c>
      <c r="L583" t="s">
        <v>140</v>
      </c>
      <c r="M583">
        <v>4</v>
      </c>
      <c r="N583" t="s">
        <v>166</v>
      </c>
      <c r="O583">
        <v>27</v>
      </c>
      <c r="P583" t="s">
        <v>142</v>
      </c>
      <c r="Q583" t="s">
        <v>143</v>
      </c>
      <c r="R583">
        <v>2</v>
      </c>
      <c r="S583" t="s">
        <v>144</v>
      </c>
      <c r="T583">
        <v>1</v>
      </c>
      <c r="U583" t="s">
        <v>152</v>
      </c>
      <c r="V583" t="s">
        <v>146</v>
      </c>
      <c r="W583">
        <v>2</v>
      </c>
    </row>
    <row r="584" spans="2:23" x14ac:dyDescent="0.3">
      <c r="B584">
        <v>580</v>
      </c>
      <c r="C584" t="s">
        <v>153</v>
      </c>
      <c r="D584">
        <v>24</v>
      </c>
      <c r="E584" t="s">
        <v>148</v>
      </c>
      <c r="F584" t="s">
        <v>187</v>
      </c>
      <c r="G584">
        <v>937</v>
      </c>
      <c r="H584" t="s">
        <v>149</v>
      </c>
      <c r="I584" t="s">
        <v>173</v>
      </c>
      <c r="J584">
        <v>4</v>
      </c>
      <c r="K584" t="s">
        <v>172</v>
      </c>
      <c r="L584" t="s">
        <v>140</v>
      </c>
      <c r="M584">
        <v>3</v>
      </c>
      <c r="N584" t="s">
        <v>166</v>
      </c>
      <c r="O584">
        <v>27</v>
      </c>
      <c r="P584" t="s">
        <v>142</v>
      </c>
      <c r="Q584" t="s">
        <v>143</v>
      </c>
      <c r="R584">
        <v>2</v>
      </c>
      <c r="S584" t="s">
        <v>156</v>
      </c>
      <c r="T584">
        <v>1</v>
      </c>
      <c r="U584" t="s">
        <v>152</v>
      </c>
      <c r="V584" t="s">
        <v>146</v>
      </c>
      <c r="W584">
        <v>1</v>
      </c>
    </row>
    <row r="585" spans="2:23" x14ac:dyDescent="0.3">
      <c r="B585">
        <v>581</v>
      </c>
      <c r="C585" t="s">
        <v>147</v>
      </c>
      <c r="D585">
        <v>18</v>
      </c>
      <c r="E585" t="s">
        <v>135</v>
      </c>
      <c r="F585" t="s">
        <v>162</v>
      </c>
      <c r="G585">
        <v>1056</v>
      </c>
      <c r="H585" t="s">
        <v>149</v>
      </c>
      <c r="I585" t="s">
        <v>138</v>
      </c>
      <c r="J585">
        <v>3</v>
      </c>
      <c r="K585" t="s">
        <v>139</v>
      </c>
      <c r="L585" t="s">
        <v>158</v>
      </c>
      <c r="M585">
        <v>3</v>
      </c>
      <c r="N585" t="s">
        <v>141</v>
      </c>
      <c r="O585">
        <v>30</v>
      </c>
      <c r="P585" t="s">
        <v>177</v>
      </c>
      <c r="Q585" t="s">
        <v>143</v>
      </c>
      <c r="R585">
        <v>2</v>
      </c>
      <c r="S585" t="s">
        <v>144</v>
      </c>
      <c r="T585">
        <v>1</v>
      </c>
      <c r="U585" t="s">
        <v>152</v>
      </c>
      <c r="V585" t="s">
        <v>146</v>
      </c>
      <c r="W585">
        <v>2</v>
      </c>
    </row>
    <row r="586" spans="2:23" x14ac:dyDescent="0.3">
      <c r="B586">
        <v>582</v>
      </c>
      <c r="C586" t="s">
        <v>147</v>
      </c>
      <c r="D586">
        <v>12</v>
      </c>
      <c r="E586" t="s">
        <v>135</v>
      </c>
      <c r="F586" t="s">
        <v>162</v>
      </c>
      <c r="G586">
        <v>3124</v>
      </c>
      <c r="H586" t="s">
        <v>149</v>
      </c>
      <c r="I586" t="s">
        <v>173</v>
      </c>
      <c r="J586">
        <v>1</v>
      </c>
      <c r="K586" t="s">
        <v>139</v>
      </c>
      <c r="L586" t="s">
        <v>140</v>
      </c>
      <c r="M586">
        <v>3</v>
      </c>
      <c r="N586" t="s">
        <v>141</v>
      </c>
      <c r="O586">
        <v>49</v>
      </c>
      <c r="P586" t="s">
        <v>177</v>
      </c>
      <c r="Q586" t="s">
        <v>143</v>
      </c>
      <c r="R586">
        <v>2</v>
      </c>
      <c r="S586" t="s">
        <v>156</v>
      </c>
      <c r="T586">
        <v>2</v>
      </c>
      <c r="U586" t="s">
        <v>152</v>
      </c>
      <c r="V586" t="s">
        <v>146</v>
      </c>
      <c r="W586">
        <v>1</v>
      </c>
    </row>
    <row r="587" spans="2:23" x14ac:dyDescent="0.3">
      <c r="B587">
        <v>583</v>
      </c>
      <c r="C587" t="s">
        <v>153</v>
      </c>
      <c r="D587">
        <v>9</v>
      </c>
      <c r="E587" t="s">
        <v>148</v>
      </c>
      <c r="F587" t="s">
        <v>157</v>
      </c>
      <c r="G587">
        <v>1388</v>
      </c>
      <c r="H587" t="s">
        <v>149</v>
      </c>
      <c r="I587" t="s">
        <v>150</v>
      </c>
      <c r="J587">
        <v>4</v>
      </c>
      <c r="K587" t="s">
        <v>151</v>
      </c>
      <c r="L587" t="s">
        <v>140</v>
      </c>
      <c r="M587">
        <v>2</v>
      </c>
      <c r="N587" t="s">
        <v>141</v>
      </c>
      <c r="O587">
        <v>26</v>
      </c>
      <c r="P587" t="s">
        <v>142</v>
      </c>
      <c r="Q587" t="s">
        <v>167</v>
      </c>
      <c r="R587">
        <v>1</v>
      </c>
      <c r="S587" t="s">
        <v>144</v>
      </c>
      <c r="T587">
        <v>1</v>
      </c>
      <c r="U587" t="s">
        <v>152</v>
      </c>
      <c r="V587" t="s">
        <v>146</v>
      </c>
      <c r="W587">
        <v>1</v>
      </c>
    </row>
    <row r="588" spans="2:23" x14ac:dyDescent="0.3">
      <c r="B588">
        <v>584</v>
      </c>
      <c r="C588" t="s">
        <v>147</v>
      </c>
      <c r="D588">
        <v>36</v>
      </c>
      <c r="E588" t="s">
        <v>148</v>
      </c>
      <c r="F588" t="s">
        <v>184</v>
      </c>
      <c r="G588">
        <v>2384</v>
      </c>
      <c r="H588" t="s">
        <v>149</v>
      </c>
      <c r="I588" t="s">
        <v>173</v>
      </c>
      <c r="J588">
        <v>4</v>
      </c>
      <c r="K588" t="s">
        <v>139</v>
      </c>
      <c r="L588" t="s">
        <v>140</v>
      </c>
      <c r="M588">
        <v>1</v>
      </c>
      <c r="N588" t="s">
        <v>163</v>
      </c>
      <c r="O588">
        <v>33</v>
      </c>
      <c r="P588" t="s">
        <v>142</v>
      </c>
      <c r="Q588" t="s">
        <v>167</v>
      </c>
      <c r="R588">
        <v>1</v>
      </c>
      <c r="S588" t="s">
        <v>156</v>
      </c>
      <c r="T588">
        <v>1</v>
      </c>
      <c r="U588" t="s">
        <v>152</v>
      </c>
      <c r="V588" t="s">
        <v>146</v>
      </c>
      <c r="W588">
        <v>2</v>
      </c>
    </row>
    <row r="589" spans="2:23" x14ac:dyDescent="0.3">
      <c r="B589">
        <v>585</v>
      </c>
      <c r="C589" t="s">
        <v>153</v>
      </c>
      <c r="D589">
        <v>12</v>
      </c>
      <c r="E589" t="s">
        <v>148</v>
      </c>
      <c r="F589" t="s">
        <v>162</v>
      </c>
      <c r="G589">
        <v>2133</v>
      </c>
      <c r="H589" t="s">
        <v>137</v>
      </c>
      <c r="I589" t="s">
        <v>138</v>
      </c>
      <c r="J589">
        <v>4</v>
      </c>
      <c r="K589" t="s">
        <v>151</v>
      </c>
      <c r="L589" t="s">
        <v>140</v>
      </c>
      <c r="M589">
        <v>4</v>
      </c>
      <c r="N589" t="s">
        <v>163</v>
      </c>
      <c r="O589">
        <v>52</v>
      </c>
      <c r="P589" t="s">
        <v>142</v>
      </c>
      <c r="Q589" t="s">
        <v>160</v>
      </c>
      <c r="R589">
        <v>1</v>
      </c>
      <c r="S589" t="s">
        <v>168</v>
      </c>
      <c r="T589">
        <v>1</v>
      </c>
      <c r="U589" t="s">
        <v>145</v>
      </c>
      <c r="V589" t="s">
        <v>146</v>
      </c>
      <c r="W589">
        <v>1</v>
      </c>
    </row>
    <row r="590" spans="2:23" x14ac:dyDescent="0.3">
      <c r="B590">
        <v>586</v>
      </c>
      <c r="C590" t="s">
        <v>134</v>
      </c>
      <c r="D590">
        <v>18</v>
      </c>
      <c r="E590" t="s">
        <v>148</v>
      </c>
      <c r="F590" t="s">
        <v>157</v>
      </c>
      <c r="G590">
        <v>2039</v>
      </c>
      <c r="H590" t="s">
        <v>149</v>
      </c>
      <c r="I590" t="s">
        <v>150</v>
      </c>
      <c r="J590">
        <v>1</v>
      </c>
      <c r="K590" t="s">
        <v>151</v>
      </c>
      <c r="L590" t="s">
        <v>140</v>
      </c>
      <c r="M590">
        <v>4</v>
      </c>
      <c r="N590" t="s">
        <v>141</v>
      </c>
      <c r="O590">
        <v>20</v>
      </c>
      <c r="P590" t="s">
        <v>177</v>
      </c>
      <c r="Q590" t="s">
        <v>167</v>
      </c>
      <c r="R590">
        <v>1</v>
      </c>
      <c r="S590" t="s">
        <v>144</v>
      </c>
      <c r="T590">
        <v>1</v>
      </c>
      <c r="U590" t="s">
        <v>152</v>
      </c>
      <c r="V590" t="s">
        <v>146</v>
      </c>
      <c r="W590">
        <v>2</v>
      </c>
    </row>
    <row r="591" spans="2:23" x14ac:dyDescent="0.3">
      <c r="B591">
        <v>587</v>
      </c>
      <c r="C591" t="s">
        <v>134</v>
      </c>
      <c r="D591">
        <v>9</v>
      </c>
      <c r="E591" t="s">
        <v>135</v>
      </c>
      <c r="F591" t="s">
        <v>162</v>
      </c>
      <c r="G591">
        <v>2799</v>
      </c>
      <c r="H591" t="s">
        <v>149</v>
      </c>
      <c r="I591" t="s">
        <v>150</v>
      </c>
      <c r="J591">
        <v>2</v>
      </c>
      <c r="K591" t="s">
        <v>139</v>
      </c>
      <c r="L591" t="s">
        <v>140</v>
      </c>
      <c r="M591">
        <v>2</v>
      </c>
      <c r="N591" t="s">
        <v>141</v>
      </c>
      <c r="O591">
        <v>36</v>
      </c>
      <c r="P591" t="s">
        <v>142</v>
      </c>
      <c r="Q591" t="s">
        <v>167</v>
      </c>
      <c r="R591">
        <v>2</v>
      </c>
      <c r="S591" t="s">
        <v>144</v>
      </c>
      <c r="T591">
        <v>2</v>
      </c>
      <c r="U591" t="s">
        <v>152</v>
      </c>
      <c r="V591" t="s">
        <v>146</v>
      </c>
      <c r="W591">
        <v>1</v>
      </c>
    </row>
    <row r="592" spans="2:23" x14ac:dyDescent="0.3">
      <c r="B592">
        <v>588</v>
      </c>
      <c r="C592" t="s">
        <v>134</v>
      </c>
      <c r="D592">
        <v>12</v>
      </c>
      <c r="E592" t="s">
        <v>148</v>
      </c>
      <c r="F592" t="s">
        <v>157</v>
      </c>
      <c r="G592">
        <v>1289</v>
      </c>
      <c r="H592" t="s">
        <v>149</v>
      </c>
      <c r="I592" t="s">
        <v>150</v>
      </c>
      <c r="J592">
        <v>4</v>
      </c>
      <c r="K592" t="s">
        <v>139</v>
      </c>
      <c r="L592" t="s">
        <v>158</v>
      </c>
      <c r="M592">
        <v>1</v>
      </c>
      <c r="N592" t="s">
        <v>159</v>
      </c>
      <c r="O592">
        <v>21</v>
      </c>
      <c r="P592" t="s">
        <v>142</v>
      </c>
      <c r="Q592" t="s">
        <v>143</v>
      </c>
      <c r="R592">
        <v>1</v>
      </c>
      <c r="S592" t="s">
        <v>156</v>
      </c>
      <c r="T592">
        <v>1</v>
      </c>
      <c r="U592" t="s">
        <v>152</v>
      </c>
      <c r="V592" t="s">
        <v>146</v>
      </c>
      <c r="W592">
        <v>1</v>
      </c>
    </row>
    <row r="593" spans="2:23" x14ac:dyDescent="0.3">
      <c r="B593">
        <v>589</v>
      </c>
      <c r="C593" t="s">
        <v>134</v>
      </c>
      <c r="D593">
        <v>18</v>
      </c>
      <c r="E593" t="s">
        <v>148</v>
      </c>
      <c r="F593" t="s">
        <v>183</v>
      </c>
      <c r="G593">
        <v>1217</v>
      </c>
      <c r="H593" t="s">
        <v>149</v>
      </c>
      <c r="I593" t="s">
        <v>150</v>
      </c>
      <c r="J593">
        <v>4</v>
      </c>
      <c r="K593" t="s">
        <v>172</v>
      </c>
      <c r="L593" t="s">
        <v>140</v>
      </c>
      <c r="M593">
        <v>3</v>
      </c>
      <c r="N593" t="s">
        <v>141</v>
      </c>
      <c r="O593">
        <v>47</v>
      </c>
      <c r="P593" t="s">
        <v>142</v>
      </c>
      <c r="Q593" t="s">
        <v>143</v>
      </c>
      <c r="R593">
        <v>1</v>
      </c>
      <c r="S593" t="s">
        <v>156</v>
      </c>
      <c r="T593">
        <v>1</v>
      </c>
      <c r="U593" t="s">
        <v>145</v>
      </c>
      <c r="V593" t="s">
        <v>146</v>
      </c>
      <c r="W593">
        <v>2</v>
      </c>
    </row>
    <row r="594" spans="2:23" x14ac:dyDescent="0.3">
      <c r="B594">
        <v>590</v>
      </c>
      <c r="C594" t="s">
        <v>134</v>
      </c>
      <c r="D594">
        <v>12</v>
      </c>
      <c r="E594" t="s">
        <v>135</v>
      </c>
      <c r="F594" t="s">
        <v>157</v>
      </c>
      <c r="G594">
        <v>2246</v>
      </c>
      <c r="H594" t="s">
        <v>149</v>
      </c>
      <c r="I594" t="s">
        <v>138</v>
      </c>
      <c r="J594">
        <v>3</v>
      </c>
      <c r="K594" t="s">
        <v>139</v>
      </c>
      <c r="L594" t="s">
        <v>140</v>
      </c>
      <c r="M594">
        <v>3</v>
      </c>
      <c r="N594" t="s">
        <v>159</v>
      </c>
      <c r="O594">
        <v>60</v>
      </c>
      <c r="P594" t="s">
        <v>142</v>
      </c>
      <c r="Q594" t="s">
        <v>143</v>
      </c>
      <c r="R594">
        <v>2</v>
      </c>
      <c r="S594" t="s">
        <v>144</v>
      </c>
      <c r="T594">
        <v>1</v>
      </c>
      <c r="U594" t="s">
        <v>152</v>
      </c>
      <c r="V594" t="s">
        <v>146</v>
      </c>
      <c r="W594">
        <v>2</v>
      </c>
    </row>
    <row r="595" spans="2:23" x14ac:dyDescent="0.3">
      <c r="B595">
        <v>591</v>
      </c>
      <c r="C595" t="s">
        <v>134</v>
      </c>
      <c r="D595">
        <v>12</v>
      </c>
      <c r="E595" t="s">
        <v>135</v>
      </c>
      <c r="F595" t="s">
        <v>136</v>
      </c>
      <c r="G595">
        <v>385</v>
      </c>
      <c r="H595" t="s">
        <v>149</v>
      </c>
      <c r="I595" t="s">
        <v>155</v>
      </c>
      <c r="J595">
        <v>4</v>
      </c>
      <c r="K595" t="s">
        <v>151</v>
      </c>
      <c r="L595" t="s">
        <v>140</v>
      </c>
      <c r="M595">
        <v>3</v>
      </c>
      <c r="N595" t="s">
        <v>141</v>
      </c>
      <c r="O595">
        <v>58</v>
      </c>
      <c r="P595" t="s">
        <v>142</v>
      </c>
      <c r="Q595" t="s">
        <v>143</v>
      </c>
      <c r="R595">
        <v>4</v>
      </c>
      <c r="S595" t="s">
        <v>156</v>
      </c>
      <c r="T595">
        <v>1</v>
      </c>
      <c r="U595" t="s">
        <v>145</v>
      </c>
      <c r="V595" t="s">
        <v>146</v>
      </c>
      <c r="W595">
        <v>1</v>
      </c>
    </row>
    <row r="596" spans="2:23" x14ac:dyDescent="0.3">
      <c r="B596">
        <v>592</v>
      </c>
      <c r="C596" t="s">
        <v>147</v>
      </c>
      <c r="D596">
        <v>24</v>
      </c>
      <c r="E596" t="s">
        <v>161</v>
      </c>
      <c r="F596" t="s">
        <v>162</v>
      </c>
      <c r="G596">
        <v>1965</v>
      </c>
      <c r="H596" t="s">
        <v>137</v>
      </c>
      <c r="I596" t="s">
        <v>150</v>
      </c>
      <c r="J596">
        <v>4</v>
      </c>
      <c r="K596" t="s">
        <v>151</v>
      </c>
      <c r="L596" t="s">
        <v>140</v>
      </c>
      <c r="M596">
        <v>4</v>
      </c>
      <c r="N596" t="s">
        <v>166</v>
      </c>
      <c r="O596">
        <v>42</v>
      </c>
      <c r="P596" t="s">
        <v>142</v>
      </c>
      <c r="Q596" t="s">
        <v>167</v>
      </c>
      <c r="R596">
        <v>2</v>
      </c>
      <c r="S596" t="s">
        <v>144</v>
      </c>
      <c r="T596">
        <v>1</v>
      </c>
      <c r="U596" t="s">
        <v>145</v>
      </c>
      <c r="V596" t="s">
        <v>146</v>
      </c>
      <c r="W596">
        <v>1</v>
      </c>
    </row>
    <row r="597" spans="2:23" x14ac:dyDescent="0.3">
      <c r="B597">
        <v>593</v>
      </c>
      <c r="C597" t="s">
        <v>153</v>
      </c>
      <c r="D597">
        <v>21</v>
      </c>
      <c r="E597" t="s">
        <v>148</v>
      </c>
      <c r="F597" t="s">
        <v>174</v>
      </c>
      <c r="G597">
        <v>1572</v>
      </c>
      <c r="H597" t="s">
        <v>169</v>
      </c>
      <c r="I597" t="s">
        <v>138</v>
      </c>
      <c r="J597">
        <v>4</v>
      </c>
      <c r="K597" t="s">
        <v>151</v>
      </c>
      <c r="L597" t="s">
        <v>140</v>
      </c>
      <c r="M597">
        <v>4</v>
      </c>
      <c r="N597" t="s">
        <v>141</v>
      </c>
      <c r="O597">
        <v>36</v>
      </c>
      <c r="P597" t="s">
        <v>177</v>
      </c>
      <c r="Q597" t="s">
        <v>143</v>
      </c>
      <c r="R597">
        <v>1</v>
      </c>
      <c r="S597" t="s">
        <v>156</v>
      </c>
      <c r="T597">
        <v>1</v>
      </c>
      <c r="U597" t="s">
        <v>152</v>
      </c>
      <c r="V597" t="s">
        <v>146</v>
      </c>
      <c r="W597">
        <v>1</v>
      </c>
    </row>
    <row r="598" spans="2:23" x14ac:dyDescent="0.3">
      <c r="B598">
        <v>594</v>
      </c>
      <c r="C598" t="s">
        <v>147</v>
      </c>
      <c r="D598">
        <v>24</v>
      </c>
      <c r="E598" t="s">
        <v>148</v>
      </c>
      <c r="F598" t="s">
        <v>162</v>
      </c>
      <c r="G598">
        <v>2718</v>
      </c>
      <c r="H598" t="s">
        <v>149</v>
      </c>
      <c r="I598" t="s">
        <v>150</v>
      </c>
      <c r="J598">
        <v>3</v>
      </c>
      <c r="K598" t="s">
        <v>151</v>
      </c>
      <c r="L598" t="s">
        <v>140</v>
      </c>
      <c r="M598">
        <v>4</v>
      </c>
      <c r="N598" t="s">
        <v>159</v>
      </c>
      <c r="O598">
        <v>20</v>
      </c>
      <c r="P598" t="s">
        <v>142</v>
      </c>
      <c r="Q598" t="s">
        <v>167</v>
      </c>
      <c r="R598">
        <v>1</v>
      </c>
      <c r="S598" t="s">
        <v>156</v>
      </c>
      <c r="T598">
        <v>1</v>
      </c>
      <c r="U598" t="s">
        <v>145</v>
      </c>
      <c r="V598" t="s">
        <v>146</v>
      </c>
      <c r="W598">
        <v>2</v>
      </c>
    </row>
    <row r="599" spans="2:23" x14ac:dyDescent="0.3">
      <c r="B599">
        <v>595</v>
      </c>
      <c r="C599" t="s">
        <v>134</v>
      </c>
      <c r="D599">
        <v>24</v>
      </c>
      <c r="E599" t="s">
        <v>180</v>
      </c>
      <c r="F599" t="s">
        <v>186</v>
      </c>
      <c r="G599">
        <v>1358</v>
      </c>
      <c r="H599" t="s">
        <v>137</v>
      </c>
      <c r="I599" t="s">
        <v>138</v>
      </c>
      <c r="J599">
        <v>4</v>
      </c>
      <c r="K599" t="s">
        <v>139</v>
      </c>
      <c r="L599" t="s">
        <v>140</v>
      </c>
      <c r="M599">
        <v>3</v>
      </c>
      <c r="N599" t="s">
        <v>166</v>
      </c>
      <c r="O599">
        <v>40</v>
      </c>
      <c r="P599" t="s">
        <v>181</v>
      </c>
      <c r="Q599" t="s">
        <v>143</v>
      </c>
      <c r="R599">
        <v>1</v>
      </c>
      <c r="S599" t="s">
        <v>168</v>
      </c>
      <c r="T599">
        <v>1</v>
      </c>
      <c r="U599" t="s">
        <v>145</v>
      </c>
      <c r="V599" t="s">
        <v>146</v>
      </c>
      <c r="W599">
        <v>2</v>
      </c>
    </row>
    <row r="600" spans="2:23" x14ac:dyDescent="0.3">
      <c r="B600">
        <v>596</v>
      </c>
      <c r="C600" t="s">
        <v>147</v>
      </c>
      <c r="D600">
        <v>6</v>
      </c>
      <c r="E600" t="s">
        <v>180</v>
      </c>
      <c r="F600" t="s">
        <v>162</v>
      </c>
      <c r="G600">
        <v>931</v>
      </c>
      <c r="H600" t="s">
        <v>175</v>
      </c>
      <c r="I600" t="s">
        <v>173</v>
      </c>
      <c r="J600">
        <v>1</v>
      </c>
      <c r="K600" t="s">
        <v>151</v>
      </c>
      <c r="L600" t="s">
        <v>140</v>
      </c>
      <c r="M600">
        <v>1</v>
      </c>
      <c r="N600" t="s">
        <v>159</v>
      </c>
      <c r="O600">
        <v>32</v>
      </c>
      <c r="P600" t="s">
        <v>181</v>
      </c>
      <c r="Q600" t="s">
        <v>143</v>
      </c>
      <c r="R600">
        <v>1</v>
      </c>
      <c r="S600" t="s">
        <v>156</v>
      </c>
      <c r="T600">
        <v>1</v>
      </c>
      <c r="U600" t="s">
        <v>152</v>
      </c>
      <c r="V600" t="s">
        <v>146</v>
      </c>
      <c r="W600">
        <v>2</v>
      </c>
    </row>
    <row r="601" spans="2:23" x14ac:dyDescent="0.3">
      <c r="B601">
        <v>597</v>
      </c>
      <c r="C601" t="s">
        <v>134</v>
      </c>
      <c r="D601">
        <v>24</v>
      </c>
      <c r="E601" t="s">
        <v>148</v>
      </c>
      <c r="F601" t="s">
        <v>162</v>
      </c>
      <c r="G601">
        <v>1442</v>
      </c>
      <c r="H601" t="s">
        <v>149</v>
      </c>
      <c r="I601" t="s">
        <v>155</v>
      </c>
      <c r="J601">
        <v>4</v>
      </c>
      <c r="K601" t="s">
        <v>151</v>
      </c>
      <c r="L601" t="s">
        <v>140</v>
      </c>
      <c r="M601">
        <v>4</v>
      </c>
      <c r="N601" t="s">
        <v>166</v>
      </c>
      <c r="O601">
        <v>23</v>
      </c>
      <c r="P601" t="s">
        <v>142</v>
      </c>
      <c r="Q601" t="s">
        <v>167</v>
      </c>
      <c r="R601">
        <v>2</v>
      </c>
      <c r="S601" t="s">
        <v>144</v>
      </c>
      <c r="T601">
        <v>1</v>
      </c>
      <c r="U601" t="s">
        <v>152</v>
      </c>
      <c r="V601" t="s">
        <v>146</v>
      </c>
      <c r="W601">
        <v>2</v>
      </c>
    </row>
    <row r="602" spans="2:23" x14ac:dyDescent="0.3">
      <c r="B602">
        <v>598</v>
      </c>
      <c r="C602" t="s">
        <v>147</v>
      </c>
      <c r="D602">
        <v>24</v>
      </c>
      <c r="E602" t="s">
        <v>176</v>
      </c>
      <c r="F602" t="s">
        <v>174</v>
      </c>
      <c r="G602">
        <v>4241</v>
      </c>
      <c r="H602" t="s">
        <v>149</v>
      </c>
      <c r="I602" t="s">
        <v>150</v>
      </c>
      <c r="J602">
        <v>1</v>
      </c>
      <c r="K602" t="s">
        <v>139</v>
      </c>
      <c r="L602" t="s">
        <v>140</v>
      </c>
      <c r="M602">
        <v>4</v>
      </c>
      <c r="N602" t="s">
        <v>141</v>
      </c>
      <c r="O602">
        <v>36</v>
      </c>
      <c r="P602" t="s">
        <v>142</v>
      </c>
      <c r="Q602" t="s">
        <v>143</v>
      </c>
      <c r="R602">
        <v>3</v>
      </c>
      <c r="S602" t="s">
        <v>156</v>
      </c>
      <c r="T602">
        <v>1</v>
      </c>
      <c r="U602" t="s">
        <v>145</v>
      </c>
      <c r="V602" t="s">
        <v>146</v>
      </c>
      <c r="W602">
        <v>2</v>
      </c>
    </row>
    <row r="603" spans="2:23" x14ac:dyDescent="0.3">
      <c r="B603">
        <v>599</v>
      </c>
      <c r="C603" t="s">
        <v>153</v>
      </c>
      <c r="D603">
        <v>18</v>
      </c>
      <c r="E603" t="s">
        <v>135</v>
      </c>
      <c r="F603" t="s">
        <v>162</v>
      </c>
      <c r="G603">
        <v>2775</v>
      </c>
      <c r="H603" t="s">
        <v>149</v>
      </c>
      <c r="I603" t="s">
        <v>155</v>
      </c>
      <c r="J603">
        <v>2</v>
      </c>
      <c r="K603" t="s">
        <v>139</v>
      </c>
      <c r="L603" t="s">
        <v>140</v>
      </c>
      <c r="M603">
        <v>2</v>
      </c>
      <c r="N603" t="s">
        <v>159</v>
      </c>
      <c r="O603">
        <v>31</v>
      </c>
      <c r="P603" t="s">
        <v>177</v>
      </c>
      <c r="Q603" t="s">
        <v>143</v>
      </c>
      <c r="R603">
        <v>2</v>
      </c>
      <c r="S603" t="s">
        <v>144</v>
      </c>
      <c r="T603">
        <v>1</v>
      </c>
      <c r="U603" t="s">
        <v>152</v>
      </c>
      <c r="V603" t="s">
        <v>146</v>
      </c>
      <c r="W603">
        <v>2</v>
      </c>
    </row>
    <row r="604" spans="2:23" x14ac:dyDescent="0.3">
      <c r="B604">
        <v>600</v>
      </c>
      <c r="C604" t="s">
        <v>153</v>
      </c>
      <c r="D604">
        <v>24</v>
      </c>
      <c r="E604" t="s">
        <v>161</v>
      </c>
      <c r="F604" t="s">
        <v>174</v>
      </c>
      <c r="G604">
        <v>3863</v>
      </c>
      <c r="H604" t="s">
        <v>149</v>
      </c>
      <c r="I604" t="s">
        <v>150</v>
      </c>
      <c r="J604">
        <v>1</v>
      </c>
      <c r="K604" t="s">
        <v>139</v>
      </c>
      <c r="L604" t="s">
        <v>140</v>
      </c>
      <c r="M604">
        <v>2</v>
      </c>
      <c r="N604" t="s">
        <v>163</v>
      </c>
      <c r="O604">
        <v>32</v>
      </c>
      <c r="P604" t="s">
        <v>142</v>
      </c>
      <c r="Q604" t="s">
        <v>160</v>
      </c>
      <c r="R604">
        <v>1</v>
      </c>
      <c r="S604" t="s">
        <v>144</v>
      </c>
      <c r="T604">
        <v>1</v>
      </c>
      <c r="U604" t="s">
        <v>152</v>
      </c>
      <c r="V604" t="s">
        <v>146</v>
      </c>
      <c r="W604">
        <v>1</v>
      </c>
    </row>
    <row r="605" spans="2:23" x14ac:dyDescent="0.3">
      <c r="B605">
        <v>601</v>
      </c>
      <c r="C605" t="s">
        <v>147</v>
      </c>
      <c r="D605">
        <v>7</v>
      </c>
      <c r="E605" t="s">
        <v>148</v>
      </c>
      <c r="F605" t="s">
        <v>136</v>
      </c>
      <c r="G605">
        <v>2329</v>
      </c>
      <c r="H605" t="s">
        <v>149</v>
      </c>
      <c r="I605" t="s">
        <v>173</v>
      </c>
      <c r="J605">
        <v>1</v>
      </c>
      <c r="K605" t="s">
        <v>151</v>
      </c>
      <c r="L605" t="s">
        <v>158</v>
      </c>
      <c r="M605">
        <v>1</v>
      </c>
      <c r="N605" t="s">
        <v>141</v>
      </c>
      <c r="O605">
        <v>45</v>
      </c>
      <c r="P605" t="s">
        <v>142</v>
      </c>
      <c r="Q605" t="s">
        <v>143</v>
      </c>
      <c r="R605">
        <v>1</v>
      </c>
      <c r="S605" t="s">
        <v>144</v>
      </c>
      <c r="T605">
        <v>1</v>
      </c>
      <c r="U605" t="s">
        <v>152</v>
      </c>
      <c r="V605" t="s">
        <v>146</v>
      </c>
      <c r="W605">
        <v>1</v>
      </c>
    </row>
    <row r="606" spans="2:23" x14ac:dyDescent="0.3">
      <c r="B606">
        <v>602</v>
      </c>
      <c r="C606" t="s">
        <v>147</v>
      </c>
      <c r="D606">
        <v>9</v>
      </c>
      <c r="E606" t="s">
        <v>148</v>
      </c>
      <c r="F606" t="s">
        <v>157</v>
      </c>
      <c r="G606">
        <v>918</v>
      </c>
      <c r="H606" t="s">
        <v>149</v>
      </c>
      <c r="I606" t="s">
        <v>150</v>
      </c>
      <c r="J606">
        <v>4</v>
      </c>
      <c r="K606" t="s">
        <v>151</v>
      </c>
      <c r="L606" t="s">
        <v>140</v>
      </c>
      <c r="M606">
        <v>1</v>
      </c>
      <c r="N606" t="s">
        <v>159</v>
      </c>
      <c r="O606">
        <v>30</v>
      </c>
      <c r="P606" t="s">
        <v>142</v>
      </c>
      <c r="Q606" t="s">
        <v>143</v>
      </c>
      <c r="R606">
        <v>1</v>
      </c>
      <c r="S606" t="s">
        <v>144</v>
      </c>
      <c r="T606">
        <v>1</v>
      </c>
      <c r="U606" t="s">
        <v>152</v>
      </c>
      <c r="V606" t="s">
        <v>146</v>
      </c>
      <c r="W606">
        <v>2</v>
      </c>
    </row>
    <row r="607" spans="2:23" x14ac:dyDescent="0.3">
      <c r="B607">
        <v>603</v>
      </c>
      <c r="C607" t="s">
        <v>147</v>
      </c>
      <c r="D607">
        <v>24</v>
      </c>
      <c r="E607" t="s">
        <v>180</v>
      </c>
      <c r="F607" t="s">
        <v>154</v>
      </c>
      <c r="G607">
        <v>1837</v>
      </c>
      <c r="H607" t="s">
        <v>149</v>
      </c>
      <c r="I607" t="s">
        <v>155</v>
      </c>
      <c r="J607">
        <v>4</v>
      </c>
      <c r="K607" t="s">
        <v>151</v>
      </c>
      <c r="L607" t="s">
        <v>140</v>
      </c>
      <c r="M607">
        <v>4</v>
      </c>
      <c r="N607" t="s">
        <v>163</v>
      </c>
      <c r="O607">
        <v>34</v>
      </c>
      <c r="P607" t="s">
        <v>177</v>
      </c>
      <c r="Q607" t="s">
        <v>160</v>
      </c>
      <c r="R607">
        <v>1</v>
      </c>
      <c r="S607" t="s">
        <v>156</v>
      </c>
      <c r="T607">
        <v>1</v>
      </c>
      <c r="U607" t="s">
        <v>152</v>
      </c>
      <c r="V607" t="s">
        <v>146</v>
      </c>
      <c r="W607">
        <v>2</v>
      </c>
    </row>
    <row r="608" spans="2:23" x14ac:dyDescent="0.3">
      <c r="B608">
        <v>604</v>
      </c>
      <c r="C608" t="s">
        <v>153</v>
      </c>
      <c r="D608">
        <v>36</v>
      </c>
      <c r="E608" t="s">
        <v>148</v>
      </c>
      <c r="F608" t="s">
        <v>157</v>
      </c>
      <c r="G608">
        <v>3349</v>
      </c>
      <c r="H608" t="s">
        <v>149</v>
      </c>
      <c r="I608" t="s">
        <v>150</v>
      </c>
      <c r="J608">
        <v>4</v>
      </c>
      <c r="K608" t="s">
        <v>151</v>
      </c>
      <c r="L608" t="s">
        <v>140</v>
      </c>
      <c r="M608">
        <v>2</v>
      </c>
      <c r="N608" t="s">
        <v>166</v>
      </c>
      <c r="O608">
        <v>28</v>
      </c>
      <c r="P608" t="s">
        <v>142</v>
      </c>
      <c r="Q608" t="s">
        <v>143</v>
      </c>
      <c r="R608">
        <v>1</v>
      </c>
      <c r="S608" t="s">
        <v>168</v>
      </c>
      <c r="T608">
        <v>1</v>
      </c>
      <c r="U608" t="s">
        <v>145</v>
      </c>
      <c r="V608" t="s">
        <v>146</v>
      </c>
      <c r="W608">
        <v>2</v>
      </c>
    </row>
    <row r="609" spans="2:23" x14ac:dyDescent="0.3">
      <c r="B609">
        <v>605</v>
      </c>
      <c r="C609" t="s">
        <v>179</v>
      </c>
      <c r="D609">
        <v>10</v>
      </c>
      <c r="E609" t="s">
        <v>148</v>
      </c>
      <c r="F609" t="s">
        <v>157</v>
      </c>
      <c r="G609">
        <v>1275</v>
      </c>
      <c r="H609" t="s">
        <v>149</v>
      </c>
      <c r="I609" t="s">
        <v>173</v>
      </c>
      <c r="J609">
        <v>4</v>
      </c>
      <c r="K609" t="s">
        <v>151</v>
      </c>
      <c r="L609" t="s">
        <v>140</v>
      </c>
      <c r="M609">
        <v>2</v>
      </c>
      <c r="N609" t="s">
        <v>159</v>
      </c>
      <c r="O609">
        <v>23</v>
      </c>
      <c r="P609" t="s">
        <v>142</v>
      </c>
      <c r="Q609" t="s">
        <v>143</v>
      </c>
      <c r="R609">
        <v>1</v>
      </c>
      <c r="S609" t="s">
        <v>144</v>
      </c>
      <c r="T609">
        <v>1</v>
      </c>
      <c r="U609" t="s">
        <v>152</v>
      </c>
      <c r="V609" t="s">
        <v>146</v>
      </c>
      <c r="W609">
        <v>1</v>
      </c>
    </row>
    <row r="610" spans="2:23" x14ac:dyDescent="0.3">
      <c r="B610">
        <v>606</v>
      </c>
      <c r="C610" t="s">
        <v>134</v>
      </c>
      <c r="D610">
        <v>24</v>
      </c>
      <c r="E610" t="s">
        <v>180</v>
      </c>
      <c r="F610" t="s">
        <v>157</v>
      </c>
      <c r="G610">
        <v>2828</v>
      </c>
      <c r="H610" t="s">
        <v>164</v>
      </c>
      <c r="I610" t="s">
        <v>150</v>
      </c>
      <c r="J610">
        <v>4</v>
      </c>
      <c r="K610" t="s">
        <v>139</v>
      </c>
      <c r="L610" t="s">
        <v>140</v>
      </c>
      <c r="M610">
        <v>4</v>
      </c>
      <c r="N610" t="s">
        <v>141</v>
      </c>
      <c r="O610">
        <v>22</v>
      </c>
      <c r="P610" t="s">
        <v>181</v>
      </c>
      <c r="Q610" t="s">
        <v>143</v>
      </c>
      <c r="R610">
        <v>1</v>
      </c>
      <c r="S610" t="s">
        <v>144</v>
      </c>
      <c r="T610">
        <v>1</v>
      </c>
      <c r="U610" t="s">
        <v>145</v>
      </c>
      <c r="V610" t="s">
        <v>146</v>
      </c>
      <c r="W610">
        <v>1</v>
      </c>
    </row>
    <row r="611" spans="2:23" x14ac:dyDescent="0.3">
      <c r="B611">
        <v>607</v>
      </c>
      <c r="C611" t="s">
        <v>153</v>
      </c>
      <c r="D611">
        <v>24</v>
      </c>
      <c r="E611" t="s">
        <v>135</v>
      </c>
      <c r="F611" t="s">
        <v>174</v>
      </c>
      <c r="G611">
        <v>4526</v>
      </c>
      <c r="H611" t="s">
        <v>149</v>
      </c>
      <c r="I611" t="s">
        <v>150</v>
      </c>
      <c r="J611">
        <v>3</v>
      </c>
      <c r="K611" t="s">
        <v>139</v>
      </c>
      <c r="L611" t="s">
        <v>140</v>
      </c>
      <c r="M611">
        <v>2</v>
      </c>
      <c r="N611" t="s">
        <v>141</v>
      </c>
      <c r="O611">
        <v>74</v>
      </c>
      <c r="P611" t="s">
        <v>142</v>
      </c>
      <c r="Q611" t="s">
        <v>143</v>
      </c>
      <c r="R611">
        <v>1</v>
      </c>
      <c r="S611" t="s">
        <v>168</v>
      </c>
      <c r="T611">
        <v>1</v>
      </c>
      <c r="U611" t="s">
        <v>145</v>
      </c>
      <c r="V611" t="s">
        <v>146</v>
      </c>
      <c r="W611">
        <v>1</v>
      </c>
    </row>
    <row r="612" spans="2:23" x14ac:dyDescent="0.3">
      <c r="B612">
        <v>608</v>
      </c>
      <c r="C612" t="s">
        <v>147</v>
      </c>
      <c r="D612">
        <v>36</v>
      </c>
      <c r="E612" t="s">
        <v>148</v>
      </c>
      <c r="F612" t="s">
        <v>136</v>
      </c>
      <c r="G612">
        <v>2671</v>
      </c>
      <c r="H612" t="s">
        <v>175</v>
      </c>
      <c r="I612" t="s">
        <v>150</v>
      </c>
      <c r="J612">
        <v>4</v>
      </c>
      <c r="K612" t="s">
        <v>151</v>
      </c>
      <c r="L612" t="s">
        <v>182</v>
      </c>
      <c r="M612">
        <v>4</v>
      </c>
      <c r="N612" t="s">
        <v>163</v>
      </c>
      <c r="O612">
        <v>50</v>
      </c>
      <c r="P612" t="s">
        <v>142</v>
      </c>
      <c r="Q612" t="s">
        <v>160</v>
      </c>
      <c r="R612">
        <v>1</v>
      </c>
      <c r="S612" t="s">
        <v>144</v>
      </c>
      <c r="T612">
        <v>1</v>
      </c>
      <c r="U612" t="s">
        <v>152</v>
      </c>
      <c r="V612" t="s">
        <v>146</v>
      </c>
      <c r="W612">
        <v>2</v>
      </c>
    </row>
    <row r="613" spans="2:23" x14ac:dyDescent="0.3">
      <c r="B613">
        <v>609</v>
      </c>
      <c r="C613" t="s">
        <v>153</v>
      </c>
      <c r="D613">
        <v>18</v>
      </c>
      <c r="E613" t="s">
        <v>148</v>
      </c>
      <c r="F613" t="s">
        <v>136</v>
      </c>
      <c r="G613">
        <v>2051</v>
      </c>
      <c r="H613" t="s">
        <v>149</v>
      </c>
      <c r="I613" t="s">
        <v>173</v>
      </c>
      <c r="J613">
        <v>4</v>
      </c>
      <c r="K613" t="s">
        <v>139</v>
      </c>
      <c r="L613" t="s">
        <v>140</v>
      </c>
      <c r="M613">
        <v>1</v>
      </c>
      <c r="N613" t="s">
        <v>141</v>
      </c>
      <c r="O613">
        <v>33</v>
      </c>
      <c r="P613" t="s">
        <v>142</v>
      </c>
      <c r="Q613" t="s">
        <v>143</v>
      </c>
      <c r="R613">
        <v>1</v>
      </c>
      <c r="S613" t="s">
        <v>144</v>
      </c>
      <c r="T613">
        <v>1</v>
      </c>
      <c r="U613" t="s">
        <v>152</v>
      </c>
      <c r="V613" t="s">
        <v>146</v>
      </c>
      <c r="W613">
        <v>1</v>
      </c>
    </row>
    <row r="614" spans="2:23" x14ac:dyDescent="0.3">
      <c r="B614">
        <v>610</v>
      </c>
      <c r="C614" t="s">
        <v>153</v>
      </c>
      <c r="D614">
        <v>15</v>
      </c>
      <c r="E614" t="s">
        <v>148</v>
      </c>
      <c r="F614" t="s">
        <v>165</v>
      </c>
      <c r="G614">
        <v>1300</v>
      </c>
      <c r="H614" t="s">
        <v>137</v>
      </c>
      <c r="I614" t="s">
        <v>138</v>
      </c>
      <c r="J614">
        <v>4</v>
      </c>
      <c r="K614" t="s">
        <v>139</v>
      </c>
      <c r="L614" t="s">
        <v>140</v>
      </c>
      <c r="M614">
        <v>4</v>
      </c>
      <c r="N614" t="s">
        <v>163</v>
      </c>
      <c r="O614">
        <v>45</v>
      </c>
      <c r="P614" t="s">
        <v>177</v>
      </c>
      <c r="Q614" t="s">
        <v>160</v>
      </c>
      <c r="R614">
        <v>1</v>
      </c>
      <c r="S614" t="s">
        <v>144</v>
      </c>
      <c r="T614">
        <v>2</v>
      </c>
      <c r="U614" t="s">
        <v>152</v>
      </c>
      <c r="V614" t="s">
        <v>146</v>
      </c>
      <c r="W614">
        <v>1</v>
      </c>
    </row>
    <row r="615" spans="2:23" x14ac:dyDescent="0.3">
      <c r="B615">
        <v>611</v>
      </c>
      <c r="C615" t="s">
        <v>134</v>
      </c>
      <c r="D615">
        <v>12</v>
      </c>
      <c r="E615" t="s">
        <v>148</v>
      </c>
      <c r="F615" t="s">
        <v>183</v>
      </c>
      <c r="G615">
        <v>741</v>
      </c>
      <c r="H615" t="s">
        <v>175</v>
      </c>
      <c r="I615" t="s">
        <v>171</v>
      </c>
      <c r="J615">
        <v>4</v>
      </c>
      <c r="K615" t="s">
        <v>151</v>
      </c>
      <c r="L615" t="s">
        <v>140</v>
      </c>
      <c r="M615">
        <v>3</v>
      </c>
      <c r="N615" t="s">
        <v>159</v>
      </c>
      <c r="O615">
        <v>22</v>
      </c>
      <c r="P615" t="s">
        <v>142</v>
      </c>
      <c r="Q615" t="s">
        <v>143</v>
      </c>
      <c r="R615">
        <v>1</v>
      </c>
      <c r="S615" t="s">
        <v>144</v>
      </c>
      <c r="T615">
        <v>1</v>
      </c>
      <c r="U615" t="s">
        <v>152</v>
      </c>
      <c r="V615" t="s">
        <v>146</v>
      </c>
      <c r="W615">
        <v>2</v>
      </c>
    </row>
    <row r="616" spans="2:23" x14ac:dyDescent="0.3">
      <c r="B616">
        <v>612</v>
      </c>
      <c r="C616" t="s">
        <v>179</v>
      </c>
      <c r="D616">
        <v>10</v>
      </c>
      <c r="E616" t="s">
        <v>148</v>
      </c>
      <c r="F616" t="s">
        <v>162</v>
      </c>
      <c r="G616">
        <v>1240</v>
      </c>
      <c r="H616" t="s">
        <v>175</v>
      </c>
      <c r="I616" t="s">
        <v>138</v>
      </c>
      <c r="J616">
        <v>1</v>
      </c>
      <c r="K616" t="s">
        <v>151</v>
      </c>
      <c r="L616" t="s">
        <v>140</v>
      </c>
      <c r="M616">
        <v>4</v>
      </c>
      <c r="N616" t="s">
        <v>163</v>
      </c>
      <c r="O616">
        <v>48</v>
      </c>
      <c r="P616" t="s">
        <v>142</v>
      </c>
      <c r="Q616" t="s">
        <v>160</v>
      </c>
      <c r="R616">
        <v>1</v>
      </c>
      <c r="S616" t="s">
        <v>156</v>
      </c>
      <c r="T616">
        <v>2</v>
      </c>
      <c r="U616" t="s">
        <v>152</v>
      </c>
      <c r="V616" t="s">
        <v>146</v>
      </c>
      <c r="W616">
        <v>2</v>
      </c>
    </row>
    <row r="617" spans="2:23" x14ac:dyDescent="0.3">
      <c r="B617">
        <v>613</v>
      </c>
      <c r="C617" t="s">
        <v>134</v>
      </c>
      <c r="D617">
        <v>21</v>
      </c>
      <c r="E617" t="s">
        <v>148</v>
      </c>
      <c r="F617" t="s">
        <v>136</v>
      </c>
      <c r="G617">
        <v>3357</v>
      </c>
      <c r="H617" t="s">
        <v>169</v>
      </c>
      <c r="I617" t="s">
        <v>173</v>
      </c>
      <c r="J617">
        <v>4</v>
      </c>
      <c r="K617" t="s">
        <v>151</v>
      </c>
      <c r="L617" t="s">
        <v>140</v>
      </c>
      <c r="M617">
        <v>2</v>
      </c>
      <c r="N617" t="s">
        <v>166</v>
      </c>
      <c r="O617">
        <v>29</v>
      </c>
      <c r="P617" t="s">
        <v>177</v>
      </c>
      <c r="Q617" t="s">
        <v>143</v>
      </c>
      <c r="R617">
        <v>1</v>
      </c>
      <c r="S617" t="s">
        <v>144</v>
      </c>
      <c r="T617">
        <v>1</v>
      </c>
      <c r="U617" t="s">
        <v>152</v>
      </c>
      <c r="V617" t="s">
        <v>146</v>
      </c>
      <c r="W617">
        <v>1</v>
      </c>
    </row>
    <row r="618" spans="2:23" x14ac:dyDescent="0.3">
      <c r="B618">
        <v>614</v>
      </c>
      <c r="C618" t="s">
        <v>134</v>
      </c>
      <c r="D618">
        <v>24</v>
      </c>
      <c r="E618" t="s">
        <v>180</v>
      </c>
      <c r="F618" t="s">
        <v>165</v>
      </c>
      <c r="G618">
        <v>3632</v>
      </c>
      <c r="H618" t="s">
        <v>149</v>
      </c>
      <c r="I618" t="s">
        <v>150</v>
      </c>
      <c r="J618">
        <v>1</v>
      </c>
      <c r="K618" t="s">
        <v>151</v>
      </c>
      <c r="L618" t="s">
        <v>158</v>
      </c>
      <c r="M618">
        <v>4</v>
      </c>
      <c r="N618" t="s">
        <v>166</v>
      </c>
      <c r="O618">
        <v>22</v>
      </c>
      <c r="P618" t="s">
        <v>177</v>
      </c>
      <c r="Q618" t="s">
        <v>167</v>
      </c>
      <c r="R618">
        <v>1</v>
      </c>
      <c r="S618" t="s">
        <v>144</v>
      </c>
      <c r="T618">
        <v>1</v>
      </c>
      <c r="U618" t="s">
        <v>152</v>
      </c>
      <c r="V618" t="s">
        <v>178</v>
      </c>
      <c r="W618">
        <v>1</v>
      </c>
    </row>
    <row r="619" spans="2:23" x14ac:dyDescent="0.3">
      <c r="B619">
        <v>615</v>
      </c>
      <c r="C619" t="s">
        <v>153</v>
      </c>
      <c r="D619">
        <v>18</v>
      </c>
      <c r="E619" t="s">
        <v>161</v>
      </c>
      <c r="F619" t="s">
        <v>157</v>
      </c>
      <c r="G619">
        <v>1808</v>
      </c>
      <c r="H619" t="s">
        <v>149</v>
      </c>
      <c r="I619" t="s">
        <v>155</v>
      </c>
      <c r="J619">
        <v>4</v>
      </c>
      <c r="K619" t="s">
        <v>151</v>
      </c>
      <c r="L619" t="s">
        <v>140</v>
      </c>
      <c r="M619">
        <v>1</v>
      </c>
      <c r="N619" t="s">
        <v>141</v>
      </c>
      <c r="O619">
        <v>22</v>
      </c>
      <c r="P619" t="s">
        <v>142</v>
      </c>
      <c r="Q619" t="s">
        <v>143</v>
      </c>
      <c r="R619">
        <v>1</v>
      </c>
      <c r="S619" t="s">
        <v>144</v>
      </c>
      <c r="T619">
        <v>1</v>
      </c>
      <c r="U619" t="s">
        <v>152</v>
      </c>
      <c r="V619" t="s">
        <v>146</v>
      </c>
      <c r="W619">
        <v>2</v>
      </c>
    </row>
    <row r="620" spans="2:23" x14ac:dyDescent="0.3">
      <c r="B620">
        <v>616</v>
      </c>
      <c r="C620" t="s">
        <v>147</v>
      </c>
      <c r="D620">
        <v>48</v>
      </c>
      <c r="E620" t="s">
        <v>176</v>
      </c>
      <c r="F620" t="s">
        <v>174</v>
      </c>
      <c r="G620">
        <v>12204</v>
      </c>
      <c r="H620" t="s">
        <v>137</v>
      </c>
      <c r="I620" t="s">
        <v>150</v>
      </c>
      <c r="J620">
        <v>2</v>
      </c>
      <c r="K620" t="s">
        <v>139</v>
      </c>
      <c r="L620" t="s">
        <v>140</v>
      </c>
      <c r="M620">
        <v>2</v>
      </c>
      <c r="N620" t="s">
        <v>166</v>
      </c>
      <c r="O620">
        <v>48</v>
      </c>
      <c r="P620" t="s">
        <v>177</v>
      </c>
      <c r="Q620" t="s">
        <v>143</v>
      </c>
      <c r="R620">
        <v>1</v>
      </c>
      <c r="S620" t="s">
        <v>168</v>
      </c>
      <c r="T620">
        <v>1</v>
      </c>
      <c r="U620" t="s">
        <v>145</v>
      </c>
      <c r="V620" t="s">
        <v>146</v>
      </c>
      <c r="W620">
        <v>1</v>
      </c>
    </row>
    <row r="621" spans="2:23" x14ac:dyDescent="0.3">
      <c r="B621">
        <v>617</v>
      </c>
      <c r="C621" t="s">
        <v>147</v>
      </c>
      <c r="D621">
        <v>60</v>
      </c>
      <c r="E621" t="s">
        <v>161</v>
      </c>
      <c r="F621" t="s">
        <v>136</v>
      </c>
      <c r="G621">
        <v>9157</v>
      </c>
      <c r="H621" t="s">
        <v>137</v>
      </c>
      <c r="I621" t="s">
        <v>150</v>
      </c>
      <c r="J621">
        <v>2</v>
      </c>
      <c r="K621" t="s">
        <v>139</v>
      </c>
      <c r="L621" t="s">
        <v>140</v>
      </c>
      <c r="M621">
        <v>2</v>
      </c>
      <c r="N621" t="s">
        <v>163</v>
      </c>
      <c r="O621">
        <v>27</v>
      </c>
      <c r="P621" t="s">
        <v>142</v>
      </c>
      <c r="Q621" t="s">
        <v>160</v>
      </c>
      <c r="R621">
        <v>1</v>
      </c>
      <c r="S621" t="s">
        <v>168</v>
      </c>
      <c r="T621">
        <v>1</v>
      </c>
      <c r="U621" t="s">
        <v>152</v>
      </c>
      <c r="V621" t="s">
        <v>146</v>
      </c>
      <c r="W621">
        <v>1</v>
      </c>
    </row>
    <row r="622" spans="2:23" x14ac:dyDescent="0.3">
      <c r="B622">
        <v>618</v>
      </c>
      <c r="C622" t="s">
        <v>134</v>
      </c>
      <c r="D622">
        <v>6</v>
      </c>
      <c r="E622" t="s">
        <v>135</v>
      </c>
      <c r="F622" t="s">
        <v>162</v>
      </c>
      <c r="G622">
        <v>3676</v>
      </c>
      <c r="H622" t="s">
        <v>149</v>
      </c>
      <c r="I622" t="s">
        <v>150</v>
      </c>
      <c r="J622">
        <v>1</v>
      </c>
      <c r="K622" t="s">
        <v>139</v>
      </c>
      <c r="L622" t="s">
        <v>140</v>
      </c>
      <c r="M622">
        <v>3</v>
      </c>
      <c r="N622" t="s">
        <v>141</v>
      </c>
      <c r="O622">
        <v>37</v>
      </c>
      <c r="P622" t="s">
        <v>142</v>
      </c>
      <c r="Q622" t="s">
        <v>167</v>
      </c>
      <c r="R622">
        <v>3</v>
      </c>
      <c r="S622" t="s">
        <v>144</v>
      </c>
      <c r="T622">
        <v>2</v>
      </c>
      <c r="U622" t="s">
        <v>152</v>
      </c>
      <c r="V622" t="s">
        <v>146</v>
      </c>
      <c r="W622">
        <v>1</v>
      </c>
    </row>
    <row r="623" spans="2:23" x14ac:dyDescent="0.3">
      <c r="B623">
        <v>619</v>
      </c>
      <c r="C623" t="s">
        <v>147</v>
      </c>
      <c r="D623">
        <v>30</v>
      </c>
      <c r="E623" t="s">
        <v>148</v>
      </c>
      <c r="F623" t="s">
        <v>157</v>
      </c>
      <c r="G623">
        <v>3441</v>
      </c>
      <c r="H623" t="s">
        <v>175</v>
      </c>
      <c r="I623" t="s">
        <v>150</v>
      </c>
      <c r="J623">
        <v>2</v>
      </c>
      <c r="K623" t="s">
        <v>151</v>
      </c>
      <c r="L623" t="s">
        <v>182</v>
      </c>
      <c r="M623">
        <v>4</v>
      </c>
      <c r="N623" t="s">
        <v>166</v>
      </c>
      <c r="O623">
        <v>21</v>
      </c>
      <c r="P623" t="s">
        <v>142</v>
      </c>
      <c r="Q623" t="s">
        <v>167</v>
      </c>
      <c r="R623">
        <v>1</v>
      </c>
      <c r="S623" t="s">
        <v>144</v>
      </c>
      <c r="T623">
        <v>1</v>
      </c>
      <c r="U623" t="s">
        <v>152</v>
      </c>
      <c r="V623" t="s">
        <v>146</v>
      </c>
      <c r="W623">
        <v>2</v>
      </c>
    </row>
    <row r="624" spans="2:23" x14ac:dyDescent="0.3">
      <c r="B624">
        <v>620</v>
      </c>
      <c r="C624" t="s">
        <v>153</v>
      </c>
      <c r="D624">
        <v>12</v>
      </c>
      <c r="E624" t="s">
        <v>148</v>
      </c>
      <c r="F624" t="s">
        <v>162</v>
      </c>
      <c r="G624">
        <v>640</v>
      </c>
      <c r="H624" t="s">
        <v>149</v>
      </c>
      <c r="I624" t="s">
        <v>150</v>
      </c>
      <c r="J624">
        <v>4</v>
      </c>
      <c r="K624" t="s">
        <v>170</v>
      </c>
      <c r="L624" t="s">
        <v>140</v>
      </c>
      <c r="M624">
        <v>2</v>
      </c>
      <c r="N624" t="s">
        <v>141</v>
      </c>
      <c r="O624">
        <v>49</v>
      </c>
      <c r="P624" t="s">
        <v>142</v>
      </c>
      <c r="Q624" t="s">
        <v>143</v>
      </c>
      <c r="R624">
        <v>1</v>
      </c>
      <c r="S624" t="s">
        <v>156</v>
      </c>
      <c r="T624">
        <v>1</v>
      </c>
      <c r="U624" t="s">
        <v>152</v>
      </c>
      <c r="V624" t="s">
        <v>146</v>
      </c>
      <c r="W624">
        <v>1</v>
      </c>
    </row>
    <row r="625" spans="2:23" x14ac:dyDescent="0.3">
      <c r="B625">
        <v>621</v>
      </c>
      <c r="C625" t="s">
        <v>147</v>
      </c>
      <c r="D625">
        <v>21</v>
      </c>
      <c r="E625" t="s">
        <v>135</v>
      </c>
      <c r="F625" t="s">
        <v>174</v>
      </c>
      <c r="G625">
        <v>3652</v>
      </c>
      <c r="H625" t="s">
        <v>149</v>
      </c>
      <c r="I625" t="s">
        <v>155</v>
      </c>
      <c r="J625">
        <v>2</v>
      </c>
      <c r="K625" t="s">
        <v>139</v>
      </c>
      <c r="L625" t="s">
        <v>140</v>
      </c>
      <c r="M625">
        <v>3</v>
      </c>
      <c r="N625" t="s">
        <v>159</v>
      </c>
      <c r="O625">
        <v>27</v>
      </c>
      <c r="P625" t="s">
        <v>142</v>
      </c>
      <c r="Q625" t="s">
        <v>143</v>
      </c>
      <c r="R625">
        <v>2</v>
      </c>
      <c r="S625" t="s">
        <v>144</v>
      </c>
      <c r="T625">
        <v>1</v>
      </c>
      <c r="U625" t="s">
        <v>152</v>
      </c>
      <c r="V625" t="s">
        <v>146</v>
      </c>
      <c r="W625">
        <v>1</v>
      </c>
    </row>
    <row r="626" spans="2:23" x14ac:dyDescent="0.3">
      <c r="B626">
        <v>622</v>
      </c>
      <c r="C626" t="s">
        <v>153</v>
      </c>
      <c r="D626">
        <v>18</v>
      </c>
      <c r="E626" t="s">
        <v>135</v>
      </c>
      <c r="F626" t="s">
        <v>162</v>
      </c>
      <c r="G626">
        <v>1530</v>
      </c>
      <c r="H626" t="s">
        <v>149</v>
      </c>
      <c r="I626" t="s">
        <v>150</v>
      </c>
      <c r="J626">
        <v>3</v>
      </c>
      <c r="K626" t="s">
        <v>139</v>
      </c>
      <c r="L626" t="s">
        <v>140</v>
      </c>
      <c r="M626">
        <v>2</v>
      </c>
      <c r="N626" t="s">
        <v>159</v>
      </c>
      <c r="O626">
        <v>32</v>
      </c>
      <c r="P626" t="s">
        <v>177</v>
      </c>
      <c r="Q626" t="s">
        <v>143</v>
      </c>
      <c r="R626">
        <v>2</v>
      </c>
      <c r="S626" t="s">
        <v>144</v>
      </c>
      <c r="T626">
        <v>1</v>
      </c>
      <c r="U626" t="s">
        <v>152</v>
      </c>
      <c r="V626" t="s">
        <v>146</v>
      </c>
      <c r="W626">
        <v>2</v>
      </c>
    </row>
    <row r="627" spans="2:23" x14ac:dyDescent="0.3">
      <c r="B627">
        <v>623</v>
      </c>
      <c r="C627" t="s">
        <v>153</v>
      </c>
      <c r="D627">
        <v>48</v>
      </c>
      <c r="E627" t="s">
        <v>148</v>
      </c>
      <c r="F627" t="s">
        <v>174</v>
      </c>
      <c r="G627">
        <v>3914</v>
      </c>
      <c r="H627" t="s">
        <v>137</v>
      </c>
      <c r="I627" t="s">
        <v>150</v>
      </c>
      <c r="J627">
        <v>4</v>
      </c>
      <c r="K627" t="s">
        <v>170</v>
      </c>
      <c r="L627" t="s">
        <v>140</v>
      </c>
      <c r="M627">
        <v>2</v>
      </c>
      <c r="N627" t="s">
        <v>141</v>
      </c>
      <c r="O627">
        <v>38</v>
      </c>
      <c r="P627" t="s">
        <v>177</v>
      </c>
      <c r="Q627" t="s">
        <v>143</v>
      </c>
      <c r="R627">
        <v>1</v>
      </c>
      <c r="S627" t="s">
        <v>144</v>
      </c>
      <c r="T627">
        <v>1</v>
      </c>
      <c r="U627" t="s">
        <v>152</v>
      </c>
      <c r="V627" t="s">
        <v>146</v>
      </c>
      <c r="W627">
        <v>2</v>
      </c>
    </row>
    <row r="628" spans="2:23" x14ac:dyDescent="0.3">
      <c r="B628">
        <v>624</v>
      </c>
      <c r="C628" t="s">
        <v>134</v>
      </c>
      <c r="D628">
        <v>12</v>
      </c>
      <c r="E628" t="s">
        <v>148</v>
      </c>
      <c r="F628" t="s">
        <v>157</v>
      </c>
      <c r="G628">
        <v>1858</v>
      </c>
      <c r="H628" t="s">
        <v>149</v>
      </c>
      <c r="I628" t="s">
        <v>173</v>
      </c>
      <c r="J628">
        <v>4</v>
      </c>
      <c r="K628" t="s">
        <v>151</v>
      </c>
      <c r="L628" t="s">
        <v>140</v>
      </c>
      <c r="M628">
        <v>1</v>
      </c>
      <c r="N628" t="s">
        <v>166</v>
      </c>
      <c r="O628">
        <v>22</v>
      </c>
      <c r="P628" t="s">
        <v>142</v>
      </c>
      <c r="Q628" t="s">
        <v>167</v>
      </c>
      <c r="R628">
        <v>1</v>
      </c>
      <c r="S628" t="s">
        <v>144</v>
      </c>
      <c r="T628">
        <v>1</v>
      </c>
      <c r="U628" t="s">
        <v>152</v>
      </c>
      <c r="V628" t="s">
        <v>146</v>
      </c>
      <c r="W628">
        <v>1</v>
      </c>
    </row>
    <row r="629" spans="2:23" x14ac:dyDescent="0.3">
      <c r="B629">
        <v>625</v>
      </c>
      <c r="C629" t="s">
        <v>134</v>
      </c>
      <c r="D629">
        <v>18</v>
      </c>
      <c r="E629" t="s">
        <v>148</v>
      </c>
      <c r="F629" t="s">
        <v>136</v>
      </c>
      <c r="G629">
        <v>2600</v>
      </c>
      <c r="H629" t="s">
        <v>149</v>
      </c>
      <c r="I629" t="s">
        <v>150</v>
      </c>
      <c r="J629">
        <v>4</v>
      </c>
      <c r="K629" t="s">
        <v>139</v>
      </c>
      <c r="L629" t="s">
        <v>140</v>
      </c>
      <c r="M629">
        <v>4</v>
      </c>
      <c r="N629" t="s">
        <v>163</v>
      </c>
      <c r="O629">
        <v>65</v>
      </c>
      <c r="P629" t="s">
        <v>142</v>
      </c>
      <c r="Q629" t="s">
        <v>160</v>
      </c>
      <c r="R629">
        <v>2</v>
      </c>
      <c r="S629" t="s">
        <v>144</v>
      </c>
      <c r="T629">
        <v>1</v>
      </c>
      <c r="U629" t="s">
        <v>152</v>
      </c>
      <c r="V629" t="s">
        <v>146</v>
      </c>
      <c r="W629">
        <v>2</v>
      </c>
    </row>
    <row r="630" spans="2:23" x14ac:dyDescent="0.3">
      <c r="B630">
        <v>626</v>
      </c>
      <c r="C630" t="s">
        <v>153</v>
      </c>
      <c r="D630">
        <v>15</v>
      </c>
      <c r="E630" t="s">
        <v>148</v>
      </c>
      <c r="F630" t="s">
        <v>136</v>
      </c>
      <c r="G630">
        <v>1979</v>
      </c>
      <c r="H630" t="s">
        <v>137</v>
      </c>
      <c r="I630" t="s">
        <v>138</v>
      </c>
      <c r="J630">
        <v>4</v>
      </c>
      <c r="K630" t="s">
        <v>139</v>
      </c>
      <c r="L630" t="s">
        <v>140</v>
      </c>
      <c r="M630">
        <v>2</v>
      </c>
      <c r="N630" t="s">
        <v>166</v>
      </c>
      <c r="O630">
        <v>35</v>
      </c>
      <c r="P630" t="s">
        <v>142</v>
      </c>
      <c r="Q630" t="s">
        <v>143</v>
      </c>
      <c r="R630">
        <v>1</v>
      </c>
      <c r="S630" t="s">
        <v>144</v>
      </c>
      <c r="T630">
        <v>1</v>
      </c>
      <c r="U630" t="s">
        <v>152</v>
      </c>
      <c r="V630" t="s">
        <v>146</v>
      </c>
      <c r="W630">
        <v>1</v>
      </c>
    </row>
    <row r="631" spans="2:23" x14ac:dyDescent="0.3">
      <c r="B631">
        <v>627</v>
      </c>
      <c r="C631" t="s">
        <v>179</v>
      </c>
      <c r="D631">
        <v>6</v>
      </c>
      <c r="E631" t="s">
        <v>148</v>
      </c>
      <c r="F631" t="s">
        <v>157</v>
      </c>
      <c r="G631">
        <v>2116</v>
      </c>
      <c r="H631" t="s">
        <v>149</v>
      </c>
      <c r="I631" t="s">
        <v>150</v>
      </c>
      <c r="J631">
        <v>2</v>
      </c>
      <c r="K631" t="s">
        <v>139</v>
      </c>
      <c r="L631" t="s">
        <v>140</v>
      </c>
      <c r="M631">
        <v>2</v>
      </c>
      <c r="N631" t="s">
        <v>141</v>
      </c>
      <c r="O631">
        <v>41</v>
      </c>
      <c r="P631" t="s">
        <v>142</v>
      </c>
      <c r="Q631" t="s">
        <v>143</v>
      </c>
      <c r="R631">
        <v>1</v>
      </c>
      <c r="S631" t="s">
        <v>144</v>
      </c>
      <c r="T631">
        <v>1</v>
      </c>
      <c r="U631" t="s">
        <v>145</v>
      </c>
      <c r="V631" t="s">
        <v>146</v>
      </c>
      <c r="W631">
        <v>1</v>
      </c>
    </row>
    <row r="632" spans="2:23" x14ac:dyDescent="0.3">
      <c r="B632">
        <v>628</v>
      </c>
      <c r="C632" t="s">
        <v>147</v>
      </c>
      <c r="D632">
        <v>9</v>
      </c>
      <c r="E632" t="s">
        <v>180</v>
      </c>
      <c r="F632" t="s">
        <v>162</v>
      </c>
      <c r="G632">
        <v>1437</v>
      </c>
      <c r="H632" t="s">
        <v>175</v>
      </c>
      <c r="I632" t="s">
        <v>155</v>
      </c>
      <c r="J632">
        <v>2</v>
      </c>
      <c r="K632" t="s">
        <v>139</v>
      </c>
      <c r="L632" t="s">
        <v>140</v>
      </c>
      <c r="M632">
        <v>3</v>
      </c>
      <c r="N632" t="s">
        <v>163</v>
      </c>
      <c r="O632">
        <v>29</v>
      </c>
      <c r="P632" t="s">
        <v>142</v>
      </c>
      <c r="Q632" t="s">
        <v>143</v>
      </c>
      <c r="R632">
        <v>1</v>
      </c>
      <c r="S632" t="s">
        <v>144</v>
      </c>
      <c r="T632">
        <v>1</v>
      </c>
      <c r="U632" t="s">
        <v>152</v>
      </c>
      <c r="V632" t="s">
        <v>146</v>
      </c>
      <c r="W632">
        <v>2</v>
      </c>
    </row>
    <row r="633" spans="2:23" x14ac:dyDescent="0.3">
      <c r="B633">
        <v>629</v>
      </c>
      <c r="C633" t="s">
        <v>153</v>
      </c>
      <c r="D633">
        <v>42</v>
      </c>
      <c r="E633" t="s">
        <v>135</v>
      </c>
      <c r="F633" t="s">
        <v>157</v>
      </c>
      <c r="G633">
        <v>4042</v>
      </c>
      <c r="H633" t="s">
        <v>164</v>
      </c>
      <c r="I633" t="s">
        <v>150</v>
      </c>
      <c r="J633">
        <v>4</v>
      </c>
      <c r="K633" t="s">
        <v>139</v>
      </c>
      <c r="L633" t="s">
        <v>140</v>
      </c>
      <c r="M633">
        <v>4</v>
      </c>
      <c r="N633" t="s">
        <v>141</v>
      </c>
      <c r="O633">
        <v>36</v>
      </c>
      <c r="P633" t="s">
        <v>142</v>
      </c>
      <c r="Q633" t="s">
        <v>143</v>
      </c>
      <c r="R633">
        <v>2</v>
      </c>
      <c r="S633" t="s">
        <v>144</v>
      </c>
      <c r="T633">
        <v>1</v>
      </c>
      <c r="U633" t="s">
        <v>145</v>
      </c>
      <c r="V633" t="s">
        <v>146</v>
      </c>
      <c r="W633">
        <v>1</v>
      </c>
    </row>
    <row r="634" spans="2:23" x14ac:dyDescent="0.3">
      <c r="B634">
        <v>630</v>
      </c>
      <c r="C634" t="s">
        <v>153</v>
      </c>
      <c r="D634">
        <v>9</v>
      </c>
      <c r="E634" t="s">
        <v>148</v>
      </c>
      <c r="F634" t="s">
        <v>154</v>
      </c>
      <c r="G634">
        <v>3832</v>
      </c>
      <c r="H634" t="s">
        <v>137</v>
      </c>
      <c r="I634" t="s">
        <v>138</v>
      </c>
      <c r="J634">
        <v>1</v>
      </c>
      <c r="K634" t="s">
        <v>139</v>
      </c>
      <c r="L634" t="s">
        <v>140</v>
      </c>
      <c r="M634">
        <v>4</v>
      </c>
      <c r="N634" t="s">
        <v>141</v>
      </c>
      <c r="O634">
        <v>64</v>
      </c>
      <c r="P634" t="s">
        <v>142</v>
      </c>
      <c r="Q634" t="s">
        <v>143</v>
      </c>
      <c r="R634">
        <v>1</v>
      </c>
      <c r="S634" t="s">
        <v>156</v>
      </c>
      <c r="T634">
        <v>1</v>
      </c>
      <c r="U634" t="s">
        <v>152</v>
      </c>
      <c r="V634" t="s">
        <v>146</v>
      </c>
      <c r="W634">
        <v>1</v>
      </c>
    </row>
    <row r="635" spans="2:23" x14ac:dyDescent="0.3">
      <c r="B635">
        <v>631</v>
      </c>
      <c r="C635" t="s">
        <v>134</v>
      </c>
      <c r="D635">
        <v>24</v>
      </c>
      <c r="E635" t="s">
        <v>148</v>
      </c>
      <c r="F635" t="s">
        <v>136</v>
      </c>
      <c r="G635">
        <v>3660</v>
      </c>
      <c r="H635" t="s">
        <v>149</v>
      </c>
      <c r="I635" t="s">
        <v>150</v>
      </c>
      <c r="J635">
        <v>2</v>
      </c>
      <c r="K635" t="s">
        <v>151</v>
      </c>
      <c r="L635" t="s">
        <v>140</v>
      </c>
      <c r="M635">
        <v>4</v>
      </c>
      <c r="N635" t="s">
        <v>166</v>
      </c>
      <c r="O635">
        <v>28</v>
      </c>
      <c r="P635" t="s">
        <v>142</v>
      </c>
      <c r="Q635" t="s">
        <v>143</v>
      </c>
      <c r="R635">
        <v>1</v>
      </c>
      <c r="S635" t="s">
        <v>144</v>
      </c>
      <c r="T635">
        <v>1</v>
      </c>
      <c r="U635" t="s">
        <v>152</v>
      </c>
      <c r="V635" t="s">
        <v>146</v>
      </c>
      <c r="W635">
        <v>1</v>
      </c>
    </row>
    <row r="636" spans="2:23" x14ac:dyDescent="0.3">
      <c r="B636">
        <v>632</v>
      </c>
      <c r="C636" t="s">
        <v>134</v>
      </c>
      <c r="D636">
        <v>18</v>
      </c>
      <c r="E636" t="s">
        <v>180</v>
      </c>
      <c r="F636" t="s">
        <v>157</v>
      </c>
      <c r="G636">
        <v>1553</v>
      </c>
      <c r="H636" t="s">
        <v>149</v>
      </c>
      <c r="I636" t="s">
        <v>150</v>
      </c>
      <c r="J636">
        <v>4</v>
      </c>
      <c r="K636" t="s">
        <v>139</v>
      </c>
      <c r="L636" t="s">
        <v>140</v>
      </c>
      <c r="M636">
        <v>3</v>
      </c>
      <c r="N636" t="s">
        <v>166</v>
      </c>
      <c r="O636">
        <v>44</v>
      </c>
      <c r="P636" t="s">
        <v>177</v>
      </c>
      <c r="Q636" t="s">
        <v>143</v>
      </c>
      <c r="R636">
        <v>1</v>
      </c>
      <c r="S636" t="s">
        <v>144</v>
      </c>
      <c r="T636">
        <v>1</v>
      </c>
      <c r="U636" t="s">
        <v>152</v>
      </c>
      <c r="V636" t="s">
        <v>146</v>
      </c>
      <c r="W636">
        <v>2</v>
      </c>
    </row>
    <row r="637" spans="2:23" x14ac:dyDescent="0.3">
      <c r="B637">
        <v>633</v>
      </c>
      <c r="C637" t="s">
        <v>147</v>
      </c>
      <c r="D637">
        <v>15</v>
      </c>
      <c r="E637" t="s">
        <v>148</v>
      </c>
      <c r="F637" t="s">
        <v>136</v>
      </c>
      <c r="G637">
        <v>1444</v>
      </c>
      <c r="H637" t="s">
        <v>137</v>
      </c>
      <c r="I637" t="s">
        <v>173</v>
      </c>
      <c r="J637">
        <v>4</v>
      </c>
      <c r="K637" t="s">
        <v>139</v>
      </c>
      <c r="L637" t="s">
        <v>140</v>
      </c>
      <c r="M637">
        <v>1</v>
      </c>
      <c r="N637" t="s">
        <v>159</v>
      </c>
      <c r="O637">
        <v>23</v>
      </c>
      <c r="P637" t="s">
        <v>142</v>
      </c>
      <c r="Q637" t="s">
        <v>143</v>
      </c>
      <c r="R637">
        <v>1</v>
      </c>
      <c r="S637" t="s">
        <v>144</v>
      </c>
      <c r="T637">
        <v>1</v>
      </c>
      <c r="U637" t="s">
        <v>152</v>
      </c>
      <c r="V637" t="s">
        <v>146</v>
      </c>
      <c r="W637">
        <v>1</v>
      </c>
    </row>
    <row r="638" spans="2:23" x14ac:dyDescent="0.3">
      <c r="B638">
        <v>634</v>
      </c>
      <c r="C638" t="s">
        <v>153</v>
      </c>
      <c r="D638">
        <v>9</v>
      </c>
      <c r="E638" t="s">
        <v>148</v>
      </c>
      <c r="F638" t="s">
        <v>157</v>
      </c>
      <c r="G638">
        <v>1980</v>
      </c>
      <c r="H638" t="s">
        <v>149</v>
      </c>
      <c r="I638" t="s">
        <v>173</v>
      </c>
      <c r="J638">
        <v>2</v>
      </c>
      <c r="K638" t="s">
        <v>151</v>
      </c>
      <c r="L638" t="s">
        <v>182</v>
      </c>
      <c r="M638">
        <v>2</v>
      </c>
      <c r="N638" t="s">
        <v>166</v>
      </c>
      <c r="O638">
        <v>19</v>
      </c>
      <c r="P638" t="s">
        <v>142</v>
      </c>
      <c r="Q638" t="s">
        <v>167</v>
      </c>
      <c r="R638">
        <v>2</v>
      </c>
      <c r="S638" t="s">
        <v>144</v>
      </c>
      <c r="T638">
        <v>1</v>
      </c>
      <c r="U638" t="s">
        <v>152</v>
      </c>
      <c r="V638" t="s">
        <v>146</v>
      </c>
      <c r="W638">
        <v>2</v>
      </c>
    </row>
    <row r="639" spans="2:23" x14ac:dyDescent="0.3">
      <c r="B639">
        <v>635</v>
      </c>
      <c r="C639" t="s">
        <v>147</v>
      </c>
      <c r="D639">
        <v>24</v>
      </c>
      <c r="E639" t="s">
        <v>148</v>
      </c>
      <c r="F639" t="s">
        <v>162</v>
      </c>
      <c r="G639">
        <v>1355</v>
      </c>
      <c r="H639" t="s">
        <v>149</v>
      </c>
      <c r="I639" t="s">
        <v>173</v>
      </c>
      <c r="J639">
        <v>3</v>
      </c>
      <c r="K639" t="s">
        <v>151</v>
      </c>
      <c r="L639" t="s">
        <v>140</v>
      </c>
      <c r="M639">
        <v>4</v>
      </c>
      <c r="N639" t="s">
        <v>166</v>
      </c>
      <c r="O639">
        <v>25</v>
      </c>
      <c r="P639" t="s">
        <v>142</v>
      </c>
      <c r="Q639" t="s">
        <v>143</v>
      </c>
      <c r="R639">
        <v>1</v>
      </c>
      <c r="S639" t="s">
        <v>156</v>
      </c>
      <c r="T639">
        <v>1</v>
      </c>
      <c r="U639" t="s">
        <v>145</v>
      </c>
      <c r="V639" t="s">
        <v>146</v>
      </c>
      <c r="W639">
        <v>2</v>
      </c>
    </row>
    <row r="640" spans="2:23" x14ac:dyDescent="0.3">
      <c r="B640">
        <v>636</v>
      </c>
      <c r="C640" t="s">
        <v>153</v>
      </c>
      <c r="D640">
        <v>12</v>
      </c>
      <c r="E640" t="s">
        <v>148</v>
      </c>
      <c r="F640" t="s">
        <v>154</v>
      </c>
      <c r="G640">
        <v>1393</v>
      </c>
      <c r="H640" t="s">
        <v>149</v>
      </c>
      <c r="I640" t="s">
        <v>138</v>
      </c>
      <c r="J640">
        <v>4</v>
      </c>
      <c r="K640" t="s">
        <v>139</v>
      </c>
      <c r="L640" t="s">
        <v>140</v>
      </c>
      <c r="M640">
        <v>4</v>
      </c>
      <c r="N640" t="s">
        <v>159</v>
      </c>
      <c r="O640">
        <v>47</v>
      </c>
      <c r="P640" t="s">
        <v>177</v>
      </c>
      <c r="Q640" t="s">
        <v>143</v>
      </c>
      <c r="R640">
        <v>3</v>
      </c>
      <c r="S640" t="s">
        <v>144</v>
      </c>
      <c r="T640">
        <v>2</v>
      </c>
      <c r="U640" t="s">
        <v>145</v>
      </c>
      <c r="V640" t="s">
        <v>146</v>
      </c>
      <c r="W640">
        <v>1</v>
      </c>
    </row>
    <row r="641" spans="2:23" x14ac:dyDescent="0.3">
      <c r="B641">
        <v>637</v>
      </c>
      <c r="C641" t="s">
        <v>153</v>
      </c>
      <c r="D641">
        <v>24</v>
      </c>
      <c r="E641" t="s">
        <v>148</v>
      </c>
      <c r="F641" t="s">
        <v>136</v>
      </c>
      <c r="G641">
        <v>1376</v>
      </c>
      <c r="H641" t="s">
        <v>164</v>
      </c>
      <c r="I641" t="s">
        <v>155</v>
      </c>
      <c r="J641">
        <v>4</v>
      </c>
      <c r="K641" t="s">
        <v>151</v>
      </c>
      <c r="L641" t="s">
        <v>140</v>
      </c>
      <c r="M641">
        <v>1</v>
      </c>
      <c r="N641" t="s">
        <v>166</v>
      </c>
      <c r="O641">
        <v>28</v>
      </c>
      <c r="P641" t="s">
        <v>142</v>
      </c>
      <c r="Q641" t="s">
        <v>143</v>
      </c>
      <c r="R641">
        <v>1</v>
      </c>
      <c r="S641" t="s">
        <v>144</v>
      </c>
      <c r="T641">
        <v>1</v>
      </c>
      <c r="U641" t="s">
        <v>152</v>
      </c>
      <c r="V641" t="s">
        <v>146</v>
      </c>
      <c r="W641">
        <v>1</v>
      </c>
    </row>
    <row r="642" spans="2:23" x14ac:dyDescent="0.3">
      <c r="B642">
        <v>638</v>
      </c>
      <c r="C642" t="s">
        <v>153</v>
      </c>
      <c r="D642">
        <v>60</v>
      </c>
      <c r="E642" t="s">
        <v>161</v>
      </c>
      <c r="F642" t="s">
        <v>136</v>
      </c>
      <c r="G642">
        <v>15653</v>
      </c>
      <c r="H642" t="s">
        <v>149</v>
      </c>
      <c r="I642" t="s">
        <v>155</v>
      </c>
      <c r="J642">
        <v>2</v>
      </c>
      <c r="K642" t="s">
        <v>139</v>
      </c>
      <c r="L642" t="s">
        <v>140</v>
      </c>
      <c r="M642">
        <v>4</v>
      </c>
      <c r="N642" t="s">
        <v>166</v>
      </c>
      <c r="O642">
        <v>21</v>
      </c>
      <c r="P642" t="s">
        <v>142</v>
      </c>
      <c r="Q642" t="s">
        <v>143</v>
      </c>
      <c r="R642">
        <v>2</v>
      </c>
      <c r="S642" t="s">
        <v>144</v>
      </c>
      <c r="T642">
        <v>1</v>
      </c>
      <c r="U642" t="s">
        <v>145</v>
      </c>
      <c r="V642" t="s">
        <v>146</v>
      </c>
      <c r="W642">
        <v>1</v>
      </c>
    </row>
    <row r="643" spans="2:23" x14ac:dyDescent="0.3">
      <c r="B643">
        <v>639</v>
      </c>
      <c r="C643" t="s">
        <v>153</v>
      </c>
      <c r="D643">
        <v>12</v>
      </c>
      <c r="E643" t="s">
        <v>148</v>
      </c>
      <c r="F643" t="s">
        <v>136</v>
      </c>
      <c r="G643">
        <v>1493</v>
      </c>
      <c r="H643" t="s">
        <v>149</v>
      </c>
      <c r="I643" t="s">
        <v>173</v>
      </c>
      <c r="J643">
        <v>4</v>
      </c>
      <c r="K643" t="s">
        <v>151</v>
      </c>
      <c r="L643" t="s">
        <v>140</v>
      </c>
      <c r="M643">
        <v>3</v>
      </c>
      <c r="N643" t="s">
        <v>166</v>
      </c>
      <c r="O643">
        <v>34</v>
      </c>
      <c r="P643" t="s">
        <v>142</v>
      </c>
      <c r="Q643" t="s">
        <v>143</v>
      </c>
      <c r="R643">
        <v>1</v>
      </c>
      <c r="S643" t="s">
        <v>144</v>
      </c>
      <c r="T643">
        <v>2</v>
      </c>
      <c r="U643" t="s">
        <v>152</v>
      </c>
      <c r="V643" t="s">
        <v>146</v>
      </c>
      <c r="W643">
        <v>1</v>
      </c>
    </row>
    <row r="644" spans="2:23" x14ac:dyDescent="0.3">
      <c r="B644">
        <v>640</v>
      </c>
      <c r="C644" t="s">
        <v>134</v>
      </c>
      <c r="D644">
        <v>42</v>
      </c>
      <c r="E644" t="s">
        <v>161</v>
      </c>
      <c r="F644" t="s">
        <v>136</v>
      </c>
      <c r="G644">
        <v>4370</v>
      </c>
      <c r="H644" t="s">
        <v>149</v>
      </c>
      <c r="I644" t="s">
        <v>155</v>
      </c>
      <c r="J644">
        <v>3</v>
      </c>
      <c r="K644" t="s">
        <v>139</v>
      </c>
      <c r="L644" t="s">
        <v>140</v>
      </c>
      <c r="M644">
        <v>2</v>
      </c>
      <c r="N644" t="s">
        <v>159</v>
      </c>
      <c r="O644">
        <v>26</v>
      </c>
      <c r="P644" t="s">
        <v>177</v>
      </c>
      <c r="Q644" t="s">
        <v>143</v>
      </c>
      <c r="R644">
        <v>2</v>
      </c>
      <c r="S644" t="s">
        <v>144</v>
      </c>
      <c r="T644">
        <v>2</v>
      </c>
      <c r="U644" t="s">
        <v>145</v>
      </c>
      <c r="V644" t="s">
        <v>146</v>
      </c>
      <c r="W644">
        <v>2</v>
      </c>
    </row>
    <row r="645" spans="2:23" x14ac:dyDescent="0.3">
      <c r="B645">
        <v>641</v>
      </c>
      <c r="C645" t="s">
        <v>134</v>
      </c>
      <c r="D645">
        <v>18</v>
      </c>
      <c r="E645" t="s">
        <v>148</v>
      </c>
      <c r="F645" t="s">
        <v>154</v>
      </c>
      <c r="G645">
        <v>750</v>
      </c>
      <c r="H645" t="s">
        <v>149</v>
      </c>
      <c r="I645" t="s">
        <v>171</v>
      </c>
      <c r="J645">
        <v>4</v>
      </c>
      <c r="K645" t="s">
        <v>151</v>
      </c>
      <c r="L645" t="s">
        <v>140</v>
      </c>
      <c r="M645">
        <v>1</v>
      </c>
      <c r="N645" t="s">
        <v>141</v>
      </c>
      <c r="O645">
        <v>27</v>
      </c>
      <c r="P645" t="s">
        <v>142</v>
      </c>
      <c r="Q645" t="s">
        <v>143</v>
      </c>
      <c r="R645">
        <v>1</v>
      </c>
      <c r="S645" t="s">
        <v>185</v>
      </c>
      <c r="T645">
        <v>1</v>
      </c>
      <c r="U645" t="s">
        <v>152</v>
      </c>
      <c r="V645" t="s">
        <v>146</v>
      </c>
      <c r="W645">
        <v>2</v>
      </c>
    </row>
    <row r="646" spans="2:23" x14ac:dyDescent="0.3">
      <c r="B646">
        <v>642</v>
      </c>
      <c r="C646" t="s">
        <v>147</v>
      </c>
      <c r="D646">
        <v>15</v>
      </c>
      <c r="E646" t="s">
        <v>148</v>
      </c>
      <c r="F646" t="s">
        <v>184</v>
      </c>
      <c r="G646">
        <v>1308</v>
      </c>
      <c r="H646" t="s">
        <v>149</v>
      </c>
      <c r="I646" t="s">
        <v>138</v>
      </c>
      <c r="J646">
        <v>4</v>
      </c>
      <c r="K646" t="s">
        <v>139</v>
      </c>
      <c r="L646" t="s">
        <v>140</v>
      </c>
      <c r="M646">
        <v>4</v>
      </c>
      <c r="N646" t="s">
        <v>166</v>
      </c>
      <c r="O646">
        <v>38</v>
      </c>
      <c r="P646" t="s">
        <v>142</v>
      </c>
      <c r="Q646" t="s">
        <v>143</v>
      </c>
      <c r="R646">
        <v>2</v>
      </c>
      <c r="S646" t="s">
        <v>156</v>
      </c>
      <c r="T646">
        <v>1</v>
      </c>
      <c r="U646" t="s">
        <v>152</v>
      </c>
      <c r="V646" t="s">
        <v>146</v>
      </c>
      <c r="W646">
        <v>1</v>
      </c>
    </row>
    <row r="647" spans="2:23" x14ac:dyDescent="0.3">
      <c r="B647">
        <v>643</v>
      </c>
      <c r="C647" t="s">
        <v>153</v>
      </c>
      <c r="D647">
        <v>15</v>
      </c>
      <c r="E647" t="s">
        <v>148</v>
      </c>
      <c r="F647" t="s">
        <v>154</v>
      </c>
      <c r="G647">
        <v>4623</v>
      </c>
      <c r="H647" t="s">
        <v>175</v>
      </c>
      <c r="I647" t="s">
        <v>150</v>
      </c>
      <c r="J647">
        <v>3</v>
      </c>
      <c r="K647" t="s">
        <v>139</v>
      </c>
      <c r="L647" t="s">
        <v>140</v>
      </c>
      <c r="M647">
        <v>2</v>
      </c>
      <c r="N647" t="s">
        <v>159</v>
      </c>
      <c r="O647">
        <v>40</v>
      </c>
      <c r="P647" t="s">
        <v>142</v>
      </c>
      <c r="Q647" t="s">
        <v>143</v>
      </c>
      <c r="R647">
        <v>1</v>
      </c>
      <c r="S647" t="s">
        <v>168</v>
      </c>
      <c r="T647">
        <v>1</v>
      </c>
      <c r="U647" t="s">
        <v>145</v>
      </c>
      <c r="V647" t="s">
        <v>146</v>
      </c>
      <c r="W647">
        <v>2</v>
      </c>
    </row>
    <row r="648" spans="2:23" x14ac:dyDescent="0.3">
      <c r="B648">
        <v>644</v>
      </c>
      <c r="C648" t="s">
        <v>153</v>
      </c>
      <c r="D648">
        <v>24</v>
      </c>
      <c r="E648" t="s">
        <v>135</v>
      </c>
      <c r="F648" t="s">
        <v>136</v>
      </c>
      <c r="G648">
        <v>1851</v>
      </c>
      <c r="H648" t="s">
        <v>149</v>
      </c>
      <c r="I648" t="s">
        <v>155</v>
      </c>
      <c r="J648">
        <v>4</v>
      </c>
      <c r="K648" t="s">
        <v>172</v>
      </c>
      <c r="L648" t="s">
        <v>158</v>
      </c>
      <c r="M648">
        <v>2</v>
      </c>
      <c r="N648" t="s">
        <v>166</v>
      </c>
      <c r="O648">
        <v>33</v>
      </c>
      <c r="P648" t="s">
        <v>142</v>
      </c>
      <c r="Q648" t="s">
        <v>143</v>
      </c>
      <c r="R648">
        <v>2</v>
      </c>
      <c r="S648" t="s">
        <v>144</v>
      </c>
      <c r="T648">
        <v>1</v>
      </c>
      <c r="U648" t="s">
        <v>145</v>
      </c>
      <c r="V648" t="s">
        <v>146</v>
      </c>
      <c r="W648">
        <v>1</v>
      </c>
    </row>
    <row r="649" spans="2:23" x14ac:dyDescent="0.3">
      <c r="B649">
        <v>645</v>
      </c>
      <c r="C649" t="s">
        <v>134</v>
      </c>
      <c r="D649">
        <v>18</v>
      </c>
      <c r="E649" t="s">
        <v>135</v>
      </c>
      <c r="F649" t="s">
        <v>136</v>
      </c>
      <c r="G649">
        <v>1880</v>
      </c>
      <c r="H649" t="s">
        <v>149</v>
      </c>
      <c r="I649" t="s">
        <v>155</v>
      </c>
      <c r="J649">
        <v>4</v>
      </c>
      <c r="K649" t="s">
        <v>172</v>
      </c>
      <c r="L649" t="s">
        <v>140</v>
      </c>
      <c r="M649">
        <v>1</v>
      </c>
      <c r="N649" t="s">
        <v>159</v>
      </c>
      <c r="O649">
        <v>32</v>
      </c>
      <c r="P649" t="s">
        <v>142</v>
      </c>
      <c r="Q649" t="s">
        <v>143</v>
      </c>
      <c r="R649">
        <v>2</v>
      </c>
      <c r="S649" t="s">
        <v>168</v>
      </c>
      <c r="T649">
        <v>1</v>
      </c>
      <c r="U649" t="s">
        <v>145</v>
      </c>
      <c r="V649" t="s">
        <v>146</v>
      </c>
      <c r="W649">
        <v>1</v>
      </c>
    </row>
    <row r="650" spans="2:23" x14ac:dyDescent="0.3">
      <c r="B650">
        <v>646</v>
      </c>
      <c r="C650" t="s">
        <v>153</v>
      </c>
      <c r="D650">
        <v>36</v>
      </c>
      <c r="E650" t="s">
        <v>161</v>
      </c>
      <c r="F650" t="s">
        <v>174</v>
      </c>
      <c r="G650">
        <v>7980</v>
      </c>
      <c r="H650" t="s">
        <v>137</v>
      </c>
      <c r="I650" t="s">
        <v>173</v>
      </c>
      <c r="J650">
        <v>4</v>
      </c>
      <c r="K650" t="s">
        <v>139</v>
      </c>
      <c r="L650" t="s">
        <v>140</v>
      </c>
      <c r="M650">
        <v>4</v>
      </c>
      <c r="N650" t="s">
        <v>166</v>
      </c>
      <c r="O650">
        <v>27</v>
      </c>
      <c r="P650" t="s">
        <v>142</v>
      </c>
      <c r="Q650" t="s">
        <v>167</v>
      </c>
      <c r="R650">
        <v>2</v>
      </c>
      <c r="S650" t="s">
        <v>144</v>
      </c>
      <c r="T650">
        <v>1</v>
      </c>
      <c r="U650" t="s">
        <v>145</v>
      </c>
      <c r="V650" t="s">
        <v>146</v>
      </c>
      <c r="W650">
        <v>2</v>
      </c>
    </row>
    <row r="651" spans="2:23" x14ac:dyDescent="0.3">
      <c r="B651">
        <v>647</v>
      </c>
      <c r="C651" t="s">
        <v>134</v>
      </c>
      <c r="D651">
        <v>30</v>
      </c>
      <c r="E651" t="s">
        <v>176</v>
      </c>
      <c r="F651" t="s">
        <v>157</v>
      </c>
      <c r="G651">
        <v>4583</v>
      </c>
      <c r="H651" t="s">
        <v>149</v>
      </c>
      <c r="I651" t="s">
        <v>150</v>
      </c>
      <c r="J651">
        <v>2</v>
      </c>
      <c r="K651" t="s">
        <v>170</v>
      </c>
      <c r="L651" t="s">
        <v>158</v>
      </c>
      <c r="M651">
        <v>2</v>
      </c>
      <c r="N651" t="s">
        <v>141</v>
      </c>
      <c r="O651">
        <v>32</v>
      </c>
      <c r="P651" t="s">
        <v>142</v>
      </c>
      <c r="Q651" t="s">
        <v>143</v>
      </c>
      <c r="R651">
        <v>2</v>
      </c>
      <c r="S651" t="s">
        <v>144</v>
      </c>
      <c r="T651">
        <v>1</v>
      </c>
      <c r="U651" t="s">
        <v>152</v>
      </c>
      <c r="V651" t="s">
        <v>146</v>
      </c>
      <c r="W651">
        <v>1</v>
      </c>
    </row>
    <row r="652" spans="2:23" x14ac:dyDescent="0.3">
      <c r="B652">
        <v>648</v>
      </c>
      <c r="C652" t="s">
        <v>153</v>
      </c>
      <c r="D652">
        <v>12</v>
      </c>
      <c r="E652" t="s">
        <v>148</v>
      </c>
      <c r="F652" t="s">
        <v>162</v>
      </c>
      <c r="G652">
        <v>1386</v>
      </c>
      <c r="H652" t="s">
        <v>164</v>
      </c>
      <c r="I652" t="s">
        <v>150</v>
      </c>
      <c r="J652">
        <v>2</v>
      </c>
      <c r="K652" t="s">
        <v>151</v>
      </c>
      <c r="L652" t="s">
        <v>140</v>
      </c>
      <c r="M652">
        <v>2</v>
      </c>
      <c r="N652" t="s">
        <v>159</v>
      </c>
      <c r="O652">
        <v>26</v>
      </c>
      <c r="P652" t="s">
        <v>142</v>
      </c>
      <c r="Q652" t="s">
        <v>143</v>
      </c>
      <c r="R652">
        <v>1</v>
      </c>
      <c r="S652" t="s">
        <v>144</v>
      </c>
      <c r="T652">
        <v>1</v>
      </c>
      <c r="U652" t="s">
        <v>152</v>
      </c>
      <c r="V652" t="s">
        <v>146</v>
      </c>
      <c r="W652">
        <v>2</v>
      </c>
    </row>
    <row r="653" spans="2:23" x14ac:dyDescent="0.3">
      <c r="B653">
        <v>649</v>
      </c>
      <c r="C653" t="s">
        <v>179</v>
      </c>
      <c r="D653">
        <v>24</v>
      </c>
      <c r="E653" t="s">
        <v>148</v>
      </c>
      <c r="F653" t="s">
        <v>162</v>
      </c>
      <c r="G653">
        <v>947</v>
      </c>
      <c r="H653" t="s">
        <v>149</v>
      </c>
      <c r="I653" t="s">
        <v>155</v>
      </c>
      <c r="J653">
        <v>4</v>
      </c>
      <c r="K653" t="s">
        <v>139</v>
      </c>
      <c r="L653" t="s">
        <v>140</v>
      </c>
      <c r="M653">
        <v>3</v>
      </c>
      <c r="N653" t="s">
        <v>163</v>
      </c>
      <c r="O653">
        <v>38</v>
      </c>
      <c r="P653" t="s">
        <v>177</v>
      </c>
      <c r="Q653" t="s">
        <v>160</v>
      </c>
      <c r="R653">
        <v>1</v>
      </c>
      <c r="S653" t="s">
        <v>144</v>
      </c>
      <c r="T653">
        <v>2</v>
      </c>
      <c r="U653" t="s">
        <v>152</v>
      </c>
      <c r="V653" t="s">
        <v>146</v>
      </c>
      <c r="W653">
        <v>2</v>
      </c>
    </row>
    <row r="654" spans="2:23" x14ac:dyDescent="0.3">
      <c r="B654">
        <v>650</v>
      </c>
      <c r="C654" t="s">
        <v>134</v>
      </c>
      <c r="D654">
        <v>12</v>
      </c>
      <c r="E654" t="s">
        <v>148</v>
      </c>
      <c r="F654" t="s">
        <v>154</v>
      </c>
      <c r="G654">
        <v>684</v>
      </c>
      <c r="H654" t="s">
        <v>149</v>
      </c>
      <c r="I654" t="s">
        <v>150</v>
      </c>
      <c r="J654">
        <v>4</v>
      </c>
      <c r="K654" t="s">
        <v>139</v>
      </c>
      <c r="L654" t="s">
        <v>140</v>
      </c>
      <c r="M654">
        <v>4</v>
      </c>
      <c r="N654" t="s">
        <v>166</v>
      </c>
      <c r="O654">
        <v>40</v>
      </c>
      <c r="P654" t="s">
        <v>142</v>
      </c>
      <c r="Q654" t="s">
        <v>167</v>
      </c>
      <c r="R654">
        <v>1</v>
      </c>
      <c r="S654" t="s">
        <v>156</v>
      </c>
      <c r="T654">
        <v>2</v>
      </c>
      <c r="U654" t="s">
        <v>152</v>
      </c>
      <c r="V654" t="s">
        <v>146</v>
      </c>
      <c r="W654">
        <v>2</v>
      </c>
    </row>
    <row r="655" spans="2:23" x14ac:dyDescent="0.3">
      <c r="B655">
        <v>651</v>
      </c>
      <c r="C655" t="s">
        <v>134</v>
      </c>
      <c r="D655">
        <v>48</v>
      </c>
      <c r="E655" t="s">
        <v>148</v>
      </c>
      <c r="F655" t="s">
        <v>154</v>
      </c>
      <c r="G655">
        <v>7476</v>
      </c>
      <c r="H655" t="s">
        <v>149</v>
      </c>
      <c r="I655" t="s">
        <v>155</v>
      </c>
      <c r="J655">
        <v>4</v>
      </c>
      <c r="K655" t="s">
        <v>139</v>
      </c>
      <c r="L655" t="s">
        <v>140</v>
      </c>
      <c r="M655">
        <v>1</v>
      </c>
      <c r="N655" t="s">
        <v>163</v>
      </c>
      <c r="O655">
        <v>50</v>
      </c>
      <c r="P655" t="s">
        <v>142</v>
      </c>
      <c r="Q655" t="s">
        <v>160</v>
      </c>
      <c r="R655">
        <v>1</v>
      </c>
      <c r="S655" t="s">
        <v>168</v>
      </c>
      <c r="T655">
        <v>1</v>
      </c>
      <c r="U655" t="s">
        <v>145</v>
      </c>
      <c r="V655" t="s">
        <v>146</v>
      </c>
      <c r="W655">
        <v>1</v>
      </c>
    </row>
    <row r="656" spans="2:23" x14ac:dyDescent="0.3">
      <c r="B656">
        <v>652</v>
      </c>
      <c r="C656" t="s">
        <v>147</v>
      </c>
      <c r="D656">
        <v>12</v>
      </c>
      <c r="E656" t="s">
        <v>148</v>
      </c>
      <c r="F656" t="s">
        <v>157</v>
      </c>
      <c r="G656">
        <v>1922</v>
      </c>
      <c r="H656" t="s">
        <v>149</v>
      </c>
      <c r="I656" t="s">
        <v>150</v>
      </c>
      <c r="J656">
        <v>4</v>
      </c>
      <c r="K656" t="s">
        <v>139</v>
      </c>
      <c r="L656" t="s">
        <v>140</v>
      </c>
      <c r="M656">
        <v>2</v>
      </c>
      <c r="N656" t="s">
        <v>159</v>
      </c>
      <c r="O656">
        <v>37</v>
      </c>
      <c r="P656" t="s">
        <v>142</v>
      </c>
      <c r="Q656" t="s">
        <v>143</v>
      </c>
      <c r="R656">
        <v>1</v>
      </c>
      <c r="S656" t="s">
        <v>156</v>
      </c>
      <c r="T656">
        <v>1</v>
      </c>
      <c r="U656" t="s">
        <v>152</v>
      </c>
      <c r="V656" t="s">
        <v>146</v>
      </c>
      <c r="W656">
        <v>2</v>
      </c>
    </row>
    <row r="657" spans="2:23" x14ac:dyDescent="0.3">
      <c r="B657">
        <v>653</v>
      </c>
      <c r="C657" t="s">
        <v>134</v>
      </c>
      <c r="D657">
        <v>24</v>
      </c>
      <c r="E657" t="s">
        <v>148</v>
      </c>
      <c r="F657" t="s">
        <v>162</v>
      </c>
      <c r="G657">
        <v>2303</v>
      </c>
      <c r="H657" t="s">
        <v>149</v>
      </c>
      <c r="I657" t="s">
        <v>138</v>
      </c>
      <c r="J657">
        <v>4</v>
      </c>
      <c r="K657" t="s">
        <v>139</v>
      </c>
      <c r="L657" t="s">
        <v>182</v>
      </c>
      <c r="M657">
        <v>1</v>
      </c>
      <c r="N657" t="s">
        <v>141</v>
      </c>
      <c r="O657">
        <v>45</v>
      </c>
      <c r="P657" t="s">
        <v>142</v>
      </c>
      <c r="Q657" t="s">
        <v>143</v>
      </c>
      <c r="R657">
        <v>1</v>
      </c>
      <c r="S657" t="s">
        <v>144</v>
      </c>
      <c r="T657">
        <v>1</v>
      </c>
      <c r="U657" t="s">
        <v>152</v>
      </c>
      <c r="V657" t="s">
        <v>146</v>
      </c>
      <c r="W657">
        <v>2</v>
      </c>
    </row>
    <row r="658" spans="2:23" x14ac:dyDescent="0.3">
      <c r="B658">
        <v>654</v>
      </c>
      <c r="C658" t="s">
        <v>147</v>
      </c>
      <c r="D658">
        <v>36</v>
      </c>
      <c r="E658" t="s">
        <v>161</v>
      </c>
      <c r="F658" t="s">
        <v>162</v>
      </c>
      <c r="G658">
        <v>8086</v>
      </c>
      <c r="H658" t="s">
        <v>175</v>
      </c>
      <c r="I658" t="s">
        <v>138</v>
      </c>
      <c r="J658">
        <v>2</v>
      </c>
      <c r="K658" t="s">
        <v>139</v>
      </c>
      <c r="L658" t="s">
        <v>140</v>
      </c>
      <c r="M658">
        <v>4</v>
      </c>
      <c r="N658" t="s">
        <v>166</v>
      </c>
      <c r="O658">
        <v>42</v>
      </c>
      <c r="P658" t="s">
        <v>142</v>
      </c>
      <c r="Q658" t="s">
        <v>143</v>
      </c>
      <c r="R658">
        <v>4</v>
      </c>
      <c r="S658" t="s">
        <v>168</v>
      </c>
      <c r="T658">
        <v>1</v>
      </c>
      <c r="U658" t="s">
        <v>145</v>
      </c>
      <c r="V658" t="s">
        <v>146</v>
      </c>
      <c r="W658">
        <v>2</v>
      </c>
    </row>
    <row r="659" spans="2:23" x14ac:dyDescent="0.3">
      <c r="B659">
        <v>655</v>
      </c>
      <c r="C659" t="s">
        <v>153</v>
      </c>
      <c r="D659">
        <v>24</v>
      </c>
      <c r="E659" t="s">
        <v>135</v>
      </c>
      <c r="F659" t="s">
        <v>165</v>
      </c>
      <c r="G659">
        <v>2346</v>
      </c>
      <c r="H659" t="s">
        <v>149</v>
      </c>
      <c r="I659" t="s">
        <v>155</v>
      </c>
      <c r="J659">
        <v>4</v>
      </c>
      <c r="K659" t="s">
        <v>139</v>
      </c>
      <c r="L659" t="s">
        <v>140</v>
      </c>
      <c r="M659">
        <v>3</v>
      </c>
      <c r="N659" t="s">
        <v>166</v>
      </c>
      <c r="O659">
        <v>35</v>
      </c>
      <c r="P659" t="s">
        <v>142</v>
      </c>
      <c r="Q659" t="s">
        <v>143</v>
      </c>
      <c r="R659">
        <v>2</v>
      </c>
      <c r="S659" t="s">
        <v>144</v>
      </c>
      <c r="T659">
        <v>1</v>
      </c>
      <c r="U659" t="s">
        <v>145</v>
      </c>
      <c r="V659" t="s">
        <v>146</v>
      </c>
      <c r="W659">
        <v>1</v>
      </c>
    </row>
    <row r="660" spans="2:23" x14ac:dyDescent="0.3">
      <c r="B660">
        <v>656</v>
      </c>
      <c r="C660" t="s">
        <v>134</v>
      </c>
      <c r="D660">
        <v>14</v>
      </c>
      <c r="E660" t="s">
        <v>148</v>
      </c>
      <c r="F660" t="s">
        <v>162</v>
      </c>
      <c r="G660">
        <v>3973</v>
      </c>
      <c r="H660" t="s">
        <v>149</v>
      </c>
      <c r="I660" t="s">
        <v>171</v>
      </c>
      <c r="J660">
        <v>1</v>
      </c>
      <c r="K660" t="s">
        <v>139</v>
      </c>
      <c r="L660" t="s">
        <v>140</v>
      </c>
      <c r="M660">
        <v>4</v>
      </c>
      <c r="N660" t="s">
        <v>163</v>
      </c>
      <c r="O660">
        <v>22</v>
      </c>
      <c r="P660" t="s">
        <v>142</v>
      </c>
      <c r="Q660" t="s">
        <v>160</v>
      </c>
      <c r="R660">
        <v>1</v>
      </c>
      <c r="S660" t="s">
        <v>144</v>
      </c>
      <c r="T660">
        <v>1</v>
      </c>
      <c r="U660" t="s">
        <v>152</v>
      </c>
      <c r="V660" t="s">
        <v>146</v>
      </c>
      <c r="W660">
        <v>1</v>
      </c>
    </row>
    <row r="661" spans="2:23" x14ac:dyDescent="0.3">
      <c r="B661">
        <v>657</v>
      </c>
      <c r="C661" t="s">
        <v>147</v>
      </c>
      <c r="D661">
        <v>12</v>
      </c>
      <c r="E661" t="s">
        <v>148</v>
      </c>
      <c r="F661" t="s">
        <v>162</v>
      </c>
      <c r="G661">
        <v>888</v>
      </c>
      <c r="H661" t="s">
        <v>149</v>
      </c>
      <c r="I661" t="s">
        <v>138</v>
      </c>
      <c r="J661">
        <v>4</v>
      </c>
      <c r="K661" t="s">
        <v>139</v>
      </c>
      <c r="L661" t="s">
        <v>140</v>
      </c>
      <c r="M661">
        <v>4</v>
      </c>
      <c r="N661" t="s">
        <v>166</v>
      </c>
      <c r="O661">
        <v>41</v>
      </c>
      <c r="P661" t="s">
        <v>177</v>
      </c>
      <c r="Q661" t="s">
        <v>143</v>
      </c>
      <c r="R661">
        <v>1</v>
      </c>
      <c r="S661" t="s">
        <v>156</v>
      </c>
      <c r="T661">
        <v>2</v>
      </c>
      <c r="U661" t="s">
        <v>152</v>
      </c>
      <c r="V661" t="s">
        <v>146</v>
      </c>
      <c r="W661">
        <v>2</v>
      </c>
    </row>
    <row r="662" spans="2:23" x14ac:dyDescent="0.3">
      <c r="B662">
        <v>658</v>
      </c>
      <c r="C662" t="s">
        <v>153</v>
      </c>
      <c r="D662">
        <v>48</v>
      </c>
      <c r="E662" t="s">
        <v>148</v>
      </c>
      <c r="F662" t="s">
        <v>136</v>
      </c>
      <c r="G662">
        <v>10222</v>
      </c>
      <c r="H662" t="s">
        <v>137</v>
      </c>
      <c r="I662" t="s">
        <v>155</v>
      </c>
      <c r="J662">
        <v>4</v>
      </c>
      <c r="K662" t="s">
        <v>139</v>
      </c>
      <c r="L662" t="s">
        <v>140</v>
      </c>
      <c r="M662">
        <v>3</v>
      </c>
      <c r="N662" t="s">
        <v>166</v>
      </c>
      <c r="O662">
        <v>37</v>
      </c>
      <c r="P662" t="s">
        <v>181</v>
      </c>
      <c r="Q662" t="s">
        <v>143</v>
      </c>
      <c r="R662">
        <v>1</v>
      </c>
      <c r="S662" t="s">
        <v>144</v>
      </c>
      <c r="T662">
        <v>1</v>
      </c>
      <c r="U662" t="s">
        <v>145</v>
      </c>
      <c r="V662" t="s">
        <v>146</v>
      </c>
      <c r="W662">
        <v>1</v>
      </c>
    </row>
    <row r="663" spans="2:23" x14ac:dyDescent="0.3">
      <c r="B663">
        <v>659</v>
      </c>
      <c r="C663" t="s">
        <v>147</v>
      </c>
      <c r="D663">
        <v>30</v>
      </c>
      <c r="E663" t="s">
        <v>176</v>
      </c>
      <c r="F663" t="s">
        <v>174</v>
      </c>
      <c r="G663">
        <v>4221</v>
      </c>
      <c r="H663" t="s">
        <v>149</v>
      </c>
      <c r="I663" t="s">
        <v>150</v>
      </c>
      <c r="J663">
        <v>2</v>
      </c>
      <c r="K663" t="s">
        <v>151</v>
      </c>
      <c r="L663" t="s">
        <v>140</v>
      </c>
      <c r="M663">
        <v>1</v>
      </c>
      <c r="N663" t="s">
        <v>166</v>
      </c>
      <c r="O663">
        <v>28</v>
      </c>
      <c r="P663" t="s">
        <v>142</v>
      </c>
      <c r="Q663" t="s">
        <v>143</v>
      </c>
      <c r="R663">
        <v>2</v>
      </c>
      <c r="S663" t="s">
        <v>144</v>
      </c>
      <c r="T663">
        <v>1</v>
      </c>
      <c r="U663" t="s">
        <v>152</v>
      </c>
      <c r="V663" t="s">
        <v>146</v>
      </c>
      <c r="W663">
        <v>1</v>
      </c>
    </row>
    <row r="664" spans="2:23" x14ac:dyDescent="0.3">
      <c r="B664">
        <v>660</v>
      </c>
      <c r="C664" t="s">
        <v>147</v>
      </c>
      <c r="D664">
        <v>18</v>
      </c>
      <c r="E664" t="s">
        <v>135</v>
      </c>
      <c r="F664" t="s">
        <v>157</v>
      </c>
      <c r="G664">
        <v>6361</v>
      </c>
      <c r="H664" t="s">
        <v>149</v>
      </c>
      <c r="I664" t="s">
        <v>138</v>
      </c>
      <c r="J664">
        <v>2</v>
      </c>
      <c r="K664" t="s">
        <v>139</v>
      </c>
      <c r="L664" t="s">
        <v>140</v>
      </c>
      <c r="M664">
        <v>1</v>
      </c>
      <c r="N664" t="s">
        <v>163</v>
      </c>
      <c r="O664">
        <v>41</v>
      </c>
      <c r="P664" t="s">
        <v>142</v>
      </c>
      <c r="Q664" t="s">
        <v>143</v>
      </c>
      <c r="R664">
        <v>1</v>
      </c>
      <c r="S664" t="s">
        <v>144</v>
      </c>
      <c r="T664">
        <v>1</v>
      </c>
      <c r="U664" t="s">
        <v>145</v>
      </c>
      <c r="V664" t="s">
        <v>146</v>
      </c>
      <c r="W664">
        <v>1</v>
      </c>
    </row>
    <row r="665" spans="2:23" x14ac:dyDescent="0.3">
      <c r="B665">
        <v>661</v>
      </c>
      <c r="C665" t="s">
        <v>179</v>
      </c>
      <c r="D665">
        <v>12</v>
      </c>
      <c r="E665" t="s">
        <v>148</v>
      </c>
      <c r="F665" t="s">
        <v>136</v>
      </c>
      <c r="G665">
        <v>1297</v>
      </c>
      <c r="H665" t="s">
        <v>149</v>
      </c>
      <c r="I665" t="s">
        <v>150</v>
      </c>
      <c r="J665">
        <v>3</v>
      </c>
      <c r="K665" t="s">
        <v>172</v>
      </c>
      <c r="L665" t="s">
        <v>140</v>
      </c>
      <c r="M665">
        <v>4</v>
      </c>
      <c r="N665" t="s">
        <v>141</v>
      </c>
      <c r="O665">
        <v>23</v>
      </c>
      <c r="P665" t="s">
        <v>142</v>
      </c>
      <c r="Q665" t="s">
        <v>167</v>
      </c>
      <c r="R665">
        <v>1</v>
      </c>
      <c r="S665" t="s">
        <v>144</v>
      </c>
      <c r="T665">
        <v>1</v>
      </c>
      <c r="U665" t="s">
        <v>152</v>
      </c>
      <c r="V665" t="s">
        <v>146</v>
      </c>
      <c r="W665">
        <v>1</v>
      </c>
    </row>
    <row r="666" spans="2:23" x14ac:dyDescent="0.3">
      <c r="B666">
        <v>662</v>
      </c>
      <c r="C666" t="s">
        <v>134</v>
      </c>
      <c r="D666">
        <v>12</v>
      </c>
      <c r="E666" t="s">
        <v>148</v>
      </c>
      <c r="F666" t="s">
        <v>162</v>
      </c>
      <c r="G666">
        <v>900</v>
      </c>
      <c r="H666" t="s">
        <v>137</v>
      </c>
      <c r="I666" t="s">
        <v>150</v>
      </c>
      <c r="J666">
        <v>4</v>
      </c>
      <c r="K666" t="s">
        <v>172</v>
      </c>
      <c r="L666" t="s">
        <v>140</v>
      </c>
      <c r="M666">
        <v>2</v>
      </c>
      <c r="N666" t="s">
        <v>166</v>
      </c>
      <c r="O666">
        <v>23</v>
      </c>
      <c r="P666" t="s">
        <v>142</v>
      </c>
      <c r="Q666" t="s">
        <v>143</v>
      </c>
      <c r="R666">
        <v>1</v>
      </c>
      <c r="S666" t="s">
        <v>144</v>
      </c>
      <c r="T666">
        <v>1</v>
      </c>
      <c r="U666" t="s">
        <v>152</v>
      </c>
      <c r="V666" t="s">
        <v>146</v>
      </c>
      <c r="W666">
        <v>2</v>
      </c>
    </row>
    <row r="667" spans="2:23" x14ac:dyDescent="0.3">
      <c r="B667">
        <v>663</v>
      </c>
      <c r="C667" t="s">
        <v>153</v>
      </c>
      <c r="D667">
        <v>21</v>
      </c>
      <c r="E667" t="s">
        <v>148</v>
      </c>
      <c r="F667" t="s">
        <v>157</v>
      </c>
      <c r="G667">
        <v>2241</v>
      </c>
      <c r="H667" t="s">
        <v>149</v>
      </c>
      <c r="I667" t="s">
        <v>138</v>
      </c>
      <c r="J667">
        <v>4</v>
      </c>
      <c r="K667" t="s">
        <v>139</v>
      </c>
      <c r="L667" t="s">
        <v>140</v>
      </c>
      <c r="M667">
        <v>2</v>
      </c>
      <c r="N667" t="s">
        <v>141</v>
      </c>
      <c r="O667">
        <v>50</v>
      </c>
      <c r="P667" t="s">
        <v>142</v>
      </c>
      <c r="Q667" t="s">
        <v>143</v>
      </c>
      <c r="R667">
        <v>2</v>
      </c>
      <c r="S667" t="s">
        <v>144</v>
      </c>
      <c r="T667">
        <v>1</v>
      </c>
      <c r="U667" t="s">
        <v>152</v>
      </c>
      <c r="V667" t="s">
        <v>146</v>
      </c>
      <c r="W667">
        <v>1</v>
      </c>
    </row>
    <row r="668" spans="2:23" x14ac:dyDescent="0.3">
      <c r="B668">
        <v>664</v>
      </c>
      <c r="C668" t="s">
        <v>147</v>
      </c>
      <c r="D668">
        <v>6</v>
      </c>
      <c r="E668" t="s">
        <v>161</v>
      </c>
      <c r="F668" t="s">
        <v>157</v>
      </c>
      <c r="G668">
        <v>1050</v>
      </c>
      <c r="H668" t="s">
        <v>149</v>
      </c>
      <c r="I668" t="s">
        <v>171</v>
      </c>
      <c r="J668">
        <v>4</v>
      </c>
      <c r="K668" t="s">
        <v>139</v>
      </c>
      <c r="L668" t="s">
        <v>140</v>
      </c>
      <c r="M668">
        <v>1</v>
      </c>
      <c r="N668" t="s">
        <v>159</v>
      </c>
      <c r="O668">
        <v>35</v>
      </c>
      <c r="P668" t="s">
        <v>181</v>
      </c>
      <c r="Q668" t="s">
        <v>143</v>
      </c>
      <c r="R668">
        <v>2</v>
      </c>
      <c r="S668" t="s">
        <v>168</v>
      </c>
      <c r="T668">
        <v>1</v>
      </c>
      <c r="U668" t="s">
        <v>145</v>
      </c>
      <c r="V668" t="s">
        <v>146</v>
      </c>
      <c r="W668">
        <v>1</v>
      </c>
    </row>
    <row r="669" spans="2:23" x14ac:dyDescent="0.3">
      <c r="B669">
        <v>665</v>
      </c>
      <c r="C669" t="s">
        <v>179</v>
      </c>
      <c r="D669">
        <v>6</v>
      </c>
      <c r="E669" t="s">
        <v>135</v>
      </c>
      <c r="F669" t="s">
        <v>154</v>
      </c>
      <c r="G669">
        <v>1047</v>
      </c>
      <c r="H669" t="s">
        <v>149</v>
      </c>
      <c r="I669" t="s">
        <v>150</v>
      </c>
      <c r="J669">
        <v>2</v>
      </c>
      <c r="K669" t="s">
        <v>151</v>
      </c>
      <c r="L669" t="s">
        <v>140</v>
      </c>
      <c r="M669">
        <v>4</v>
      </c>
      <c r="N669" t="s">
        <v>159</v>
      </c>
      <c r="O669">
        <v>50</v>
      </c>
      <c r="P669" t="s">
        <v>142</v>
      </c>
      <c r="Q669" t="s">
        <v>143</v>
      </c>
      <c r="R669">
        <v>1</v>
      </c>
      <c r="S669" t="s">
        <v>156</v>
      </c>
      <c r="T669">
        <v>1</v>
      </c>
      <c r="U669" t="s">
        <v>152</v>
      </c>
      <c r="V669" t="s">
        <v>146</v>
      </c>
      <c r="W669">
        <v>1</v>
      </c>
    </row>
    <row r="670" spans="2:23" x14ac:dyDescent="0.3">
      <c r="B670">
        <v>666</v>
      </c>
      <c r="C670" t="s">
        <v>153</v>
      </c>
      <c r="D670">
        <v>24</v>
      </c>
      <c r="E670" t="s">
        <v>135</v>
      </c>
      <c r="F670" t="s">
        <v>186</v>
      </c>
      <c r="G670">
        <v>6314</v>
      </c>
      <c r="H670" t="s">
        <v>149</v>
      </c>
      <c r="I670" t="s">
        <v>171</v>
      </c>
      <c r="J670">
        <v>4</v>
      </c>
      <c r="K670" t="s">
        <v>139</v>
      </c>
      <c r="L670" t="s">
        <v>182</v>
      </c>
      <c r="M670">
        <v>2</v>
      </c>
      <c r="N670" t="s">
        <v>163</v>
      </c>
      <c r="O670">
        <v>27</v>
      </c>
      <c r="P670" t="s">
        <v>177</v>
      </c>
      <c r="Q670" t="s">
        <v>143</v>
      </c>
      <c r="R670">
        <v>2</v>
      </c>
      <c r="S670" t="s">
        <v>168</v>
      </c>
      <c r="T670">
        <v>1</v>
      </c>
      <c r="U670" t="s">
        <v>145</v>
      </c>
      <c r="V670" t="s">
        <v>146</v>
      </c>
      <c r="W670">
        <v>1</v>
      </c>
    </row>
    <row r="671" spans="2:23" x14ac:dyDescent="0.3">
      <c r="B671">
        <v>667</v>
      </c>
      <c r="C671" t="s">
        <v>147</v>
      </c>
      <c r="D671">
        <v>30</v>
      </c>
      <c r="E671" t="s">
        <v>180</v>
      </c>
      <c r="F671" t="s">
        <v>157</v>
      </c>
      <c r="G671">
        <v>3496</v>
      </c>
      <c r="H671" t="s">
        <v>169</v>
      </c>
      <c r="I671" t="s">
        <v>150</v>
      </c>
      <c r="J671">
        <v>4</v>
      </c>
      <c r="K671" t="s">
        <v>139</v>
      </c>
      <c r="L671" t="s">
        <v>140</v>
      </c>
      <c r="M671">
        <v>2</v>
      </c>
      <c r="N671" t="s">
        <v>166</v>
      </c>
      <c r="O671">
        <v>34</v>
      </c>
      <c r="P671" t="s">
        <v>181</v>
      </c>
      <c r="Q671" t="s">
        <v>143</v>
      </c>
      <c r="R671">
        <v>1</v>
      </c>
      <c r="S671" t="s">
        <v>144</v>
      </c>
      <c r="T671">
        <v>2</v>
      </c>
      <c r="U671" t="s">
        <v>145</v>
      </c>
      <c r="V671" t="s">
        <v>146</v>
      </c>
      <c r="W671">
        <v>1</v>
      </c>
    </row>
    <row r="672" spans="2:23" x14ac:dyDescent="0.3">
      <c r="B672">
        <v>668</v>
      </c>
      <c r="C672" t="s">
        <v>153</v>
      </c>
      <c r="D672">
        <v>48</v>
      </c>
      <c r="E672" t="s">
        <v>180</v>
      </c>
      <c r="F672" t="s">
        <v>174</v>
      </c>
      <c r="G672">
        <v>3609</v>
      </c>
      <c r="H672" t="s">
        <v>149</v>
      </c>
      <c r="I672" t="s">
        <v>150</v>
      </c>
      <c r="J672">
        <v>1</v>
      </c>
      <c r="K672" t="s">
        <v>151</v>
      </c>
      <c r="L672" t="s">
        <v>140</v>
      </c>
      <c r="M672">
        <v>1</v>
      </c>
      <c r="N672" t="s">
        <v>141</v>
      </c>
      <c r="O672">
        <v>27</v>
      </c>
      <c r="P672" t="s">
        <v>181</v>
      </c>
      <c r="Q672" t="s">
        <v>143</v>
      </c>
      <c r="R672">
        <v>1</v>
      </c>
      <c r="S672" t="s">
        <v>144</v>
      </c>
      <c r="T672">
        <v>1</v>
      </c>
      <c r="U672" t="s">
        <v>152</v>
      </c>
      <c r="V672" t="s">
        <v>146</v>
      </c>
      <c r="W672">
        <v>1</v>
      </c>
    </row>
    <row r="673" spans="2:23" x14ac:dyDescent="0.3">
      <c r="B673">
        <v>669</v>
      </c>
      <c r="C673" t="s">
        <v>134</v>
      </c>
      <c r="D673">
        <v>12</v>
      </c>
      <c r="E673" t="s">
        <v>135</v>
      </c>
      <c r="F673" t="s">
        <v>162</v>
      </c>
      <c r="G673">
        <v>4843</v>
      </c>
      <c r="H673" t="s">
        <v>149</v>
      </c>
      <c r="I673" t="s">
        <v>138</v>
      </c>
      <c r="J673">
        <v>3</v>
      </c>
      <c r="K673" t="s">
        <v>139</v>
      </c>
      <c r="L673" t="s">
        <v>182</v>
      </c>
      <c r="M673">
        <v>4</v>
      </c>
      <c r="N673" t="s">
        <v>159</v>
      </c>
      <c r="O673">
        <v>43</v>
      </c>
      <c r="P673" t="s">
        <v>142</v>
      </c>
      <c r="Q673" t="s">
        <v>167</v>
      </c>
      <c r="R673">
        <v>2</v>
      </c>
      <c r="S673" t="s">
        <v>144</v>
      </c>
      <c r="T673">
        <v>1</v>
      </c>
      <c r="U673" t="s">
        <v>145</v>
      </c>
      <c r="V673" t="s">
        <v>146</v>
      </c>
      <c r="W673">
        <v>2</v>
      </c>
    </row>
    <row r="674" spans="2:23" x14ac:dyDescent="0.3">
      <c r="B674">
        <v>670</v>
      </c>
      <c r="C674" t="s">
        <v>179</v>
      </c>
      <c r="D674">
        <v>30</v>
      </c>
      <c r="E674" t="s">
        <v>135</v>
      </c>
      <c r="F674" t="s">
        <v>136</v>
      </c>
      <c r="G674">
        <v>3017</v>
      </c>
      <c r="H674" t="s">
        <v>149</v>
      </c>
      <c r="I674" t="s">
        <v>138</v>
      </c>
      <c r="J674">
        <v>4</v>
      </c>
      <c r="K674" t="s">
        <v>139</v>
      </c>
      <c r="L674" t="s">
        <v>140</v>
      </c>
      <c r="M674">
        <v>4</v>
      </c>
      <c r="N674" t="s">
        <v>159</v>
      </c>
      <c r="O674">
        <v>47</v>
      </c>
      <c r="P674" t="s">
        <v>142</v>
      </c>
      <c r="Q674" t="s">
        <v>143</v>
      </c>
      <c r="R674">
        <v>1</v>
      </c>
      <c r="S674" t="s">
        <v>144</v>
      </c>
      <c r="T674">
        <v>1</v>
      </c>
      <c r="U674" t="s">
        <v>152</v>
      </c>
      <c r="V674" t="s">
        <v>146</v>
      </c>
      <c r="W674">
        <v>1</v>
      </c>
    </row>
    <row r="675" spans="2:23" x14ac:dyDescent="0.3">
      <c r="B675">
        <v>671</v>
      </c>
      <c r="C675" t="s">
        <v>153</v>
      </c>
      <c r="D675">
        <v>24</v>
      </c>
      <c r="E675" t="s">
        <v>135</v>
      </c>
      <c r="F675" t="s">
        <v>174</v>
      </c>
      <c r="G675">
        <v>4139</v>
      </c>
      <c r="H675" t="s">
        <v>175</v>
      </c>
      <c r="I675" t="s">
        <v>150</v>
      </c>
      <c r="J675">
        <v>3</v>
      </c>
      <c r="K675" t="s">
        <v>139</v>
      </c>
      <c r="L675" t="s">
        <v>140</v>
      </c>
      <c r="M675">
        <v>3</v>
      </c>
      <c r="N675" t="s">
        <v>159</v>
      </c>
      <c r="O675">
        <v>27</v>
      </c>
      <c r="P675" t="s">
        <v>142</v>
      </c>
      <c r="Q675" t="s">
        <v>143</v>
      </c>
      <c r="R675">
        <v>2</v>
      </c>
      <c r="S675" t="s">
        <v>156</v>
      </c>
      <c r="T675">
        <v>1</v>
      </c>
      <c r="U675" t="s">
        <v>145</v>
      </c>
      <c r="V675" t="s">
        <v>146</v>
      </c>
      <c r="W675">
        <v>1</v>
      </c>
    </row>
    <row r="676" spans="2:23" x14ac:dyDescent="0.3">
      <c r="B676">
        <v>672</v>
      </c>
      <c r="C676" t="s">
        <v>153</v>
      </c>
      <c r="D676">
        <v>36</v>
      </c>
      <c r="E676" t="s">
        <v>148</v>
      </c>
      <c r="F676" t="s">
        <v>174</v>
      </c>
      <c r="G676">
        <v>5742</v>
      </c>
      <c r="H676" t="s">
        <v>175</v>
      </c>
      <c r="I676" t="s">
        <v>155</v>
      </c>
      <c r="J676">
        <v>2</v>
      </c>
      <c r="K676" t="s">
        <v>139</v>
      </c>
      <c r="L676" t="s">
        <v>140</v>
      </c>
      <c r="M676">
        <v>2</v>
      </c>
      <c r="N676" t="s">
        <v>166</v>
      </c>
      <c r="O676">
        <v>31</v>
      </c>
      <c r="P676" t="s">
        <v>142</v>
      </c>
      <c r="Q676" t="s">
        <v>143</v>
      </c>
      <c r="R676">
        <v>2</v>
      </c>
      <c r="S676" t="s">
        <v>144</v>
      </c>
      <c r="T676">
        <v>1</v>
      </c>
      <c r="U676" t="s">
        <v>145</v>
      </c>
      <c r="V676" t="s">
        <v>146</v>
      </c>
      <c r="W676">
        <v>1</v>
      </c>
    </row>
    <row r="677" spans="2:23" x14ac:dyDescent="0.3">
      <c r="B677">
        <v>673</v>
      </c>
      <c r="C677" t="s">
        <v>153</v>
      </c>
      <c r="D677">
        <v>60</v>
      </c>
      <c r="E677" t="s">
        <v>148</v>
      </c>
      <c r="F677" t="s">
        <v>162</v>
      </c>
      <c r="G677">
        <v>10366</v>
      </c>
      <c r="H677" t="s">
        <v>149</v>
      </c>
      <c r="I677" t="s">
        <v>138</v>
      </c>
      <c r="J677">
        <v>2</v>
      </c>
      <c r="K677" t="s">
        <v>139</v>
      </c>
      <c r="L677" t="s">
        <v>140</v>
      </c>
      <c r="M677">
        <v>4</v>
      </c>
      <c r="N677" t="s">
        <v>159</v>
      </c>
      <c r="O677">
        <v>42</v>
      </c>
      <c r="P677" t="s">
        <v>142</v>
      </c>
      <c r="Q677" t="s">
        <v>143</v>
      </c>
      <c r="R677">
        <v>1</v>
      </c>
      <c r="S677" t="s">
        <v>168</v>
      </c>
      <c r="T677">
        <v>1</v>
      </c>
      <c r="U677" t="s">
        <v>145</v>
      </c>
      <c r="V677" t="s">
        <v>146</v>
      </c>
      <c r="W677">
        <v>1</v>
      </c>
    </row>
    <row r="678" spans="2:23" x14ac:dyDescent="0.3">
      <c r="B678">
        <v>674</v>
      </c>
      <c r="C678" t="s">
        <v>153</v>
      </c>
      <c r="D678">
        <v>6</v>
      </c>
      <c r="E678" t="s">
        <v>135</v>
      </c>
      <c r="F678" t="s">
        <v>162</v>
      </c>
      <c r="G678">
        <v>2080</v>
      </c>
      <c r="H678" t="s">
        <v>164</v>
      </c>
      <c r="I678" t="s">
        <v>150</v>
      </c>
      <c r="J678">
        <v>1</v>
      </c>
      <c r="K678" t="s">
        <v>172</v>
      </c>
      <c r="L678" t="s">
        <v>140</v>
      </c>
      <c r="M678">
        <v>2</v>
      </c>
      <c r="N678" t="s">
        <v>166</v>
      </c>
      <c r="O678">
        <v>24</v>
      </c>
      <c r="P678" t="s">
        <v>142</v>
      </c>
      <c r="Q678" t="s">
        <v>143</v>
      </c>
      <c r="R678">
        <v>1</v>
      </c>
      <c r="S678" t="s">
        <v>144</v>
      </c>
      <c r="T678">
        <v>1</v>
      </c>
      <c r="U678" t="s">
        <v>152</v>
      </c>
      <c r="V678" t="s">
        <v>146</v>
      </c>
      <c r="W678">
        <v>1</v>
      </c>
    </row>
    <row r="679" spans="2:23" x14ac:dyDescent="0.3">
      <c r="B679">
        <v>675</v>
      </c>
      <c r="C679" t="s">
        <v>153</v>
      </c>
      <c r="D679">
        <v>21</v>
      </c>
      <c r="E679" t="s">
        <v>161</v>
      </c>
      <c r="F679" t="s">
        <v>174</v>
      </c>
      <c r="G679">
        <v>2580</v>
      </c>
      <c r="H679" t="s">
        <v>164</v>
      </c>
      <c r="I679" t="s">
        <v>173</v>
      </c>
      <c r="J679">
        <v>4</v>
      </c>
      <c r="K679" t="s">
        <v>139</v>
      </c>
      <c r="L679" t="s">
        <v>140</v>
      </c>
      <c r="M679">
        <v>2</v>
      </c>
      <c r="N679" t="s">
        <v>141</v>
      </c>
      <c r="O679">
        <v>41</v>
      </c>
      <c r="P679" t="s">
        <v>177</v>
      </c>
      <c r="Q679" t="s">
        <v>143</v>
      </c>
      <c r="R679">
        <v>1</v>
      </c>
      <c r="S679" t="s">
        <v>156</v>
      </c>
      <c r="T679">
        <v>2</v>
      </c>
      <c r="U679" t="s">
        <v>152</v>
      </c>
      <c r="V679" t="s">
        <v>146</v>
      </c>
      <c r="W679">
        <v>2</v>
      </c>
    </row>
    <row r="680" spans="2:23" x14ac:dyDescent="0.3">
      <c r="B680">
        <v>676</v>
      </c>
      <c r="C680" t="s">
        <v>153</v>
      </c>
      <c r="D680">
        <v>30</v>
      </c>
      <c r="E680" t="s">
        <v>135</v>
      </c>
      <c r="F680" t="s">
        <v>136</v>
      </c>
      <c r="G680">
        <v>4530</v>
      </c>
      <c r="H680" t="s">
        <v>149</v>
      </c>
      <c r="I680" t="s">
        <v>155</v>
      </c>
      <c r="J680">
        <v>4</v>
      </c>
      <c r="K680" t="s">
        <v>151</v>
      </c>
      <c r="L680" t="s">
        <v>140</v>
      </c>
      <c r="M680">
        <v>4</v>
      </c>
      <c r="N680" t="s">
        <v>166</v>
      </c>
      <c r="O680">
        <v>26</v>
      </c>
      <c r="P680" t="s">
        <v>142</v>
      </c>
      <c r="Q680" t="s">
        <v>167</v>
      </c>
      <c r="R680">
        <v>1</v>
      </c>
      <c r="S680" t="s">
        <v>168</v>
      </c>
      <c r="T680">
        <v>1</v>
      </c>
      <c r="U680" t="s">
        <v>145</v>
      </c>
      <c r="V680" t="s">
        <v>146</v>
      </c>
      <c r="W680">
        <v>1</v>
      </c>
    </row>
    <row r="681" spans="2:23" x14ac:dyDescent="0.3">
      <c r="B681">
        <v>677</v>
      </c>
      <c r="C681" t="s">
        <v>153</v>
      </c>
      <c r="D681">
        <v>24</v>
      </c>
      <c r="E681" t="s">
        <v>135</v>
      </c>
      <c r="F681" t="s">
        <v>157</v>
      </c>
      <c r="G681">
        <v>5150</v>
      </c>
      <c r="H681" t="s">
        <v>149</v>
      </c>
      <c r="I681" t="s">
        <v>138</v>
      </c>
      <c r="J681">
        <v>4</v>
      </c>
      <c r="K681" t="s">
        <v>139</v>
      </c>
      <c r="L681" t="s">
        <v>140</v>
      </c>
      <c r="M681">
        <v>4</v>
      </c>
      <c r="N681" t="s">
        <v>166</v>
      </c>
      <c r="O681">
        <v>33</v>
      </c>
      <c r="P681" t="s">
        <v>142</v>
      </c>
      <c r="Q681" t="s">
        <v>143</v>
      </c>
      <c r="R681">
        <v>1</v>
      </c>
      <c r="S681" t="s">
        <v>144</v>
      </c>
      <c r="T681">
        <v>1</v>
      </c>
      <c r="U681" t="s">
        <v>145</v>
      </c>
      <c r="V681" t="s">
        <v>146</v>
      </c>
      <c r="W681">
        <v>1</v>
      </c>
    </row>
    <row r="682" spans="2:23" x14ac:dyDescent="0.3">
      <c r="B682">
        <v>678</v>
      </c>
      <c r="C682" t="s">
        <v>147</v>
      </c>
      <c r="D682">
        <v>72</v>
      </c>
      <c r="E682" t="s">
        <v>148</v>
      </c>
      <c r="F682" t="s">
        <v>136</v>
      </c>
      <c r="G682">
        <v>5595</v>
      </c>
      <c r="H682" t="s">
        <v>175</v>
      </c>
      <c r="I682" t="s">
        <v>150</v>
      </c>
      <c r="J682">
        <v>2</v>
      </c>
      <c r="K682" t="s">
        <v>172</v>
      </c>
      <c r="L682" t="s">
        <v>140</v>
      </c>
      <c r="M682">
        <v>2</v>
      </c>
      <c r="N682" t="s">
        <v>166</v>
      </c>
      <c r="O682">
        <v>24</v>
      </c>
      <c r="P682" t="s">
        <v>142</v>
      </c>
      <c r="Q682" t="s">
        <v>143</v>
      </c>
      <c r="R682">
        <v>1</v>
      </c>
      <c r="S682" t="s">
        <v>144</v>
      </c>
      <c r="T682">
        <v>1</v>
      </c>
      <c r="U682" t="s">
        <v>152</v>
      </c>
      <c r="V682" t="s">
        <v>146</v>
      </c>
      <c r="W682">
        <v>2</v>
      </c>
    </row>
    <row r="683" spans="2:23" x14ac:dyDescent="0.3">
      <c r="B683">
        <v>679</v>
      </c>
      <c r="C683" t="s">
        <v>134</v>
      </c>
      <c r="D683">
        <v>24</v>
      </c>
      <c r="E683" t="s">
        <v>148</v>
      </c>
      <c r="F683" t="s">
        <v>136</v>
      </c>
      <c r="G683">
        <v>2384</v>
      </c>
      <c r="H683" t="s">
        <v>149</v>
      </c>
      <c r="I683" t="s">
        <v>138</v>
      </c>
      <c r="J683">
        <v>4</v>
      </c>
      <c r="K683" t="s">
        <v>139</v>
      </c>
      <c r="L683" t="s">
        <v>140</v>
      </c>
      <c r="M683">
        <v>4</v>
      </c>
      <c r="N683" t="s">
        <v>141</v>
      </c>
      <c r="O683">
        <v>64</v>
      </c>
      <c r="P683" t="s">
        <v>177</v>
      </c>
      <c r="Q683" t="s">
        <v>167</v>
      </c>
      <c r="R683">
        <v>1</v>
      </c>
      <c r="S683" t="s">
        <v>156</v>
      </c>
      <c r="T683">
        <v>1</v>
      </c>
      <c r="U683" t="s">
        <v>152</v>
      </c>
      <c r="V683" t="s">
        <v>146</v>
      </c>
      <c r="W683">
        <v>1</v>
      </c>
    </row>
    <row r="684" spans="2:23" x14ac:dyDescent="0.3">
      <c r="B684">
        <v>680</v>
      </c>
      <c r="C684" t="s">
        <v>153</v>
      </c>
      <c r="D684">
        <v>18</v>
      </c>
      <c r="E684" t="s">
        <v>148</v>
      </c>
      <c r="F684" t="s">
        <v>136</v>
      </c>
      <c r="G684">
        <v>1453</v>
      </c>
      <c r="H684" t="s">
        <v>149</v>
      </c>
      <c r="I684" t="s">
        <v>173</v>
      </c>
      <c r="J684">
        <v>3</v>
      </c>
      <c r="K684" t="s">
        <v>151</v>
      </c>
      <c r="L684" t="s">
        <v>140</v>
      </c>
      <c r="M684">
        <v>1</v>
      </c>
      <c r="N684" t="s">
        <v>141</v>
      </c>
      <c r="O684">
        <v>26</v>
      </c>
      <c r="P684" t="s">
        <v>142</v>
      </c>
      <c r="Q684" t="s">
        <v>143</v>
      </c>
      <c r="R684">
        <v>1</v>
      </c>
      <c r="S684" t="s">
        <v>144</v>
      </c>
      <c r="T684">
        <v>1</v>
      </c>
      <c r="U684" t="s">
        <v>152</v>
      </c>
      <c r="V684" t="s">
        <v>146</v>
      </c>
      <c r="W684">
        <v>1</v>
      </c>
    </row>
    <row r="685" spans="2:23" x14ac:dyDescent="0.3">
      <c r="B685">
        <v>681</v>
      </c>
      <c r="C685" t="s">
        <v>153</v>
      </c>
      <c r="D685">
        <v>6</v>
      </c>
      <c r="E685" t="s">
        <v>148</v>
      </c>
      <c r="F685" t="s">
        <v>154</v>
      </c>
      <c r="G685">
        <v>1538</v>
      </c>
      <c r="H685" t="s">
        <v>149</v>
      </c>
      <c r="I685" t="s">
        <v>173</v>
      </c>
      <c r="J685">
        <v>1</v>
      </c>
      <c r="K685" t="s">
        <v>151</v>
      </c>
      <c r="L685" t="s">
        <v>140</v>
      </c>
      <c r="M685">
        <v>2</v>
      </c>
      <c r="N685" t="s">
        <v>163</v>
      </c>
      <c r="O685">
        <v>56</v>
      </c>
      <c r="P685" t="s">
        <v>142</v>
      </c>
      <c r="Q685" t="s">
        <v>143</v>
      </c>
      <c r="R685">
        <v>1</v>
      </c>
      <c r="S685" t="s">
        <v>144</v>
      </c>
      <c r="T685">
        <v>1</v>
      </c>
      <c r="U685" t="s">
        <v>152</v>
      </c>
      <c r="V685" t="s">
        <v>146</v>
      </c>
      <c r="W685">
        <v>1</v>
      </c>
    </row>
    <row r="686" spans="2:23" x14ac:dyDescent="0.3">
      <c r="B686">
        <v>682</v>
      </c>
      <c r="C686" t="s">
        <v>153</v>
      </c>
      <c r="D686">
        <v>12</v>
      </c>
      <c r="E686" t="s">
        <v>148</v>
      </c>
      <c r="F686" t="s">
        <v>136</v>
      </c>
      <c r="G686">
        <v>2279</v>
      </c>
      <c r="H686" t="s">
        <v>137</v>
      </c>
      <c r="I686" t="s">
        <v>150</v>
      </c>
      <c r="J686">
        <v>4</v>
      </c>
      <c r="K686" t="s">
        <v>139</v>
      </c>
      <c r="L686" t="s">
        <v>140</v>
      </c>
      <c r="M686">
        <v>4</v>
      </c>
      <c r="N686" t="s">
        <v>163</v>
      </c>
      <c r="O686">
        <v>37</v>
      </c>
      <c r="P686" t="s">
        <v>142</v>
      </c>
      <c r="Q686" t="s">
        <v>160</v>
      </c>
      <c r="R686">
        <v>1</v>
      </c>
      <c r="S686" t="s">
        <v>144</v>
      </c>
      <c r="T686">
        <v>1</v>
      </c>
      <c r="U686" t="s">
        <v>145</v>
      </c>
      <c r="V686" t="s">
        <v>146</v>
      </c>
      <c r="W686">
        <v>1</v>
      </c>
    </row>
    <row r="687" spans="2:23" x14ac:dyDescent="0.3">
      <c r="B687">
        <v>683</v>
      </c>
      <c r="C687" t="s">
        <v>153</v>
      </c>
      <c r="D687">
        <v>15</v>
      </c>
      <c r="E687" t="s">
        <v>161</v>
      </c>
      <c r="F687" t="s">
        <v>136</v>
      </c>
      <c r="G687">
        <v>1478</v>
      </c>
      <c r="H687" t="s">
        <v>149</v>
      </c>
      <c r="I687" t="s">
        <v>150</v>
      </c>
      <c r="J687">
        <v>4</v>
      </c>
      <c r="K687" t="s">
        <v>172</v>
      </c>
      <c r="L687" t="s">
        <v>140</v>
      </c>
      <c r="M687">
        <v>3</v>
      </c>
      <c r="N687" t="s">
        <v>141</v>
      </c>
      <c r="O687">
        <v>33</v>
      </c>
      <c r="P687" t="s">
        <v>177</v>
      </c>
      <c r="Q687" t="s">
        <v>143</v>
      </c>
      <c r="R687">
        <v>2</v>
      </c>
      <c r="S687" t="s">
        <v>144</v>
      </c>
      <c r="T687">
        <v>1</v>
      </c>
      <c r="U687" t="s">
        <v>152</v>
      </c>
      <c r="V687" t="s">
        <v>146</v>
      </c>
      <c r="W687">
        <v>1</v>
      </c>
    </row>
    <row r="688" spans="2:23" x14ac:dyDescent="0.3">
      <c r="B688">
        <v>684</v>
      </c>
      <c r="C688" t="s">
        <v>153</v>
      </c>
      <c r="D688">
        <v>24</v>
      </c>
      <c r="E688" t="s">
        <v>135</v>
      </c>
      <c r="F688" t="s">
        <v>136</v>
      </c>
      <c r="G688">
        <v>5103</v>
      </c>
      <c r="H688" t="s">
        <v>149</v>
      </c>
      <c r="I688" t="s">
        <v>173</v>
      </c>
      <c r="J688">
        <v>3</v>
      </c>
      <c r="K688" t="s">
        <v>172</v>
      </c>
      <c r="L688" t="s">
        <v>140</v>
      </c>
      <c r="M688">
        <v>3</v>
      </c>
      <c r="N688" t="s">
        <v>163</v>
      </c>
      <c r="O688">
        <v>47</v>
      </c>
      <c r="P688" t="s">
        <v>142</v>
      </c>
      <c r="Q688" t="s">
        <v>160</v>
      </c>
      <c r="R688">
        <v>3</v>
      </c>
      <c r="S688" t="s">
        <v>144</v>
      </c>
      <c r="T688">
        <v>1</v>
      </c>
      <c r="U688" t="s">
        <v>145</v>
      </c>
      <c r="V688" t="s">
        <v>146</v>
      </c>
      <c r="W688">
        <v>1</v>
      </c>
    </row>
    <row r="689" spans="2:23" x14ac:dyDescent="0.3">
      <c r="B689">
        <v>685</v>
      </c>
      <c r="C689" t="s">
        <v>147</v>
      </c>
      <c r="D689">
        <v>36</v>
      </c>
      <c r="E689" t="s">
        <v>161</v>
      </c>
      <c r="F689" t="s">
        <v>174</v>
      </c>
      <c r="G689">
        <v>9857</v>
      </c>
      <c r="H689" t="s">
        <v>175</v>
      </c>
      <c r="I689" t="s">
        <v>155</v>
      </c>
      <c r="J689">
        <v>1</v>
      </c>
      <c r="K689" t="s">
        <v>139</v>
      </c>
      <c r="L689" t="s">
        <v>140</v>
      </c>
      <c r="M689">
        <v>3</v>
      </c>
      <c r="N689" t="s">
        <v>159</v>
      </c>
      <c r="O689">
        <v>31</v>
      </c>
      <c r="P689" t="s">
        <v>142</v>
      </c>
      <c r="Q689" t="s">
        <v>143</v>
      </c>
      <c r="R689">
        <v>2</v>
      </c>
      <c r="S689" t="s">
        <v>156</v>
      </c>
      <c r="T689">
        <v>2</v>
      </c>
      <c r="U689" t="s">
        <v>145</v>
      </c>
      <c r="V689" t="s">
        <v>146</v>
      </c>
      <c r="W689">
        <v>1</v>
      </c>
    </row>
    <row r="690" spans="2:23" x14ac:dyDescent="0.3">
      <c r="B690">
        <v>686</v>
      </c>
      <c r="C690" t="s">
        <v>153</v>
      </c>
      <c r="D690">
        <v>60</v>
      </c>
      <c r="E690" t="s">
        <v>148</v>
      </c>
      <c r="F690" t="s">
        <v>162</v>
      </c>
      <c r="G690">
        <v>6527</v>
      </c>
      <c r="H690" t="s">
        <v>137</v>
      </c>
      <c r="I690" t="s">
        <v>150</v>
      </c>
      <c r="J690">
        <v>4</v>
      </c>
      <c r="K690" t="s">
        <v>139</v>
      </c>
      <c r="L690" t="s">
        <v>140</v>
      </c>
      <c r="M690">
        <v>4</v>
      </c>
      <c r="N690" t="s">
        <v>163</v>
      </c>
      <c r="O690">
        <v>34</v>
      </c>
      <c r="P690" t="s">
        <v>142</v>
      </c>
      <c r="Q690" t="s">
        <v>160</v>
      </c>
      <c r="R690">
        <v>1</v>
      </c>
      <c r="S690" t="s">
        <v>144</v>
      </c>
      <c r="T690">
        <v>2</v>
      </c>
      <c r="U690" t="s">
        <v>145</v>
      </c>
      <c r="V690" t="s">
        <v>146</v>
      </c>
      <c r="W690">
        <v>1</v>
      </c>
    </row>
    <row r="691" spans="2:23" x14ac:dyDescent="0.3">
      <c r="B691">
        <v>687</v>
      </c>
      <c r="C691" t="s">
        <v>179</v>
      </c>
      <c r="D691">
        <v>10</v>
      </c>
      <c r="E691" t="s">
        <v>135</v>
      </c>
      <c r="F691" t="s">
        <v>136</v>
      </c>
      <c r="G691">
        <v>1347</v>
      </c>
      <c r="H691" t="s">
        <v>137</v>
      </c>
      <c r="I691" t="s">
        <v>155</v>
      </c>
      <c r="J691">
        <v>4</v>
      </c>
      <c r="K691" t="s">
        <v>139</v>
      </c>
      <c r="L691" t="s">
        <v>140</v>
      </c>
      <c r="M691">
        <v>2</v>
      </c>
      <c r="N691" t="s">
        <v>159</v>
      </c>
      <c r="O691">
        <v>27</v>
      </c>
      <c r="P691" t="s">
        <v>142</v>
      </c>
      <c r="Q691" t="s">
        <v>143</v>
      </c>
      <c r="R691">
        <v>2</v>
      </c>
      <c r="S691" t="s">
        <v>144</v>
      </c>
      <c r="T691">
        <v>1</v>
      </c>
      <c r="U691" t="s">
        <v>145</v>
      </c>
      <c r="V691" t="s">
        <v>146</v>
      </c>
      <c r="W691">
        <v>1</v>
      </c>
    </row>
    <row r="692" spans="2:23" x14ac:dyDescent="0.3">
      <c r="B692">
        <v>688</v>
      </c>
      <c r="C692" t="s">
        <v>147</v>
      </c>
      <c r="D692">
        <v>36</v>
      </c>
      <c r="E692" t="s">
        <v>161</v>
      </c>
      <c r="F692" t="s">
        <v>162</v>
      </c>
      <c r="G692">
        <v>2862</v>
      </c>
      <c r="H692" t="s">
        <v>175</v>
      </c>
      <c r="I692" t="s">
        <v>138</v>
      </c>
      <c r="J692">
        <v>4</v>
      </c>
      <c r="K692" t="s">
        <v>139</v>
      </c>
      <c r="L692" t="s">
        <v>140</v>
      </c>
      <c r="M692">
        <v>3</v>
      </c>
      <c r="N692" t="s">
        <v>163</v>
      </c>
      <c r="O692">
        <v>30</v>
      </c>
      <c r="P692" t="s">
        <v>142</v>
      </c>
      <c r="Q692" t="s">
        <v>160</v>
      </c>
      <c r="R692">
        <v>1</v>
      </c>
      <c r="S692" t="s">
        <v>144</v>
      </c>
      <c r="T692">
        <v>1</v>
      </c>
      <c r="U692" t="s">
        <v>152</v>
      </c>
      <c r="V692" t="s">
        <v>146</v>
      </c>
      <c r="W692">
        <v>1</v>
      </c>
    </row>
    <row r="693" spans="2:23" x14ac:dyDescent="0.3">
      <c r="B693">
        <v>689</v>
      </c>
      <c r="C693" t="s">
        <v>153</v>
      </c>
      <c r="D693">
        <v>9</v>
      </c>
      <c r="E693" t="s">
        <v>148</v>
      </c>
      <c r="F693" t="s">
        <v>136</v>
      </c>
      <c r="G693">
        <v>2753</v>
      </c>
      <c r="H693" t="s">
        <v>175</v>
      </c>
      <c r="I693" t="s">
        <v>138</v>
      </c>
      <c r="J693">
        <v>3</v>
      </c>
      <c r="K693" t="s">
        <v>139</v>
      </c>
      <c r="L693" t="s">
        <v>182</v>
      </c>
      <c r="M693">
        <v>4</v>
      </c>
      <c r="N693" t="s">
        <v>166</v>
      </c>
      <c r="O693">
        <v>35</v>
      </c>
      <c r="P693" t="s">
        <v>142</v>
      </c>
      <c r="Q693" t="s">
        <v>143</v>
      </c>
      <c r="R693">
        <v>1</v>
      </c>
      <c r="S693" t="s">
        <v>144</v>
      </c>
      <c r="T693">
        <v>1</v>
      </c>
      <c r="U693" t="s">
        <v>145</v>
      </c>
      <c r="V693" t="s">
        <v>146</v>
      </c>
      <c r="W693">
        <v>1</v>
      </c>
    </row>
    <row r="694" spans="2:23" x14ac:dyDescent="0.3">
      <c r="B694">
        <v>690</v>
      </c>
      <c r="C694" t="s">
        <v>134</v>
      </c>
      <c r="D694">
        <v>12</v>
      </c>
      <c r="E694" t="s">
        <v>148</v>
      </c>
      <c r="F694" t="s">
        <v>162</v>
      </c>
      <c r="G694">
        <v>3651</v>
      </c>
      <c r="H694" t="s">
        <v>169</v>
      </c>
      <c r="I694" t="s">
        <v>150</v>
      </c>
      <c r="J694">
        <v>1</v>
      </c>
      <c r="K694" t="s">
        <v>139</v>
      </c>
      <c r="L694" t="s">
        <v>140</v>
      </c>
      <c r="M694">
        <v>3</v>
      </c>
      <c r="N694" t="s">
        <v>159</v>
      </c>
      <c r="O694">
        <v>31</v>
      </c>
      <c r="P694" t="s">
        <v>142</v>
      </c>
      <c r="Q694" t="s">
        <v>143</v>
      </c>
      <c r="R694">
        <v>1</v>
      </c>
      <c r="S694" t="s">
        <v>144</v>
      </c>
      <c r="T694">
        <v>2</v>
      </c>
      <c r="U694" t="s">
        <v>152</v>
      </c>
      <c r="V694" t="s">
        <v>146</v>
      </c>
      <c r="W694">
        <v>1</v>
      </c>
    </row>
    <row r="695" spans="2:23" x14ac:dyDescent="0.3">
      <c r="B695">
        <v>691</v>
      </c>
      <c r="C695" t="s">
        <v>134</v>
      </c>
      <c r="D695">
        <v>15</v>
      </c>
      <c r="E695" t="s">
        <v>135</v>
      </c>
      <c r="F695" t="s">
        <v>157</v>
      </c>
      <c r="G695">
        <v>975</v>
      </c>
      <c r="H695" t="s">
        <v>149</v>
      </c>
      <c r="I695" t="s">
        <v>150</v>
      </c>
      <c r="J695">
        <v>2</v>
      </c>
      <c r="K695" t="s">
        <v>170</v>
      </c>
      <c r="L695" t="s">
        <v>140</v>
      </c>
      <c r="M695">
        <v>3</v>
      </c>
      <c r="N695" t="s">
        <v>159</v>
      </c>
      <c r="O695">
        <v>25</v>
      </c>
      <c r="P695" t="s">
        <v>142</v>
      </c>
      <c r="Q695" t="s">
        <v>143</v>
      </c>
      <c r="R695">
        <v>2</v>
      </c>
      <c r="S695" t="s">
        <v>144</v>
      </c>
      <c r="T695">
        <v>1</v>
      </c>
      <c r="U695" t="s">
        <v>152</v>
      </c>
      <c r="V695" t="s">
        <v>146</v>
      </c>
      <c r="W695">
        <v>1</v>
      </c>
    </row>
    <row r="696" spans="2:23" x14ac:dyDescent="0.3">
      <c r="B696">
        <v>692</v>
      </c>
      <c r="C696" t="s">
        <v>147</v>
      </c>
      <c r="D696">
        <v>15</v>
      </c>
      <c r="E696" t="s">
        <v>148</v>
      </c>
      <c r="F696" t="s">
        <v>184</v>
      </c>
      <c r="G696">
        <v>2631</v>
      </c>
      <c r="H696" t="s">
        <v>175</v>
      </c>
      <c r="I696" t="s">
        <v>150</v>
      </c>
      <c r="J696">
        <v>3</v>
      </c>
      <c r="K696" t="s">
        <v>151</v>
      </c>
      <c r="L696" t="s">
        <v>140</v>
      </c>
      <c r="M696">
        <v>2</v>
      </c>
      <c r="N696" t="s">
        <v>141</v>
      </c>
      <c r="O696">
        <v>25</v>
      </c>
      <c r="P696" t="s">
        <v>142</v>
      </c>
      <c r="Q696" t="s">
        <v>143</v>
      </c>
      <c r="R696">
        <v>1</v>
      </c>
      <c r="S696" t="s">
        <v>156</v>
      </c>
      <c r="T696">
        <v>1</v>
      </c>
      <c r="U696" t="s">
        <v>152</v>
      </c>
      <c r="V696" t="s">
        <v>146</v>
      </c>
      <c r="W696">
        <v>1</v>
      </c>
    </row>
    <row r="697" spans="2:23" x14ac:dyDescent="0.3">
      <c r="B697">
        <v>693</v>
      </c>
      <c r="C697" t="s">
        <v>147</v>
      </c>
      <c r="D697">
        <v>24</v>
      </c>
      <c r="E697" t="s">
        <v>148</v>
      </c>
      <c r="F697" t="s">
        <v>136</v>
      </c>
      <c r="G697">
        <v>2896</v>
      </c>
      <c r="H697" t="s">
        <v>175</v>
      </c>
      <c r="I697" t="s">
        <v>173</v>
      </c>
      <c r="J697">
        <v>2</v>
      </c>
      <c r="K697" t="s">
        <v>139</v>
      </c>
      <c r="L697" t="s">
        <v>140</v>
      </c>
      <c r="M697">
        <v>1</v>
      </c>
      <c r="N697" t="s">
        <v>166</v>
      </c>
      <c r="O697">
        <v>29</v>
      </c>
      <c r="P697" t="s">
        <v>142</v>
      </c>
      <c r="Q697" t="s">
        <v>143</v>
      </c>
      <c r="R697">
        <v>1</v>
      </c>
      <c r="S697" t="s">
        <v>144</v>
      </c>
      <c r="T697">
        <v>1</v>
      </c>
      <c r="U697" t="s">
        <v>152</v>
      </c>
      <c r="V697" t="s">
        <v>146</v>
      </c>
      <c r="W697">
        <v>1</v>
      </c>
    </row>
    <row r="698" spans="2:23" x14ac:dyDescent="0.3">
      <c r="B698">
        <v>694</v>
      </c>
      <c r="C698" t="s">
        <v>134</v>
      </c>
      <c r="D698">
        <v>6</v>
      </c>
      <c r="E698" t="s">
        <v>135</v>
      </c>
      <c r="F698" t="s">
        <v>162</v>
      </c>
      <c r="G698">
        <v>4716</v>
      </c>
      <c r="H698" t="s">
        <v>137</v>
      </c>
      <c r="I698" t="s">
        <v>173</v>
      </c>
      <c r="J698">
        <v>1</v>
      </c>
      <c r="K698" t="s">
        <v>139</v>
      </c>
      <c r="L698" t="s">
        <v>140</v>
      </c>
      <c r="M698">
        <v>3</v>
      </c>
      <c r="N698" t="s">
        <v>141</v>
      </c>
      <c r="O698">
        <v>44</v>
      </c>
      <c r="P698" t="s">
        <v>142</v>
      </c>
      <c r="Q698" t="s">
        <v>143</v>
      </c>
      <c r="R698">
        <v>2</v>
      </c>
      <c r="S698" t="s">
        <v>156</v>
      </c>
      <c r="T698">
        <v>2</v>
      </c>
      <c r="U698" t="s">
        <v>152</v>
      </c>
      <c r="V698" t="s">
        <v>146</v>
      </c>
      <c r="W698">
        <v>1</v>
      </c>
    </row>
    <row r="699" spans="2:23" x14ac:dyDescent="0.3">
      <c r="B699">
        <v>695</v>
      </c>
      <c r="C699" t="s">
        <v>153</v>
      </c>
      <c r="D699">
        <v>24</v>
      </c>
      <c r="E699" t="s">
        <v>148</v>
      </c>
      <c r="F699" t="s">
        <v>136</v>
      </c>
      <c r="G699">
        <v>2284</v>
      </c>
      <c r="H699" t="s">
        <v>149</v>
      </c>
      <c r="I699" t="s">
        <v>155</v>
      </c>
      <c r="J699">
        <v>4</v>
      </c>
      <c r="K699" t="s">
        <v>139</v>
      </c>
      <c r="L699" t="s">
        <v>140</v>
      </c>
      <c r="M699">
        <v>2</v>
      </c>
      <c r="N699" t="s">
        <v>166</v>
      </c>
      <c r="O699">
        <v>28</v>
      </c>
      <c r="P699" t="s">
        <v>142</v>
      </c>
      <c r="Q699" t="s">
        <v>143</v>
      </c>
      <c r="R699">
        <v>1</v>
      </c>
      <c r="S699" t="s">
        <v>144</v>
      </c>
      <c r="T699">
        <v>1</v>
      </c>
      <c r="U699" t="s">
        <v>145</v>
      </c>
      <c r="V699" t="s">
        <v>146</v>
      </c>
      <c r="W699">
        <v>1</v>
      </c>
    </row>
    <row r="700" spans="2:23" x14ac:dyDescent="0.3">
      <c r="B700">
        <v>696</v>
      </c>
      <c r="C700" t="s">
        <v>153</v>
      </c>
      <c r="D700">
        <v>6</v>
      </c>
      <c r="E700" t="s">
        <v>148</v>
      </c>
      <c r="F700" t="s">
        <v>165</v>
      </c>
      <c r="G700">
        <v>1236</v>
      </c>
      <c r="H700" t="s">
        <v>164</v>
      </c>
      <c r="I700" t="s">
        <v>150</v>
      </c>
      <c r="J700">
        <v>2</v>
      </c>
      <c r="K700" t="s">
        <v>139</v>
      </c>
      <c r="L700" t="s">
        <v>140</v>
      </c>
      <c r="M700">
        <v>4</v>
      </c>
      <c r="N700" t="s">
        <v>159</v>
      </c>
      <c r="O700">
        <v>50</v>
      </c>
      <c r="P700" t="s">
        <v>142</v>
      </c>
      <c r="Q700" t="s">
        <v>167</v>
      </c>
      <c r="R700">
        <v>1</v>
      </c>
      <c r="S700" t="s">
        <v>144</v>
      </c>
      <c r="T700">
        <v>1</v>
      </c>
      <c r="U700" t="s">
        <v>152</v>
      </c>
      <c r="V700" t="s">
        <v>146</v>
      </c>
      <c r="W700">
        <v>1</v>
      </c>
    </row>
    <row r="701" spans="2:23" x14ac:dyDescent="0.3">
      <c r="B701">
        <v>697</v>
      </c>
      <c r="C701" t="s">
        <v>147</v>
      </c>
      <c r="D701">
        <v>12</v>
      </c>
      <c r="E701" t="s">
        <v>148</v>
      </c>
      <c r="F701" t="s">
        <v>136</v>
      </c>
      <c r="G701">
        <v>1103</v>
      </c>
      <c r="H701" t="s">
        <v>149</v>
      </c>
      <c r="I701" t="s">
        <v>155</v>
      </c>
      <c r="J701">
        <v>4</v>
      </c>
      <c r="K701" t="s">
        <v>139</v>
      </c>
      <c r="L701" t="s">
        <v>158</v>
      </c>
      <c r="M701">
        <v>3</v>
      </c>
      <c r="N701" t="s">
        <v>141</v>
      </c>
      <c r="O701">
        <v>29</v>
      </c>
      <c r="P701" t="s">
        <v>142</v>
      </c>
      <c r="Q701" t="s">
        <v>143</v>
      </c>
      <c r="R701">
        <v>2</v>
      </c>
      <c r="S701" t="s">
        <v>144</v>
      </c>
      <c r="T701">
        <v>1</v>
      </c>
      <c r="U701" t="s">
        <v>152</v>
      </c>
      <c r="V701" t="s">
        <v>178</v>
      </c>
      <c r="W701">
        <v>1</v>
      </c>
    </row>
    <row r="702" spans="2:23" x14ac:dyDescent="0.3">
      <c r="B702">
        <v>698</v>
      </c>
      <c r="C702" t="s">
        <v>153</v>
      </c>
      <c r="D702">
        <v>12</v>
      </c>
      <c r="E702" t="s">
        <v>135</v>
      </c>
      <c r="F702" t="s">
        <v>162</v>
      </c>
      <c r="G702">
        <v>926</v>
      </c>
      <c r="H702" t="s">
        <v>149</v>
      </c>
      <c r="I702" t="s">
        <v>171</v>
      </c>
      <c r="J702">
        <v>1</v>
      </c>
      <c r="K702" t="s">
        <v>151</v>
      </c>
      <c r="L702" t="s">
        <v>140</v>
      </c>
      <c r="M702">
        <v>2</v>
      </c>
      <c r="N702" t="s">
        <v>159</v>
      </c>
      <c r="O702">
        <v>38</v>
      </c>
      <c r="P702" t="s">
        <v>142</v>
      </c>
      <c r="Q702" t="s">
        <v>143</v>
      </c>
      <c r="R702">
        <v>1</v>
      </c>
      <c r="S702" t="s">
        <v>185</v>
      </c>
      <c r="T702">
        <v>1</v>
      </c>
      <c r="U702" t="s">
        <v>152</v>
      </c>
      <c r="V702" t="s">
        <v>146</v>
      </c>
      <c r="W702">
        <v>1</v>
      </c>
    </row>
    <row r="703" spans="2:23" x14ac:dyDescent="0.3">
      <c r="B703">
        <v>699</v>
      </c>
      <c r="C703" t="s">
        <v>153</v>
      </c>
      <c r="D703">
        <v>18</v>
      </c>
      <c r="E703" t="s">
        <v>135</v>
      </c>
      <c r="F703" t="s">
        <v>136</v>
      </c>
      <c r="G703">
        <v>1800</v>
      </c>
      <c r="H703" t="s">
        <v>149</v>
      </c>
      <c r="I703" t="s">
        <v>150</v>
      </c>
      <c r="J703">
        <v>4</v>
      </c>
      <c r="K703" t="s">
        <v>139</v>
      </c>
      <c r="L703" t="s">
        <v>140</v>
      </c>
      <c r="M703">
        <v>2</v>
      </c>
      <c r="N703" t="s">
        <v>166</v>
      </c>
      <c r="O703">
        <v>24</v>
      </c>
      <c r="P703" t="s">
        <v>142</v>
      </c>
      <c r="Q703" t="s">
        <v>143</v>
      </c>
      <c r="R703">
        <v>2</v>
      </c>
      <c r="S703" t="s">
        <v>144</v>
      </c>
      <c r="T703">
        <v>1</v>
      </c>
      <c r="U703" t="s">
        <v>152</v>
      </c>
      <c r="V703" t="s">
        <v>146</v>
      </c>
      <c r="W703">
        <v>1</v>
      </c>
    </row>
    <row r="704" spans="2:23" x14ac:dyDescent="0.3">
      <c r="B704">
        <v>700</v>
      </c>
      <c r="C704" t="s">
        <v>179</v>
      </c>
      <c r="D704">
        <v>15</v>
      </c>
      <c r="E704" t="s">
        <v>148</v>
      </c>
      <c r="F704" t="s">
        <v>154</v>
      </c>
      <c r="G704">
        <v>1905</v>
      </c>
      <c r="H704" t="s">
        <v>149</v>
      </c>
      <c r="I704" t="s">
        <v>138</v>
      </c>
      <c r="J704">
        <v>4</v>
      </c>
      <c r="K704" t="s">
        <v>139</v>
      </c>
      <c r="L704" t="s">
        <v>140</v>
      </c>
      <c r="M704">
        <v>4</v>
      </c>
      <c r="N704" t="s">
        <v>166</v>
      </c>
      <c r="O704">
        <v>40</v>
      </c>
      <c r="P704" t="s">
        <v>142</v>
      </c>
      <c r="Q704" t="s">
        <v>167</v>
      </c>
      <c r="R704">
        <v>1</v>
      </c>
      <c r="S704" t="s">
        <v>168</v>
      </c>
      <c r="T704">
        <v>1</v>
      </c>
      <c r="U704" t="s">
        <v>145</v>
      </c>
      <c r="V704" t="s">
        <v>146</v>
      </c>
      <c r="W704">
        <v>1</v>
      </c>
    </row>
    <row r="705" spans="2:23" x14ac:dyDescent="0.3">
      <c r="B705">
        <v>701</v>
      </c>
      <c r="C705" t="s">
        <v>153</v>
      </c>
      <c r="D705">
        <v>12</v>
      </c>
      <c r="E705" t="s">
        <v>148</v>
      </c>
      <c r="F705" t="s">
        <v>157</v>
      </c>
      <c r="G705">
        <v>1123</v>
      </c>
      <c r="H705" t="s">
        <v>164</v>
      </c>
      <c r="I705" t="s">
        <v>150</v>
      </c>
      <c r="J705">
        <v>4</v>
      </c>
      <c r="K705" t="s">
        <v>151</v>
      </c>
      <c r="L705" t="s">
        <v>140</v>
      </c>
      <c r="M705">
        <v>4</v>
      </c>
      <c r="N705" t="s">
        <v>166</v>
      </c>
      <c r="O705">
        <v>29</v>
      </c>
      <c r="P705" t="s">
        <v>142</v>
      </c>
      <c r="Q705" t="s">
        <v>167</v>
      </c>
      <c r="R705">
        <v>1</v>
      </c>
      <c r="S705" t="s">
        <v>156</v>
      </c>
      <c r="T705">
        <v>1</v>
      </c>
      <c r="U705" t="s">
        <v>152</v>
      </c>
      <c r="V705" t="s">
        <v>146</v>
      </c>
      <c r="W705">
        <v>2</v>
      </c>
    </row>
    <row r="706" spans="2:23" x14ac:dyDescent="0.3">
      <c r="B706">
        <v>702</v>
      </c>
      <c r="C706" t="s">
        <v>134</v>
      </c>
      <c r="D706">
        <v>48</v>
      </c>
      <c r="E706" t="s">
        <v>135</v>
      </c>
      <c r="F706" t="s">
        <v>165</v>
      </c>
      <c r="G706">
        <v>6331</v>
      </c>
      <c r="H706" t="s">
        <v>149</v>
      </c>
      <c r="I706" t="s">
        <v>138</v>
      </c>
      <c r="J706">
        <v>4</v>
      </c>
      <c r="K706" t="s">
        <v>139</v>
      </c>
      <c r="L706" t="s">
        <v>140</v>
      </c>
      <c r="M706">
        <v>4</v>
      </c>
      <c r="N706" t="s">
        <v>163</v>
      </c>
      <c r="O706">
        <v>46</v>
      </c>
      <c r="P706" t="s">
        <v>142</v>
      </c>
      <c r="Q706" t="s">
        <v>160</v>
      </c>
      <c r="R706">
        <v>2</v>
      </c>
      <c r="S706" t="s">
        <v>144</v>
      </c>
      <c r="T706">
        <v>1</v>
      </c>
      <c r="U706" t="s">
        <v>145</v>
      </c>
      <c r="V706" t="s">
        <v>146</v>
      </c>
      <c r="W706">
        <v>2</v>
      </c>
    </row>
    <row r="707" spans="2:23" x14ac:dyDescent="0.3">
      <c r="B707">
        <v>703</v>
      </c>
      <c r="C707" t="s">
        <v>179</v>
      </c>
      <c r="D707">
        <v>24</v>
      </c>
      <c r="E707" t="s">
        <v>148</v>
      </c>
      <c r="F707" t="s">
        <v>136</v>
      </c>
      <c r="G707">
        <v>1377</v>
      </c>
      <c r="H707" t="s">
        <v>175</v>
      </c>
      <c r="I707" t="s">
        <v>138</v>
      </c>
      <c r="J707">
        <v>4</v>
      </c>
      <c r="K707" t="s">
        <v>151</v>
      </c>
      <c r="L707" t="s">
        <v>140</v>
      </c>
      <c r="M707">
        <v>2</v>
      </c>
      <c r="N707" t="s">
        <v>163</v>
      </c>
      <c r="O707">
        <v>47</v>
      </c>
      <c r="P707" t="s">
        <v>142</v>
      </c>
      <c r="Q707" t="s">
        <v>160</v>
      </c>
      <c r="R707">
        <v>1</v>
      </c>
      <c r="S707" t="s">
        <v>144</v>
      </c>
      <c r="T707">
        <v>1</v>
      </c>
      <c r="U707" t="s">
        <v>145</v>
      </c>
      <c r="V707" t="s">
        <v>146</v>
      </c>
      <c r="W707">
        <v>1</v>
      </c>
    </row>
    <row r="708" spans="2:23" x14ac:dyDescent="0.3">
      <c r="B708">
        <v>704</v>
      </c>
      <c r="C708" t="s">
        <v>147</v>
      </c>
      <c r="D708">
        <v>30</v>
      </c>
      <c r="E708" t="s">
        <v>161</v>
      </c>
      <c r="F708" t="s">
        <v>174</v>
      </c>
      <c r="G708">
        <v>2503</v>
      </c>
      <c r="H708" t="s">
        <v>175</v>
      </c>
      <c r="I708" t="s">
        <v>138</v>
      </c>
      <c r="J708">
        <v>4</v>
      </c>
      <c r="K708" t="s">
        <v>139</v>
      </c>
      <c r="L708" t="s">
        <v>140</v>
      </c>
      <c r="M708">
        <v>2</v>
      </c>
      <c r="N708" t="s">
        <v>159</v>
      </c>
      <c r="O708">
        <v>41</v>
      </c>
      <c r="P708" t="s">
        <v>181</v>
      </c>
      <c r="Q708" t="s">
        <v>143</v>
      </c>
      <c r="R708">
        <v>2</v>
      </c>
      <c r="S708" t="s">
        <v>144</v>
      </c>
      <c r="T708">
        <v>1</v>
      </c>
      <c r="U708" t="s">
        <v>152</v>
      </c>
      <c r="V708" t="s">
        <v>146</v>
      </c>
      <c r="W708">
        <v>1</v>
      </c>
    </row>
    <row r="709" spans="2:23" x14ac:dyDescent="0.3">
      <c r="B709">
        <v>705</v>
      </c>
      <c r="C709" t="s">
        <v>147</v>
      </c>
      <c r="D709">
        <v>27</v>
      </c>
      <c r="E709" t="s">
        <v>148</v>
      </c>
      <c r="F709" t="s">
        <v>174</v>
      </c>
      <c r="G709">
        <v>2528</v>
      </c>
      <c r="H709" t="s">
        <v>149</v>
      </c>
      <c r="I709" t="s">
        <v>173</v>
      </c>
      <c r="J709">
        <v>4</v>
      </c>
      <c r="K709" t="s">
        <v>151</v>
      </c>
      <c r="L709" t="s">
        <v>140</v>
      </c>
      <c r="M709">
        <v>1</v>
      </c>
      <c r="N709" t="s">
        <v>159</v>
      </c>
      <c r="O709">
        <v>32</v>
      </c>
      <c r="P709" t="s">
        <v>142</v>
      </c>
      <c r="Q709" t="s">
        <v>143</v>
      </c>
      <c r="R709">
        <v>1</v>
      </c>
      <c r="S709" t="s">
        <v>144</v>
      </c>
      <c r="T709">
        <v>2</v>
      </c>
      <c r="U709" t="s">
        <v>145</v>
      </c>
      <c r="V709" t="s">
        <v>146</v>
      </c>
      <c r="W709">
        <v>1</v>
      </c>
    </row>
    <row r="710" spans="2:23" x14ac:dyDescent="0.3">
      <c r="B710">
        <v>706</v>
      </c>
      <c r="C710" t="s">
        <v>153</v>
      </c>
      <c r="D710">
        <v>15</v>
      </c>
      <c r="E710" t="s">
        <v>148</v>
      </c>
      <c r="F710" t="s">
        <v>162</v>
      </c>
      <c r="G710">
        <v>5324</v>
      </c>
      <c r="H710" t="s">
        <v>164</v>
      </c>
      <c r="I710" t="s">
        <v>138</v>
      </c>
      <c r="J710">
        <v>1</v>
      </c>
      <c r="K710" t="s">
        <v>151</v>
      </c>
      <c r="L710" t="s">
        <v>140</v>
      </c>
      <c r="M710">
        <v>4</v>
      </c>
      <c r="N710" t="s">
        <v>163</v>
      </c>
      <c r="O710">
        <v>35</v>
      </c>
      <c r="P710" t="s">
        <v>142</v>
      </c>
      <c r="Q710" t="s">
        <v>160</v>
      </c>
      <c r="R710">
        <v>1</v>
      </c>
      <c r="S710" t="s">
        <v>144</v>
      </c>
      <c r="T710">
        <v>1</v>
      </c>
      <c r="U710" t="s">
        <v>152</v>
      </c>
      <c r="V710" t="s">
        <v>146</v>
      </c>
      <c r="W710">
        <v>1</v>
      </c>
    </row>
    <row r="711" spans="2:23" x14ac:dyDescent="0.3">
      <c r="B711">
        <v>707</v>
      </c>
      <c r="C711" t="s">
        <v>147</v>
      </c>
      <c r="D711">
        <v>48</v>
      </c>
      <c r="E711" t="s">
        <v>148</v>
      </c>
      <c r="F711" t="s">
        <v>162</v>
      </c>
      <c r="G711">
        <v>6560</v>
      </c>
      <c r="H711" t="s">
        <v>175</v>
      </c>
      <c r="I711" t="s">
        <v>155</v>
      </c>
      <c r="J711">
        <v>3</v>
      </c>
      <c r="K711" t="s">
        <v>139</v>
      </c>
      <c r="L711" t="s">
        <v>140</v>
      </c>
      <c r="M711">
        <v>2</v>
      </c>
      <c r="N711" t="s">
        <v>159</v>
      </c>
      <c r="O711">
        <v>24</v>
      </c>
      <c r="P711" t="s">
        <v>142</v>
      </c>
      <c r="Q711" t="s">
        <v>143</v>
      </c>
      <c r="R711">
        <v>1</v>
      </c>
      <c r="S711" t="s">
        <v>144</v>
      </c>
      <c r="T711">
        <v>1</v>
      </c>
      <c r="U711" t="s">
        <v>152</v>
      </c>
      <c r="V711" t="s">
        <v>146</v>
      </c>
      <c r="W711">
        <v>2</v>
      </c>
    </row>
    <row r="712" spans="2:23" x14ac:dyDescent="0.3">
      <c r="B712">
        <v>708</v>
      </c>
      <c r="C712" t="s">
        <v>147</v>
      </c>
      <c r="D712">
        <v>12</v>
      </c>
      <c r="E712" t="s">
        <v>176</v>
      </c>
      <c r="F712" t="s">
        <v>157</v>
      </c>
      <c r="G712">
        <v>2969</v>
      </c>
      <c r="H712" t="s">
        <v>149</v>
      </c>
      <c r="I712" t="s">
        <v>173</v>
      </c>
      <c r="J712">
        <v>4</v>
      </c>
      <c r="K712" t="s">
        <v>151</v>
      </c>
      <c r="L712" t="s">
        <v>140</v>
      </c>
      <c r="M712">
        <v>3</v>
      </c>
      <c r="N712" t="s">
        <v>159</v>
      </c>
      <c r="O712">
        <v>25</v>
      </c>
      <c r="P712" t="s">
        <v>142</v>
      </c>
      <c r="Q712" t="s">
        <v>167</v>
      </c>
      <c r="R712">
        <v>2</v>
      </c>
      <c r="S712" t="s">
        <v>144</v>
      </c>
      <c r="T712">
        <v>1</v>
      </c>
      <c r="U712" t="s">
        <v>152</v>
      </c>
      <c r="V712" t="s">
        <v>146</v>
      </c>
      <c r="W712">
        <v>2</v>
      </c>
    </row>
    <row r="713" spans="2:23" x14ac:dyDescent="0.3">
      <c r="B713">
        <v>709</v>
      </c>
      <c r="C713" t="s">
        <v>147</v>
      </c>
      <c r="D713">
        <v>9</v>
      </c>
      <c r="E713" t="s">
        <v>148</v>
      </c>
      <c r="F713" t="s">
        <v>136</v>
      </c>
      <c r="G713">
        <v>1206</v>
      </c>
      <c r="H713" t="s">
        <v>149</v>
      </c>
      <c r="I713" t="s">
        <v>138</v>
      </c>
      <c r="J713">
        <v>4</v>
      </c>
      <c r="K713" t="s">
        <v>151</v>
      </c>
      <c r="L713" t="s">
        <v>140</v>
      </c>
      <c r="M713">
        <v>4</v>
      </c>
      <c r="N713" t="s">
        <v>141</v>
      </c>
      <c r="O713">
        <v>25</v>
      </c>
      <c r="P713" t="s">
        <v>142</v>
      </c>
      <c r="Q713" t="s">
        <v>143</v>
      </c>
      <c r="R713">
        <v>1</v>
      </c>
      <c r="S713" t="s">
        <v>144</v>
      </c>
      <c r="T713">
        <v>1</v>
      </c>
      <c r="U713" t="s">
        <v>152</v>
      </c>
      <c r="V713" t="s">
        <v>146</v>
      </c>
      <c r="W713">
        <v>1</v>
      </c>
    </row>
    <row r="714" spans="2:23" x14ac:dyDescent="0.3">
      <c r="B714">
        <v>710</v>
      </c>
      <c r="C714" t="s">
        <v>147</v>
      </c>
      <c r="D714">
        <v>9</v>
      </c>
      <c r="E714" t="s">
        <v>148</v>
      </c>
      <c r="F714" t="s">
        <v>136</v>
      </c>
      <c r="G714">
        <v>2118</v>
      </c>
      <c r="H714" t="s">
        <v>149</v>
      </c>
      <c r="I714" t="s">
        <v>150</v>
      </c>
      <c r="J714">
        <v>2</v>
      </c>
      <c r="K714" t="s">
        <v>139</v>
      </c>
      <c r="L714" t="s">
        <v>140</v>
      </c>
      <c r="M714">
        <v>2</v>
      </c>
      <c r="N714" t="s">
        <v>141</v>
      </c>
      <c r="O714">
        <v>37</v>
      </c>
      <c r="P714" t="s">
        <v>142</v>
      </c>
      <c r="Q714" t="s">
        <v>143</v>
      </c>
      <c r="R714">
        <v>1</v>
      </c>
      <c r="S714" t="s">
        <v>156</v>
      </c>
      <c r="T714">
        <v>2</v>
      </c>
      <c r="U714" t="s">
        <v>152</v>
      </c>
      <c r="V714" t="s">
        <v>146</v>
      </c>
      <c r="W714">
        <v>1</v>
      </c>
    </row>
    <row r="715" spans="2:23" x14ac:dyDescent="0.3">
      <c r="B715">
        <v>711</v>
      </c>
      <c r="C715" t="s">
        <v>153</v>
      </c>
      <c r="D715">
        <v>18</v>
      </c>
      <c r="E715" t="s">
        <v>135</v>
      </c>
      <c r="F715" t="s">
        <v>136</v>
      </c>
      <c r="G715">
        <v>629</v>
      </c>
      <c r="H715" t="s">
        <v>164</v>
      </c>
      <c r="I715" t="s">
        <v>138</v>
      </c>
      <c r="J715">
        <v>4</v>
      </c>
      <c r="K715" t="s">
        <v>139</v>
      </c>
      <c r="L715" t="s">
        <v>140</v>
      </c>
      <c r="M715">
        <v>3</v>
      </c>
      <c r="N715" t="s">
        <v>159</v>
      </c>
      <c r="O715">
        <v>32</v>
      </c>
      <c r="P715" t="s">
        <v>177</v>
      </c>
      <c r="Q715" t="s">
        <v>143</v>
      </c>
      <c r="R715">
        <v>2</v>
      </c>
      <c r="S715" t="s">
        <v>168</v>
      </c>
      <c r="T715">
        <v>1</v>
      </c>
      <c r="U715" t="s">
        <v>145</v>
      </c>
      <c r="V715" t="s">
        <v>146</v>
      </c>
      <c r="W715">
        <v>1</v>
      </c>
    </row>
    <row r="716" spans="2:23" x14ac:dyDescent="0.3">
      <c r="B716">
        <v>712</v>
      </c>
      <c r="C716" t="s">
        <v>134</v>
      </c>
      <c r="D716">
        <v>6</v>
      </c>
      <c r="E716" t="s">
        <v>180</v>
      </c>
      <c r="F716" t="s">
        <v>154</v>
      </c>
      <c r="G716">
        <v>1198</v>
      </c>
      <c r="H716" t="s">
        <v>149</v>
      </c>
      <c r="I716" t="s">
        <v>138</v>
      </c>
      <c r="J716">
        <v>4</v>
      </c>
      <c r="K716" t="s">
        <v>151</v>
      </c>
      <c r="L716" t="s">
        <v>140</v>
      </c>
      <c r="M716">
        <v>4</v>
      </c>
      <c r="N716" t="s">
        <v>163</v>
      </c>
      <c r="O716">
        <v>35</v>
      </c>
      <c r="P716" t="s">
        <v>142</v>
      </c>
      <c r="Q716" t="s">
        <v>160</v>
      </c>
      <c r="R716">
        <v>1</v>
      </c>
      <c r="S716" t="s">
        <v>144</v>
      </c>
      <c r="T716">
        <v>1</v>
      </c>
      <c r="U716" t="s">
        <v>152</v>
      </c>
      <c r="V716" t="s">
        <v>146</v>
      </c>
      <c r="W716">
        <v>2</v>
      </c>
    </row>
    <row r="717" spans="2:23" x14ac:dyDescent="0.3">
      <c r="B717">
        <v>713</v>
      </c>
      <c r="C717" t="s">
        <v>153</v>
      </c>
      <c r="D717">
        <v>21</v>
      </c>
      <c r="E717" t="s">
        <v>148</v>
      </c>
      <c r="F717" t="s">
        <v>165</v>
      </c>
      <c r="G717">
        <v>2476</v>
      </c>
      <c r="H717" t="s">
        <v>137</v>
      </c>
      <c r="I717" t="s">
        <v>138</v>
      </c>
      <c r="J717">
        <v>4</v>
      </c>
      <c r="K717" t="s">
        <v>139</v>
      </c>
      <c r="L717" t="s">
        <v>140</v>
      </c>
      <c r="M717">
        <v>4</v>
      </c>
      <c r="N717" t="s">
        <v>141</v>
      </c>
      <c r="O717">
        <v>46</v>
      </c>
      <c r="P717" t="s">
        <v>142</v>
      </c>
      <c r="Q717" t="s">
        <v>143</v>
      </c>
      <c r="R717">
        <v>1</v>
      </c>
      <c r="S717" t="s">
        <v>168</v>
      </c>
      <c r="T717">
        <v>1</v>
      </c>
      <c r="U717" t="s">
        <v>145</v>
      </c>
      <c r="V717" t="s">
        <v>146</v>
      </c>
      <c r="W717">
        <v>1</v>
      </c>
    </row>
    <row r="718" spans="2:23" x14ac:dyDescent="0.3">
      <c r="B718">
        <v>714</v>
      </c>
      <c r="C718" t="s">
        <v>134</v>
      </c>
      <c r="D718">
        <v>9</v>
      </c>
      <c r="E718" t="s">
        <v>135</v>
      </c>
      <c r="F718" t="s">
        <v>136</v>
      </c>
      <c r="G718">
        <v>1138</v>
      </c>
      <c r="H718" t="s">
        <v>149</v>
      </c>
      <c r="I718" t="s">
        <v>150</v>
      </c>
      <c r="J718">
        <v>4</v>
      </c>
      <c r="K718" t="s">
        <v>139</v>
      </c>
      <c r="L718" t="s">
        <v>140</v>
      </c>
      <c r="M718">
        <v>4</v>
      </c>
      <c r="N718" t="s">
        <v>141</v>
      </c>
      <c r="O718">
        <v>25</v>
      </c>
      <c r="P718" t="s">
        <v>142</v>
      </c>
      <c r="Q718" t="s">
        <v>143</v>
      </c>
      <c r="R718">
        <v>2</v>
      </c>
      <c r="S718" t="s">
        <v>156</v>
      </c>
      <c r="T718">
        <v>1</v>
      </c>
      <c r="U718" t="s">
        <v>152</v>
      </c>
      <c r="V718" t="s">
        <v>146</v>
      </c>
      <c r="W718">
        <v>1</v>
      </c>
    </row>
    <row r="719" spans="2:23" x14ac:dyDescent="0.3">
      <c r="B719">
        <v>715</v>
      </c>
      <c r="C719" t="s">
        <v>147</v>
      </c>
      <c r="D719">
        <v>60</v>
      </c>
      <c r="E719" t="s">
        <v>148</v>
      </c>
      <c r="F719" t="s">
        <v>162</v>
      </c>
      <c r="G719">
        <v>14027</v>
      </c>
      <c r="H719" t="s">
        <v>149</v>
      </c>
      <c r="I719" t="s">
        <v>155</v>
      </c>
      <c r="J719">
        <v>4</v>
      </c>
      <c r="K719" t="s">
        <v>139</v>
      </c>
      <c r="L719" t="s">
        <v>140</v>
      </c>
      <c r="M719">
        <v>2</v>
      </c>
      <c r="N719" t="s">
        <v>163</v>
      </c>
      <c r="O719">
        <v>27</v>
      </c>
      <c r="P719" t="s">
        <v>142</v>
      </c>
      <c r="Q719" t="s">
        <v>143</v>
      </c>
      <c r="R719">
        <v>1</v>
      </c>
      <c r="S719" t="s">
        <v>168</v>
      </c>
      <c r="T719">
        <v>1</v>
      </c>
      <c r="U719" t="s">
        <v>145</v>
      </c>
      <c r="V719" t="s">
        <v>146</v>
      </c>
      <c r="W719">
        <v>2</v>
      </c>
    </row>
    <row r="720" spans="2:23" x14ac:dyDescent="0.3">
      <c r="B720">
        <v>716</v>
      </c>
      <c r="C720" t="s">
        <v>153</v>
      </c>
      <c r="D720">
        <v>30</v>
      </c>
      <c r="E720" t="s">
        <v>135</v>
      </c>
      <c r="F720" t="s">
        <v>165</v>
      </c>
      <c r="G720">
        <v>7596</v>
      </c>
      <c r="H720" t="s">
        <v>137</v>
      </c>
      <c r="I720" t="s">
        <v>138</v>
      </c>
      <c r="J720">
        <v>1</v>
      </c>
      <c r="K720" t="s">
        <v>139</v>
      </c>
      <c r="L720" t="s">
        <v>140</v>
      </c>
      <c r="M720">
        <v>4</v>
      </c>
      <c r="N720" t="s">
        <v>166</v>
      </c>
      <c r="O720">
        <v>63</v>
      </c>
      <c r="P720" t="s">
        <v>142</v>
      </c>
      <c r="Q720" t="s">
        <v>143</v>
      </c>
      <c r="R720">
        <v>2</v>
      </c>
      <c r="S720" t="s">
        <v>144</v>
      </c>
      <c r="T720">
        <v>1</v>
      </c>
      <c r="U720" t="s">
        <v>152</v>
      </c>
      <c r="V720" t="s">
        <v>146</v>
      </c>
      <c r="W720">
        <v>1</v>
      </c>
    </row>
    <row r="721" spans="2:23" x14ac:dyDescent="0.3">
      <c r="B721">
        <v>717</v>
      </c>
      <c r="C721" t="s">
        <v>153</v>
      </c>
      <c r="D721">
        <v>30</v>
      </c>
      <c r="E721" t="s">
        <v>135</v>
      </c>
      <c r="F721" t="s">
        <v>136</v>
      </c>
      <c r="G721">
        <v>3077</v>
      </c>
      <c r="H721" t="s">
        <v>137</v>
      </c>
      <c r="I721" t="s">
        <v>138</v>
      </c>
      <c r="J721">
        <v>3</v>
      </c>
      <c r="K721" t="s">
        <v>139</v>
      </c>
      <c r="L721" t="s">
        <v>140</v>
      </c>
      <c r="M721">
        <v>2</v>
      </c>
      <c r="N721" t="s">
        <v>166</v>
      </c>
      <c r="O721">
        <v>40</v>
      </c>
      <c r="P721" t="s">
        <v>142</v>
      </c>
      <c r="Q721" t="s">
        <v>143</v>
      </c>
      <c r="R721">
        <v>2</v>
      </c>
      <c r="S721" t="s">
        <v>144</v>
      </c>
      <c r="T721">
        <v>2</v>
      </c>
      <c r="U721" t="s">
        <v>145</v>
      </c>
      <c r="V721" t="s">
        <v>146</v>
      </c>
      <c r="W721">
        <v>1</v>
      </c>
    </row>
    <row r="722" spans="2:23" x14ac:dyDescent="0.3">
      <c r="B722">
        <v>718</v>
      </c>
      <c r="C722" t="s">
        <v>153</v>
      </c>
      <c r="D722">
        <v>18</v>
      </c>
      <c r="E722" t="s">
        <v>148</v>
      </c>
      <c r="F722" t="s">
        <v>136</v>
      </c>
      <c r="G722">
        <v>1505</v>
      </c>
      <c r="H722" t="s">
        <v>149</v>
      </c>
      <c r="I722" t="s">
        <v>150</v>
      </c>
      <c r="J722">
        <v>4</v>
      </c>
      <c r="K722" t="s">
        <v>139</v>
      </c>
      <c r="L722" t="s">
        <v>140</v>
      </c>
      <c r="M722">
        <v>2</v>
      </c>
      <c r="N722" t="s">
        <v>163</v>
      </c>
      <c r="O722">
        <v>32</v>
      </c>
      <c r="P722" t="s">
        <v>142</v>
      </c>
      <c r="Q722" t="s">
        <v>160</v>
      </c>
      <c r="R722">
        <v>1</v>
      </c>
      <c r="S722" t="s">
        <v>168</v>
      </c>
      <c r="T722">
        <v>1</v>
      </c>
      <c r="U722" t="s">
        <v>145</v>
      </c>
      <c r="V722" t="s">
        <v>146</v>
      </c>
      <c r="W722">
        <v>1</v>
      </c>
    </row>
    <row r="723" spans="2:23" x14ac:dyDescent="0.3">
      <c r="B723">
        <v>719</v>
      </c>
      <c r="C723" t="s">
        <v>179</v>
      </c>
      <c r="D723">
        <v>24</v>
      </c>
      <c r="E723" t="s">
        <v>135</v>
      </c>
      <c r="F723" t="s">
        <v>136</v>
      </c>
      <c r="G723">
        <v>3148</v>
      </c>
      <c r="H723" t="s">
        <v>137</v>
      </c>
      <c r="I723" t="s">
        <v>150</v>
      </c>
      <c r="J723">
        <v>3</v>
      </c>
      <c r="K723" t="s">
        <v>139</v>
      </c>
      <c r="L723" t="s">
        <v>140</v>
      </c>
      <c r="M723">
        <v>2</v>
      </c>
      <c r="N723" t="s">
        <v>166</v>
      </c>
      <c r="O723">
        <v>31</v>
      </c>
      <c r="P723" t="s">
        <v>142</v>
      </c>
      <c r="Q723" t="s">
        <v>143</v>
      </c>
      <c r="R723">
        <v>2</v>
      </c>
      <c r="S723" t="s">
        <v>144</v>
      </c>
      <c r="T723">
        <v>1</v>
      </c>
      <c r="U723" t="s">
        <v>145</v>
      </c>
      <c r="V723" t="s">
        <v>146</v>
      </c>
      <c r="W723">
        <v>1</v>
      </c>
    </row>
    <row r="724" spans="2:23" x14ac:dyDescent="0.3">
      <c r="B724">
        <v>720</v>
      </c>
      <c r="C724" t="s">
        <v>147</v>
      </c>
      <c r="D724">
        <v>20</v>
      </c>
      <c r="E724" t="s">
        <v>176</v>
      </c>
      <c r="F724" t="s">
        <v>165</v>
      </c>
      <c r="G724">
        <v>6148</v>
      </c>
      <c r="H724" t="s">
        <v>175</v>
      </c>
      <c r="I724" t="s">
        <v>138</v>
      </c>
      <c r="J724">
        <v>3</v>
      </c>
      <c r="K724" t="s">
        <v>172</v>
      </c>
      <c r="L724" t="s">
        <v>140</v>
      </c>
      <c r="M724">
        <v>4</v>
      </c>
      <c r="N724" t="s">
        <v>166</v>
      </c>
      <c r="O724">
        <v>31</v>
      </c>
      <c r="P724" t="s">
        <v>177</v>
      </c>
      <c r="Q724" t="s">
        <v>143</v>
      </c>
      <c r="R724">
        <v>2</v>
      </c>
      <c r="S724" t="s">
        <v>144</v>
      </c>
      <c r="T724">
        <v>1</v>
      </c>
      <c r="U724" t="s">
        <v>145</v>
      </c>
      <c r="V724" t="s">
        <v>146</v>
      </c>
      <c r="W724">
        <v>1</v>
      </c>
    </row>
    <row r="725" spans="2:23" x14ac:dyDescent="0.3">
      <c r="B725">
        <v>721</v>
      </c>
      <c r="C725" t="s">
        <v>179</v>
      </c>
      <c r="D725">
        <v>9</v>
      </c>
      <c r="E725" t="s">
        <v>176</v>
      </c>
      <c r="F725" t="s">
        <v>136</v>
      </c>
      <c r="G725">
        <v>1337</v>
      </c>
      <c r="H725" t="s">
        <v>149</v>
      </c>
      <c r="I725" t="s">
        <v>173</v>
      </c>
      <c r="J725">
        <v>4</v>
      </c>
      <c r="K725" t="s">
        <v>139</v>
      </c>
      <c r="L725" t="s">
        <v>140</v>
      </c>
      <c r="M725">
        <v>2</v>
      </c>
      <c r="N725" t="s">
        <v>166</v>
      </c>
      <c r="O725">
        <v>34</v>
      </c>
      <c r="P725" t="s">
        <v>142</v>
      </c>
      <c r="Q725" t="s">
        <v>143</v>
      </c>
      <c r="R725">
        <v>2</v>
      </c>
      <c r="S725" t="s">
        <v>168</v>
      </c>
      <c r="T725">
        <v>1</v>
      </c>
      <c r="U725" t="s">
        <v>145</v>
      </c>
      <c r="V725" t="s">
        <v>146</v>
      </c>
      <c r="W725">
        <v>2</v>
      </c>
    </row>
    <row r="726" spans="2:23" x14ac:dyDescent="0.3">
      <c r="B726">
        <v>722</v>
      </c>
      <c r="C726" t="s">
        <v>147</v>
      </c>
      <c r="D726">
        <v>6</v>
      </c>
      <c r="E726" t="s">
        <v>180</v>
      </c>
      <c r="F726" t="s">
        <v>154</v>
      </c>
      <c r="G726">
        <v>433</v>
      </c>
      <c r="H726" t="s">
        <v>169</v>
      </c>
      <c r="I726" t="s">
        <v>173</v>
      </c>
      <c r="J726">
        <v>4</v>
      </c>
      <c r="K726" t="s">
        <v>151</v>
      </c>
      <c r="L726" t="s">
        <v>140</v>
      </c>
      <c r="M726">
        <v>2</v>
      </c>
      <c r="N726" t="s">
        <v>159</v>
      </c>
      <c r="O726">
        <v>24</v>
      </c>
      <c r="P726" t="s">
        <v>177</v>
      </c>
      <c r="Q726" t="s">
        <v>167</v>
      </c>
      <c r="R726">
        <v>1</v>
      </c>
      <c r="S726" t="s">
        <v>144</v>
      </c>
      <c r="T726">
        <v>2</v>
      </c>
      <c r="U726" t="s">
        <v>152</v>
      </c>
      <c r="V726" t="s">
        <v>146</v>
      </c>
      <c r="W726">
        <v>2</v>
      </c>
    </row>
    <row r="727" spans="2:23" x14ac:dyDescent="0.3">
      <c r="B727">
        <v>723</v>
      </c>
      <c r="C727" t="s">
        <v>134</v>
      </c>
      <c r="D727">
        <v>12</v>
      </c>
      <c r="E727" t="s">
        <v>148</v>
      </c>
      <c r="F727" t="s">
        <v>162</v>
      </c>
      <c r="G727">
        <v>1228</v>
      </c>
      <c r="H727" t="s">
        <v>149</v>
      </c>
      <c r="I727" t="s">
        <v>150</v>
      </c>
      <c r="J727">
        <v>4</v>
      </c>
      <c r="K727" t="s">
        <v>151</v>
      </c>
      <c r="L727" t="s">
        <v>140</v>
      </c>
      <c r="M727">
        <v>2</v>
      </c>
      <c r="N727" t="s">
        <v>141</v>
      </c>
      <c r="O727">
        <v>24</v>
      </c>
      <c r="P727" t="s">
        <v>142</v>
      </c>
      <c r="Q727" t="s">
        <v>143</v>
      </c>
      <c r="R727">
        <v>1</v>
      </c>
      <c r="S727" t="s">
        <v>156</v>
      </c>
      <c r="T727">
        <v>1</v>
      </c>
      <c r="U727" t="s">
        <v>152</v>
      </c>
      <c r="V727" t="s">
        <v>146</v>
      </c>
      <c r="W727">
        <v>2</v>
      </c>
    </row>
    <row r="728" spans="2:23" x14ac:dyDescent="0.3">
      <c r="B728">
        <v>724</v>
      </c>
      <c r="C728" t="s">
        <v>147</v>
      </c>
      <c r="D728">
        <v>9</v>
      </c>
      <c r="E728" t="s">
        <v>148</v>
      </c>
      <c r="F728" t="s">
        <v>136</v>
      </c>
      <c r="G728">
        <v>790</v>
      </c>
      <c r="H728" t="s">
        <v>164</v>
      </c>
      <c r="I728" t="s">
        <v>150</v>
      </c>
      <c r="J728">
        <v>4</v>
      </c>
      <c r="K728" t="s">
        <v>151</v>
      </c>
      <c r="L728" t="s">
        <v>140</v>
      </c>
      <c r="M728">
        <v>3</v>
      </c>
      <c r="N728" t="s">
        <v>141</v>
      </c>
      <c r="O728">
        <v>66</v>
      </c>
      <c r="P728" t="s">
        <v>142</v>
      </c>
      <c r="Q728" t="s">
        <v>143</v>
      </c>
      <c r="R728">
        <v>1</v>
      </c>
      <c r="S728" t="s">
        <v>156</v>
      </c>
      <c r="T728">
        <v>1</v>
      </c>
      <c r="U728" t="s">
        <v>152</v>
      </c>
      <c r="V728" t="s">
        <v>146</v>
      </c>
      <c r="W728">
        <v>1</v>
      </c>
    </row>
    <row r="729" spans="2:23" x14ac:dyDescent="0.3">
      <c r="B729">
        <v>725</v>
      </c>
      <c r="C729" t="s">
        <v>153</v>
      </c>
      <c r="D729">
        <v>27</v>
      </c>
      <c r="E729" t="s">
        <v>148</v>
      </c>
      <c r="F729" t="s">
        <v>162</v>
      </c>
      <c r="G729">
        <v>2570</v>
      </c>
      <c r="H729" t="s">
        <v>149</v>
      </c>
      <c r="I729" t="s">
        <v>150</v>
      </c>
      <c r="J729">
        <v>3</v>
      </c>
      <c r="K729" t="s">
        <v>151</v>
      </c>
      <c r="L729" t="s">
        <v>140</v>
      </c>
      <c r="M729">
        <v>3</v>
      </c>
      <c r="N729" t="s">
        <v>141</v>
      </c>
      <c r="O729">
        <v>21</v>
      </c>
      <c r="P729" t="s">
        <v>142</v>
      </c>
      <c r="Q729" t="s">
        <v>167</v>
      </c>
      <c r="R729">
        <v>1</v>
      </c>
      <c r="S729" t="s">
        <v>144</v>
      </c>
      <c r="T729">
        <v>1</v>
      </c>
      <c r="U729" t="s">
        <v>152</v>
      </c>
      <c r="V729" t="s">
        <v>146</v>
      </c>
      <c r="W729">
        <v>2</v>
      </c>
    </row>
    <row r="730" spans="2:23" x14ac:dyDescent="0.3">
      <c r="B730">
        <v>726</v>
      </c>
      <c r="C730" t="s">
        <v>153</v>
      </c>
      <c r="D730">
        <v>6</v>
      </c>
      <c r="E730" t="s">
        <v>135</v>
      </c>
      <c r="F730" t="s">
        <v>162</v>
      </c>
      <c r="G730">
        <v>250</v>
      </c>
      <c r="H730" t="s">
        <v>169</v>
      </c>
      <c r="I730" t="s">
        <v>150</v>
      </c>
      <c r="J730">
        <v>2</v>
      </c>
      <c r="K730" t="s">
        <v>151</v>
      </c>
      <c r="L730" t="s">
        <v>140</v>
      </c>
      <c r="M730">
        <v>2</v>
      </c>
      <c r="N730" t="s">
        <v>141</v>
      </c>
      <c r="O730">
        <v>41</v>
      </c>
      <c r="P730" t="s">
        <v>177</v>
      </c>
      <c r="Q730" t="s">
        <v>143</v>
      </c>
      <c r="R730">
        <v>2</v>
      </c>
      <c r="S730" t="s">
        <v>156</v>
      </c>
      <c r="T730">
        <v>1</v>
      </c>
      <c r="U730" t="s">
        <v>152</v>
      </c>
      <c r="V730" t="s">
        <v>146</v>
      </c>
      <c r="W730">
        <v>1</v>
      </c>
    </row>
    <row r="731" spans="2:23" x14ac:dyDescent="0.3">
      <c r="B731">
        <v>727</v>
      </c>
      <c r="C731" t="s">
        <v>153</v>
      </c>
      <c r="D731">
        <v>15</v>
      </c>
      <c r="E731" t="s">
        <v>135</v>
      </c>
      <c r="F731" t="s">
        <v>136</v>
      </c>
      <c r="G731">
        <v>1316</v>
      </c>
      <c r="H731" t="s">
        <v>164</v>
      </c>
      <c r="I731" t="s">
        <v>150</v>
      </c>
      <c r="J731">
        <v>2</v>
      </c>
      <c r="K731" t="s">
        <v>172</v>
      </c>
      <c r="L731" t="s">
        <v>140</v>
      </c>
      <c r="M731">
        <v>2</v>
      </c>
      <c r="N731" t="s">
        <v>159</v>
      </c>
      <c r="O731">
        <v>47</v>
      </c>
      <c r="P731" t="s">
        <v>142</v>
      </c>
      <c r="Q731" t="s">
        <v>143</v>
      </c>
      <c r="R731">
        <v>2</v>
      </c>
      <c r="S731" t="s">
        <v>156</v>
      </c>
      <c r="T731">
        <v>1</v>
      </c>
      <c r="U731" t="s">
        <v>152</v>
      </c>
      <c r="V731" t="s">
        <v>146</v>
      </c>
      <c r="W731">
        <v>1</v>
      </c>
    </row>
    <row r="732" spans="2:23" x14ac:dyDescent="0.3">
      <c r="B732">
        <v>728</v>
      </c>
      <c r="C732" t="s">
        <v>134</v>
      </c>
      <c r="D732">
        <v>18</v>
      </c>
      <c r="E732" t="s">
        <v>148</v>
      </c>
      <c r="F732" t="s">
        <v>136</v>
      </c>
      <c r="G732">
        <v>1882</v>
      </c>
      <c r="H732" t="s">
        <v>149</v>
      </c>
      <c r="I732" t="s">
        <v>150</v>
      </c>
      <c r="J732">
        <v>4</v>
      </c>
      <c r="K732" t="s">
        <v>151</v>
      </c>
      <c r="L732" t="s">
        <v>140</v>
      </c>
      <c r="M732">
        <v>4</v>
      </c>
      <c r="N732" t="s">
        <v>166</v>
      </c>
      <c r="O732">
        <v>25</v>
      </c>
      <c r="P732" t="s">
        <v>177</v>
      </c>
      <c r="Q732" t="s">
        <v>167</v>
      </c>
      <c r="R732">
        <v>2</v>
      </c>
      <c r="S732" t="s">
        <v>144</v>
      </c>
      <c r="T732">
        <v>1</v>
      </c>
      <c r="U732" t="s">
        <v>152</v>
      </c>
      <c r="V732" t="s">
        <v>146</v>
      </c>
      <c r="W732">
        <v>2</v>
      </c>
    </row>
    <row r="733" spans="2:23" x14ac:dyDescent="0.3">
      <c r="B733">
        <v>729</v>
      </c>
      <c r="C733" t="s">
        <v>147</v>
      </c>
      <c r="D733">
        <v>48</v>
      </c>
      <c r="E733" t="s">
        <v>180</v>
      </c>
      <c r="F733" t="s">
        <v>174</v>
      </c>
      <c r="G733">
        <v>6416</v>
      </c>
      <c r="H733" t="s">
        <v>149</v>
      </c>
      <c r="I733" t="s">
        <v>138</v>
      </c>
      <c r="J733">
        <v>4</v>
      </c>
      <c r="K733" t="s">
        <v>151</v>
      </c>
      <c r="L733" t="s">
        <v>140</v>
      </c>
      <c r="M733">
        <v>3</v>
      </c>
      <c r="N733" t="s">
        <v>163</v>
      </c>
      <c r="O733">
        <v>59</v>
      </c>
      <c r="P733" t="s">
        <v>142</v>
      </c>
      <c r="Q733" t="s">
        <v>167</v>
      </c>
      <c r="R733">
        <v>1</v>
      </c>
      <c r="S733" t="s">
        <v>144</v>
      </c>
      <c r="T733">
        <v>1</v>
      </c>
      <c r="U733" t="s">
        <v>152</v>
      </c>
      <c r="V733" t="s">
        <v>146</v>
      </c>
      <c r="W733">
        <v>2</v>
      </c>
    </row>
    <row r="734" spans="2:23" x14ac:dyDescent="0.3">
      <c r="B734">
        <v>730</v>
      </c>
      <c r="C734" t="s">
        <v>179</v>
      </c>
      <c r="D734">
        <v>24</v>
      </c>
      <c r="E734" t="s">
        <v>135</v>
      </c>
      <c r="F734" t="s">
        <v>174</v>
      </c>
      <c r="G734">
        <v>1275</v>
      </c>
      <c r="H734" t="s">
        <v>169</v>
      </c>
      <c r="I734" t="s">
        <v>150</v>
      </c>
      <c r="J734">
        <v>2</v>
      </c>
      <c r="K734" t="s">
        <v>170</v>
      </c>
      <c r="L734" t="s">
        <v>140</v>
      </c>
      <c r="M734">
        <v>4</v>
      </c>
      <c r="N734" t="s">
        <v>141</v>
      </c>
      <c r="O734">
        <v>36</v>
      </c>
      <c r="P734" t="s">
        <v>142</v>
      </c>
      <c r="Q734" t="s">
        <v>143</v>
      </c>
      <c r="R734">
        <v>2</v>
      </c>
      <c r="S734" t="s">
        <v>144</v>
      </c>
      <c r="T734">
        <v>1</v>
      </c>
      <c r="U734" t="s">
        <v>145</v>
      </c>
      <c r="V734" t="s">
        <v>146</v>
      </c>
      <c r="W734">
        <v>1</v>
      </c>
    </row>
    <row r="735" spans="2:23" x14ac:dyDescent="0.3">
      <c r="B735">
        <v>731</v>
      </c>
      <c r="C735" t="s">
        <v>147</v>
      </c>
      <c r="D735">
        <v>24</v>
      </c>
      <c r="E735" t="s">
        <v>161</v>
      </c>
      <c r="F735" t="s">
        <v>136</v>
      </c>
      <c r="G735">
        <v>6403</v>
      </c>
      <c r="H735" t="s">
        <v>149</v>
      </c>
      <c r="I735" t="s">
        <v>173</v>
      </c>
      <c r="J735">
        <v>1</v>
      </c>
      <c r="K735" t="s">
        <v>139</v>
      </c>
      <c r="L735" t="s">
        <v>140</v>
      </c>
      <c r="M735">
        <v>2</v>
      </c>
      <c r="N735" t="s">
        <v>166</v>
      </c>
      <c r="O735">
        <v>33</v>
      </c>
      <c r="P735" t="s">
        <v>142</v>
      </c>
      <c r="Q735" t="s">
        <v>143</v>
      </c>
      <c r="R735">
        <v>1</v>
      </c>
      <c r="S735" t="s">
        <v>144</v>
      </c>
      <c r="T735">
        <v>1</v>
      </c>
      <c r="U735" t="s">
        <v>152</v>
      </c>
      <c r="V735" t="s">
        <v>146</v>
      </c>
      <c r="W735">
        <v>1</v>
      </c>
    </row>
    <row r="736" spans="2:23" x14ac:dyDescent="0.3">
      <c r="B736">
        <v>732</v>
      </c>
      <c r="C736" t="s">
        <v>134</v>
      </c>
      <c r="D736">
        <v>24</v>
      </c>
      <c r="E736" t="s">
        <v>148</v>
      </c>
      <c r="F736" t="s">
        <v>136</v>
      </c>
      <c r="G736">
        <v>1987</v>
      </c>
      <c r="H736" t="s">
        <v>149</v>
      </c>
      <c r="I736" t="s">
        <v>150</v>
      </c>
      <c r="J736">
        <v>2</v>
      </c>
      <c r="K736" t="s">
        <v>139</v>
      </c>
      <c r="L736" t="s">
        <v>140</v>
      </c>
      <c r="M736">
        <v>4</v>
      </c>
      <c r="N736" t="s">
        <v>141</v>
      </c>
      <c r="O736">
        <v>21</v>
      </c>
      <c r="P736" t="s">
        <v>142</v>
      </c>
      <c r="Q736" t="s">
        <v>167</v>
      </c>
      <c r="R736">
        <v>1</v>
      </c>
      <c r="S736" t="s">
        <v>156</v>
      </c>
      <c r="T736">
        <v>2</v>
      </c>
      <c r="U736" t="s">
        <v>152</v>
      </c>
      <c r="V736" t="s">
        <v>146</v>
      </c>
      <c r="W736">
        <v>2</v>
      </c>
    </row>
    <row r="737" spans="2:23" x14ac:dyDescent="0.3">
      <c r="B737">
        <v>733</v>
      </c>
      <c r="C737" t="s">
        <v>147</v>
      </c>
      <c r="D737">
        <v>8</v>
      </c>
      <c r="E737" t="s">
        <v>148</v>
      </c>
      <c r="F737" t="s">
        <v>136</v>
      </c>
      <c r="G737">
        <v>760</v>
      </c>
      <c r="H737" t="s">
        <v>149</v>
      </c>
      <c r="I737" t="s">
        <v>155</v>
      </c>
      <c r="J737">
        <v>4</v>
      </c>
      <c r="K737" t="s">
        <v>151</v>
      </c>
      <c r="L737" t="s">
        <v>158</v>
      </c>
      <c r="M737">
        <v>2</v>
      </c>
      <c r="N737" t="s">
        <v>141</v>
      </c>
      <c r="O737">
        <v>44</v>
      </c>
      <c r="P737" t="s">
        <v>142</v>
      </c>
      <c r="Q737" t="s">
        <v>143</v>
      </c>
      <c r="R737">
        <v>1</v>
      </c>
      <c r="S737" t="s">
        <v>156</v>
      </c>
      <c r="T737">
        <v>1</v>
      </c>
      <c r="U737" t="s">
        <v>152</v>
      </c>
      <c r="V737" t="s">
        <v>146</v>
      </c>
      <c r="W737">
        <v>1</v>
      </c>
    </row>
    <row r="738" spans="2:23" x14ac:dyDescent="0.3">
      <c r="B738">
        <v>734</v>
      </c>
      <c r="C738" t="s">
        <v>153</v>
      </c>
      <c r="D738">
        <v>24</v>
      </c>
      <c r="E738" t="s">
        <v>148</v>
      </c>
      <c r="F738" t="s">
        <v>165</v>
      </c>
      <c r="G738">
        <v>2603</v>
      </c>
      <c r="H738" t="s">
        <v>169</v>
      </c>
      <c r="I738" t="s">
        <v>150</v>
      </c>
      <c r="J738">
        <v>2</v>
      </c>
      <c r="K738" t="s">
        <v>151</v>
      </c>
      <c r="L738" t="s">
        <v>140</v>
      </c>
      <c r="M738">
        <v>4</v>
      </c>
      <c r="N738" t="s">
        <v>166</v>
      </c>
      <c r="O738">
        <v>28</v>
      </c>
      <c r="P738" t="s">
        <v>142</v>
      </c>
      <c r="Q738" t="s">
        <v>167</v>
      </c>
      <c r="R738">
        <v>1</v>
      </c>
      <c r="S738" t="s">
        <v>144</v>
      </c>
      <c r="T738">
        <v>1</v>
      </c>
      <c r="U738" t="s">
        <v>145</v>
      </c>
      <c r="V738" t="s">
        <v>146</v>
      </c>
      <c r="W738">
        <v>1</v>
      </c>
    </row>
    <row r="739" spans="2:23" x14ac:dyDescent="0.3">
      <c r="B739">
        <v>735</v>
      </c>
      <c r="C739" t="s">
        <v>153</v>
      </c>
      <c r="D739">
        <v>4</v>
      </c>
      <c r="E739" t="s">
        <v>135</v>
      </c>
      <c r="F739" t="s">
        <v>162</v>
      </c>
      <c r="G739">
        <v>3380</v>
      </c>
      <c r="H739" t="s">
        <v>149</v>
      </c>
      <c r="I739" t="s">
        <v>155</v>
      </c>
      <c r="J739">
        <v>1</v>
      </c>
      <c r="K739" t="s">
        <v>151</v>
      </c>
      <c r="L739" t="s">
        <v>140</v>
      </c>
      <c r="M739">
        <v>1</v>
      </c>
      <c r="N739" t="s">
        <v>141</v>
      </c>
      <c r="O739">
        <v>37</v>
      </c>
      <c r="P739" t="s">
        <v>142</v>
      </c>
      <c r="Q739" t="s">
        <v>143</v>
      </c>
      <c r="R739">
        <v>1</v>
      </c>
      <c r="S739" t="s">
        <v>144</v>
      </c>
      <c r="T739">
        <v>2</v>
      </c>
      <c r="U739" t="s">
        <v>152</v>
      </c>
      <c r="V739" t="s">
        <v>146</v>
      </c>
      <c r="W739">
        <v>1</v>
      </c>
    </row>
    <row r="740" spans="2:23" x14ac:dyDescent="0.3">
      <c r="B740">
        <v>736</v>
      </c>
      <c r="C740" t="s">
        <v>147</v>
      </c>
      <c r="D740">
        <v>36</v>
      </c>
      <c r="E740" t="s">
        <v>180</v>
      </c>
      <c r="F740" t="s">
        <v>183</v>
      </c>
      <c r="G740">
        <v>3990</v>
      </c>
      <c r="H740" t="s">
        <v>137</v>
      </c>
      <c r="I740" t="s">
        <v>173</v>
      </c>
      <c r="J740">
        <v>3</v>
      </c>
      <c r="K740" t="s">
        <v>151</v>
      </c>
      <c r="L740" t="s">
        <v>140</v>
      </c>
      <c r="M740">
        <v>2</v>
      </c>
      <c r="N740" t="s">
        <v>163</v>
      </c>
      <c r="O740">
        <v>29</v>
      </c>
      <c r="P740" t="s">
        <v>177</v>
      </c>
      <c r="Q740" t="s">
        <v>143</v>
      </c>
      <c r="R740">
        <v>1</v>
      </c>
      <c r="S740" t="s">
        <v>185</v>
      </c>
      <c r="T740">
        <v>1</v>
      </c>
      <c r="U740" t="s">
        <v>152</v>
      </c>
      <c r="V740" t="s">
        <v>146</v>
      </c>
      <c r="W740">
        <v>1</v>
      </c>
    </row>
    <row r="741" spans="2:23" x14ac:dyDescent="0.3">
      <c r="B741">
        <v>737</v>
      </c>
      <c r="C741" t="s">
        <v>147</v>
      </c>
      <c r="D741">
        <v>24</v>
      </c>
      <c r="E741" t="s">
        <v>148</v>
      </c>
      <c r="F741" t="s">
        <v>165</v>
      </c>
      <c r="G741">
        <v>11560</v>
      </c>
      <c r="H741" t="s">
        <v>149</v>
      </c>
      <c r="I741" t="s">
        <v>150</v>
      </c>
      <c r="J741">
        <v>1</v>
      </c>
      <c r="K741" t="s">
        <v>151</v>
      </c>
      <c r="L741" t="s">
        <v>140</v>
      </c>
      <c r="M741">
        <v>4</v>
      </c>
      <c r="N741" t="s">
        <v>166</v>
      </c>
      <c r="O741">
        <v>23</v>
      </c>
      <c r="P741" t="s">
        <v>142</v>
      </c>
      <c r="Q741" t="s">
        <v>167</v>
      </c>
      <c r="R741">
        <v>2</v>
      </c>
      <c r="S741" t="s">
        <v>168</v>
      </c>
      <c r="T741">
        <v>1</v>
      </c>
      <c r="U741" t="s">
        <v>152</v>
      </c>
      <c r="V741" t="s">
        <v>146</v>
      </c>
      <c r="W741">
        <v>2</v>
      </c>
    </row>
    <row r="742" spans="2:23" x14ac:dyDescent="0.3">
      <c r="B742">
        <v>738</v>
      </c>
      <c r="C742" t="s">
        <v>134</v>
      </c>
      <c r="D742">
        <v>18</v>
      </c>
      <c r="E742" t="s">
        <v>148</v>
      </c>
      <c r="F742" t="s">
        <v>162</v>
      </c>
      <c r="G742">
        <v>4380</v>
      </c>
      <c r="H742" t="s">
        <v>175</v>
      </c>
      <c r="I742" t="s">
        <v>150</v>
      </c>
      <c r="J742">
        <v>3</v>
      </c>
      <c r="K742" t="s">
        <v>139</v>
      </c>
      <c r="L742" t="s">
        <v>140</v>
      </c>
      <c r="M742">
        <v>4</v>
      </c>
      <c r="N742" t="s">
        <v>166</v>
      </c>
      <c r="O742">
        <v>35</v>
      </c>
      <c r="P742" t="s">
        <v>142</v>
      </c>
      <c r="Q742" t="s">
        <v>143</v>
      </c>
      <c r="R742">
        <v>1</v>
      </c>
      <c r="S742" t="s">
        <v>156</v>
      </c>
      <c r="T742">
        <v>2</v>
      </c>
      <c r="U742" t="s">
        <v>145</v>
      </c>
      <c r="V742" t="s">
        <v>146</v>
      </c>
      <c r="W742">
        <v>1</v>
      </c>
    </row>
    <row r="743" spans="2:23" x14ac:dyDescent="0.3">
      <c r="B743">
        <v>739</v>
      </c>
      <c r="C743" t="s">
        <v>153</v>
      </c>
      <c r="D743">
        <v>6</v>
      </c>
      <c r="E743" t="s">
        <v>135</v>
      </c>
      <c r="F743" t="s">
        <v>162</v>
      </c>
      <c r="G743">
        <v>6761</v>
      </c>
      <c r="H743" t="s">
        <v>149</v>
      </c>
      <c r="I743" t="s">
        <v>155</v>
      </c>
      <c r="J743">
        <v>1</v>
      </c>
      <c r="K743" t="s">
        <v>139</v>
      </c>
      <c r="L743" t="s">
        <v>140</v>
      </c>
      <c r="M743">
        <v>3</v>
      </c>
      <c r="N743" t="s">
        <v>163</v>
      </c>
      <c r="O743">
        <v>45</v>
      </c>
      <c r="P743" t="s">
        <v>142</v>
      </c>
      <c r="Q743" t="s">
        <v>143</v>
      </c>
      <c r="R743">
        <v>2</v>
      </c>
      <c r="S743" t="s">
        <v>168</v>
      </c>
      <c r="T743">
        <v>2</v>
      </c>
      <c r="U743" t="s">
        <v>145</v>
      </c>
      <c r="V743" t="s">
        <v>146</v>
      </c>
      <c r="W743">
        <v>1</v>
      </c>
    </row>
    <row r="744" spans="2:23" x14ac:dyDescent="0.3">
      <c r="B744">
        <v>740</v>
      </c>
      <c r="C744" t="s">
        <v>147</v>
      </c>
      <c r="D744">
        <v>30</v>
      </c>
      <c r="E744" t="s">
        <v>176</v>
      </c>
      <c r="F744" t="s">
        <v>174</v>
      </c>
      <c r="G744">
        <v>4280</v>
      </c>
      <c r="H744" t="s">
        <v>175</v>
      </c>
      <c r="I744" t="s">
        <v>150</v>
      </c>
      <c r="J744">
        <v>4</v>
      </c>
      <c r="K744" t="s">
        <v>151</v>
      </c>
      <c r="L744" t="s">
        <v>140</v>
      </c>
      <c r="M744">
        <v>4</v>
      </c>
      <c r="N744" t="s">
        <v>166</v>
      </c>
      <c r="O744">
        <v>26</v>
      </c>
      <c r="P744" t="s">
        <v>142</v>
      </c>
      <c r="Q744" t="s">
        <v>167</v>
      </c>
      <c r="R744">
        <v>2</v>
      </c>
      <c r="S744" t="s">
        <v>156</v>
      </c>
      <c r="T744">
        <v>1</v>
      </c>
      <c r="U744" t="s">
        <v>152</v>
      </c>
      <c r="V744" t="s">
        <v>146</v>
      </c>
      <c r="W744">
        <v>2</v>
      </c>
    </row>
    <row r="745" spans="2:23" x14ac:dyDescent="0.3">
      <c r="B745">
        <v>741</v>
      </c>
      <c r="C745" t="s">
        <v>134</v>
      </c>
      <c r="D745">
        <v>24</v>
      </c>
      <c r="E745" t="s">
        <v>180</v>
      </c>
      <c r="F745" t="s">
        <v>162</v>
      </c>
      <c r="G745">
        <v>2325</v>
      </c>
      <c r="H745" t="s">
        <v>175</v>
      </c>
      <c r="I745" t="s">
        <v>155</v>
      </c>
      <c r="J745">
        <v>2</v>
      </c>
      <c r="K745" t="s">
        <v>139</v>
      </c>
      <c r="L745" t="s">
        <v>140</v>
      </c>
      <c r="M745">
        <v>3</v>
      </c>
      <c r="N745" t="s">
        <v>166</v>
      </c>
      <c r="O745">
        <v>32</v>
      </c>
      <c r="P745" t="s">
        <v>177</v>
      </c>
      <c r="Q745" t="s">
        <v>143</v>
      </c>
      <c r="R745">
        <v>1</v>
      </c>
      <c r="S745" t="s">
        <v>144</v>
      </c>
      <c r="T745">
        <v>1</v>
      </c>
      <c r="U745" t="s">
        <v>152</v>
      </c>
      <c r="V745" t="s">
        <v>146</v>
      </c>
      <c r="W745">
        <v>1</v>
      </c>
    </row>
    <row r="746" spans="2:23" x14ac:dyDescent="0.3">
      <c r="B746">
        <v>742</v>
      </c>
      <c r="C746" t="s">
        <v>147</v>
      </c>
      <c r="D746">
        <v>10</v>
      </c>
      <c r="E746" t="s">
        <v>180</v>
      </c>
      <c r="F746" t="s">
        <v>136</v>
      </c>
      <c r="G746">
        <v>1048</v>
      </c>
      <c r="H746" t="s">
        <v>149</v>
      </c>
      <c r="I746" t="s">
        <v>150</v>
      </c>
      <c r="J746">
        <v>4</v>
      </c>
      <c r="K746" t="s">
        <v>139</v>
      </c>
      <c r="L746" t="s">
        <v>140</v>
      </c>
      <c r="M746">
        <v>4</v>
      </c>
      <c r="N746" t="s">
        <v>141</v>
      </c>
      <c r="O746">
        <v>23</v>
      </c>
      <c r="P746" t="s">
        <v>181</v>
      </c>
      <c r="Q746" t="s">
        <v>143</v>
      </c>
      <c r="R746">
        <v>1</v>
      </c>
      <c r="S746" t="s">
        <v>156</v>
      </c>
      <c r="T746">
        <v>1</v>
      </c>
      <c r="U746" t="s">
        <v>152</v>
      </c>
      <c r="V746" t="s">
        <v>146</v>
      </c>
      <c r="W746">
        <v>1</v>
      </c>
    </row>
    <row r="747" spans="2:23" x14ac:dyDescent="0.3">
      <c r="B747">
        <v>743</v>
      </c>
      <c r="C747" t="s">
        <v>153</v>
      </c>
      <c r="D747">
        <v>21</v>
      </c>
      <c r="E747" t="s">
        <v>148</v>
      </c>
      <c r="F747" t="s">
        <v>136</v>
      </c>
      <c r="G747">
        <v>3160</v>
      </c>
      <c r="H747" t="s">
        <v>137</v>
      </c>
      <c r="I747" t="s">
        <v>138</v>
      </c>
      <c r="J747">
        <v>4</v>
      </c>
      <c r="K747" t="s">
        <v>139</v>
      </c>
      <c r="L747" t="s">
        <v>140</v>
      </c>
      <c r="M747">
        <v>3</v>
      </c>
      <c r="N747" t="s">
        <v>159</v>
      </c>
      <c r="O747">
        <v>41</v>
      </c>
      <c r="P747" t="s">
        <v>142</v>
      </c>
      <c r="Q747" t="s">
        <v>143</v>
      </c>
      <c r="R747">
        <v>1</v>
      </c>
      <c r="S747" t="s">
        <v>144</v>
      </c>
      <c r="T747">
        <v>1</v>
      </c>
      <c r="U747" t="s">
        <v>145</v>
      </c>
      <c r="V747" t="s">
        <v>146</v>
      </c>
      <c r="W747">
        <v>1</v>
      </c>
    </row>
    <row r="748" spans="2:23" x14ac:dyDescent="0.3">
      <c r="B748">
        <v>744</v>
      </c>
      <c r="C748" t="s">
        <v>134</v>
      </c>
      <c r="D748">
        <v>24</v>
      </c>
      <c r="E748" t="s">
        <v>180</v>
      </c>
      <c r="F748" t="s">
        <v>157</v>
      </c>
      <c r="G748">
        <v>2483</v>
      </c>
      <c r="H748" t="s">
        <v>164</v>
      </c>
      <c r="I748" t="s">
        <v>150</v>
      </c>
      <c r="J748">
        <v>4</v>
      </c>
      <c r="K748" t="s">
        <v>139</v>
      </c>
      <c r="L748" t="s">
        <v>140</v>
      </c>
      <c r="M748">
        <v>4</v>
      </c>
      <c r="N748" t="s">
        <v>141</v>
      </c>
      <c r="O748">
        <v>22</v>
      </c>
      <c r="P748" t="s">
        <v>181</v>
      </c>
      <c r="Q748" t="s">
        <v>143</v>
      </c>
      <c r="R748">
        <v>1</v>
      </c>
      <c r="S748" t="s">
        <v>144</v>
      </c>
      <c r="T748">
        <v>1</v>
      </c>
      <c r="U748" t="s">
        <v>145</v>
      </c>
      <c r="V748" t="s">
        <v>146</v>
      </c>
      <c r="W748">
        <v>1</v>
      </c>
    </row>
    <row r="749" spans="2:23" x14ac:dyDescent="0.3">
      <c r="B749">
        <v>745</v>
      </c>
      <c r="C749" t="s">
        <v>134</v>
      </c>
      <c r="D749">
        <v>39</v>
      </c>
      <c r="E749" t="s">
        <v>135</v>
      </c>
      <c r="F749" t="s">
        <v>157</v>
      </c>
      <c r="G749">
        <v>14179</v>
      </c>
      <c r="H749" t="s">
        <v>137</v>
      </c>
      <c r="I749" t="s">
        <v>155</v>
      </c>
      <c r="J749">
        <v>4</v>
      </c>
      <c r="K749" t="s">
        <v>139</v>
      </c>
      <c r="L749" t="s">
        <v>140</v>
      </c>
      <c r="M749">
        <v>4</v>
      </c>
      <c r="N749" t="s">
        <v>159</v>
      </c>
      <c r="O749">
        <v>30</v>
      </c>
      <c r="P749" t="s">
        <v>142</v>
      </c>
      <c r="Q749" t="s">
        <v>143</v>
      </c>
      <c r="R749">
        <v>2</v>
      </c>
      <c r="S749" t="s">
        <v>168</v>
      </c>
      <c r="T749">
        <v>1</v>
      </c>
      <c r="U749" t="s">
        <v>145</v>
      </c>
      <c r="V749" t="s">
        <v>146</v>
      </c>
      <c r="W749">
        <v>1</v>
      </c>
    </row>
    <row r="750" spans="2:23" x14ac:dyDescent="0.3">
      <c r="B750">
        <v>746</v>
      </c>
      <c r="C750" t="s">
        <v>134</v>
      </c>
      <c r="D750">
        <v>13</v>
      </c>
      <c r="E750" t="s">
        <v>135</v>
      </c>
      <c r="F750" t="s">
        <v>174</v>
      </c>
      <c r="G750">
        <v>1797</v>
      </c>
      <c r="H750" t="s">
        <v>149</v>
      </c>
      <c r="I750" t="s">
        <v>173</v>
      </c>
      <c r="J750">
        <v>3</v>
      </c>
      <c r="K750" t="s">
        <v>139</v>
      </c>
      <c r="L750" t="s">
        <v>140</v>
      </c>
      <c r="M750">
        <v>1</v>
      </c>
      <c r="N750" t="s">
        <v>159</v>
      </c>
      <c r="O750">
        <v>28</v>
      </c>
      <c r="P750" t="s">
        <v>177</v>
      </c>
      <c r="Q750" t="s">
        <v>143</v>
      </c>
      <c r="R750">
        <v>2</v>
      </c>
      <c r="S750" t="s">
        <v>156</v>
      </c>
      <c r="T750">
        <v>1</v>
      </c>
      <c r="U750" t="s">
        <v>152</v>
      </c>
      <c r="V750" t="s">
        <v>146</v>
      </c>
      <c r="W750">
        <v>1</v>
      </c>
    </row>
    <row r="751" spans="2:23" x14ac:dyDescent="0.3">
      <c r="B751">
        <v>747</v>
      </c>
      <c r="C751" t="s">
        <v>134</v>
      </c>
      <c r="D751">
        <v>15</v>
      </c>
      <c r="E751" t="s">
        <v>148</v>
      </c>
      <c r="F751" t="s">
        <v>162</v>
      </c>
      <c r="G751">
        <v>2511</v>
      </c>
      <c r="H751" t="s">
        <v>149</v>
      </c>
      <c r="I751" t="s">
        <v>171</v>
      </c>
      <c r="J751">
        <v>1</v>
      </c>
      <c r="K751" t="s">
        <v>151</v>
      </c>
      <c r="L751" t="s">
        <v>140</v>
      </c>
      <c r="M751">
        <v>4</v>
      </c>
      <c r="N751" t="s">
        <v>166</v>
      </c>
      <c r="O751">
        <v>23</v>
      </c>
      <c r="P751" t="s">
        <v>142</v>
      </c>
      <c r="Q751" t="s">
        <v>167</v>
      </c>
      <c r="R751">
        <v>1</v>
      </c>
      <c r="S751" t="s">
        <v>144</v>
      </c>
      <c r="T751">
        <v>1</v>
      </c>
      <c r="U751" t="s">
        <v>152</v>
      </c>
      <c r="V751" t="s">
        <v>146</v>
      </c>
      <c r="W751">
        <v>1</v>
      </c>
    </row>
    <row r="752" spans="2:23" x14ac:dyDescent="0.3">
      <c r="B752">
        <v>748</v>
      </c>
      <c r="C752" t="s">
        <v>134</v>
      </c>
      <c r="D752">
        <v>12</v>
      </c>
      <c r="E752" t="s">
        <v>148</v>
      </c>
      <c r="F752" t="s">
        <v>162</v>
      </c>
      <c r="G752">
        <v>1274</v>
      </c>
      <c r="H752" t="s">
        <v>149</v>
      </c>
      <c r="I752" t="s">
        <v>173</v>
      </c>
      <c r="J752">
        <v>3</v>
      </c>
      <c r="K752" t="s">
        <v>151</v>
      </c>
      <c r="L752" t="s">
        <v>140</v>
      </c>
      <c r="M752">
        <v>1</v>
      </c>
      <c r="N752" t="s">
        <v>141</v>
      </c>
      <c r="O752">
        <v>37</v>
      </c>
      <c r="P752" t="s">
        <v>142</v>
      </c>
      <c r="Q752" t="s">
        <v>143</v>
      </c>
      <c r="R752">
        <v>1</v>
      </c>
      <c r="S752" t="s">
        <v>156</v>
      </c>
      <c r="T752">
        <v>1</v>
      </c>
      <c r="U752" t="s">
        <v>152</v>
      </c>
      <c r="V752" t="s">
        <v>146</v>
      </c>
      <c r="W752">
        <v>2</v>
      </c>
    </row>
    <row r="753" spans="2:23" x14ac:dyDescent="0.3">
      <c r="B753">
        <v>749</v>
      </c>
      <c r="C753" t="s">
        <v>153</v>
      </c>
      <c r="D753">
        <v>21</v>
      </c>
      <c r="E753" t="s">
        <v>148</v>
      </c>
      <c r="F753" t="s">
        <v>165</v>
      </c>
      <c r="G753">
        <v>5248</v>
      </c>
      <c r="H753" t="s">
        <v>137</v>
      </c>
      <c r="I753" t="s">
        <v>150</v>
      </c>
      <c r="J753">
        <v>1</v>
      </c>
      <c r="K753" t="s">
        <v>139</v>
      </c>
      <c r="L753" t="s">
        <v>140</v>
      </c>
      <c r="M753">
        <v>3</v>
      </c>
      <c r="N753" t="s">
        <v>166</v>
      </c>
      <c r="O753">
        <v>26</v>
      </c>
      <c r="P753" t="s">
        <v>142</v>
      </c>
      <c r="Q753" t="s">
        <v>143</v>
      </c>
      <c r="R753">
        <v>1</v>
      </c>
      <c r="S753" t="s">
        <v>144</v>
      </c>
      <c r="T753">
        <v>1</v>
      </c>
      <c r="U753" t="s">
        <v>152</v>
      </c>
      <c r="V753" t="s">
        <v>146</v>
      </c>
      <c r="W753">
        <v>1</v>
      </c>
    </row>
    <row r="754" spans="2:23" x14ac:dyDescent="0.3">
      <c r="B754">
        <v>750</v>
      </c>
      <c r="C754" t="s">
        <v>153</v>
      </c>
      <c r="D754">
        <v>15</v>
      </c>
      <c r="E754" t="s">
        <v>148</v>
      </c>
      <c r="F754" t="s">
        <v>165</v>
      </c>
      <c r="G754">
        <v>3029</v>
      </c>
      <c r="H754" t="s">
        <v>149</v>
      </c>
      <c r="I754" t="s">
        <v>155</v>
      </c>
      <c r="J754">
        <v>2</v>
      </c>
      <c r="K754" t="s">
        <v>139</v>
      </c>
      <c r="L754" t="s">
        <v>140</v>
      </c>
      <c r="M754">
        <v>2</v>
      </c>
      <c r="N754" t="s">
        <v>166</v>
      </c>
      <c r="O754">
        <v>33</v>
      </c>
      <c r="P754" t="s">
        <v>142</v>
      </c>
      <c r="Q754" t="s">
        <v>143</v>
      </c>
      <c r="R754">
        <v>1</v>
      </c>
      <c r="S754" t="s">
        <v>144</v>
      </c>
      <c r="T754">
        <v>1</v>
      </c>
      <c r="U754" t="s">
        <v>152</v>
      </c>
      <c r="V754" t="s">
        <v>146</v>
      </c>
      <c r="W754">
        <v>1</v>
      </c>
    </row>
    <row r="755" spans="2:23" x14ac:dyDescent="0.3">
      <c r="B755">
        <v>751</v>
      </c>
      <c r="C755" t="s">
        <v>134</v>
      </c>
      <c r="D755">
        <v>6</v>
      </c>
      <c r="E755" t="s">
        <v>148</v>
      </c>
      <c r="F755" t="s">
        <v>157</v>
      </c>
      <c r="G755">
        <v>428</v>
      </c>
      <c r="H755" t="s">
        <v>149</v>
      </c>
      <c r="I755" t="s">
        <v>138</v>
      </c>
      <c r="J755">
        <v>2</v>
      </c>
      <c r="K755" t="s">
        <v>151</v>
      </c>
      <c r="L755" t="s">
        <v>140</v>
      </c>
      <c r="M755">
        <v>1</v>
      </c>
      <c r="N755" t="s">
        <v>159</v>
      </c>
      <c r="O755">
        <v>49</v>
      </c>
      <c r="P755" t="s">
        <v>177</v>
      </c>
      <c r="Q755" t="s">
        <v>143</v>
      </c>
      <c r="R755">
        <v>1</v>
      </c>
      <c r="S755" t="s">
        <v>144</v>
      </c>
      <c r="T755">
        <v>1</v>
      </c>
      <c r="U755" t="s">
        <v>145</v>
      </c>
      <c r="V755" t="s">
        <v>146</v>
      </c>
      <c r="W755">
        <v>1</v>
      </c>
    </row>
    <row r="756" spans="2:23" x14ac:dyDescent="0.3">
      <c r="B756">
        <v>752</v>
      </c>
      <c r="C756" t="s">
        <v>134</v>
      </c>
      <c r="D756">
        <v>18</v>
      </c>
      <c r="E756" t="s">
        <v>148</v>
      </c>
      <c r="F756" t="s">
        <v>162</v>
      </c>
      <c r="G756">
        <v>976</v>
      </c>
      <c r="H756" t="s">
        <v>149</v>
      </c>
      <c r="I756" t="s">
        <v>173</v>
      </c>
      <c r="J756">
        <v>1</v>
      </c>
      <c r="K756" t="s">
        <v>151</v>
      </c>
      <c r="L756" t="s">
        <v>140</v>
      </c>
      <c r="M756">
        <v>2</v>
      </c>
      <c r="N756" t="s">
        <v>166</v>
      </c>
      <c r="O756">
        <v>23</v>
      </c>
      <c r="P756" t="s">
        <v>142</v>
      </c>
      <c r="Q756" t="s">
        <v>143</v>
      </c>
      <c r="R756">
        <v>1</v>
      </c>
      <c r="S756" t="s">
        <v>156</v>
      </c>
      <c r="T756">
        <v>1</v>
      </c>
      <c r="U756" t="s">
        <v>152</v>
      </c>
      <c r="V756" t="s">
        <v>146</v>
      </c>
      <c r="W756">
        <v>2</v>
      </c>
    </row>
    <row r="757" spans="2:23" x14ac:dyDescent="0.3">
      <c r="B757">
        <v>753</v>
      </c>
      <c r="C757" t="s">
        <v>147</v>
      </c>
      <c r="D757">
        <v>12</v>
      </c>
      <c r="E757" t="s">
        <v>148</v>
      </c>
      <c r="F757" t="s">
        <v>174</v>
      </c>
      <c r="G757">
        <v>841</v>
      </c>
      <c r="H757" t="s">
        <v>175</v>
      </c>
      <c r="I757" t="s">
        <v>155</v>
      </c>
      <c r="J757">
        <v>2</v>
      </c>
      <c r="K757" t="s">
        <v>151</v>
      </c>
      <c r="L757" t="s">
        <v>140</v>
      </c>
      <c r="M757">
        <v>4</v>
      </c>
      <c r="N757" t="s">
        <v>141</v>
      </c>
      <c r="O757">
        <v>23</v>
      </c>
      <c r="P757" t="s">
        <v>142</v>
      </c>
      <c r="Q757" t="s">
        <v>167</v>
      </c>
      <c r="R757">
        <v>1</v>
      </c>
      <c r="S757" t="s">
        <v>156</v>
      </c>
      <c r="T757">
        <v>1</v>
      </c>
      <c r="U757" t="s">
        <v>152</v>
      </c>
      <c r="V757" t="s">
        <v>146</v>
      </c>
      <c r="W757">
        <v>1</v>
      </c>
    </row>
    <row r="758" spans="2:23" x14ac:dyDescent="0.3">
      <c r="B758">
        <v>754</v>
      </c>
      <c r="C758" t="s">
        <v>153</v>
      </c>
      <c r="D758">
        <v>30</v>
      </c>
      <c r="E758" t="s">
        <v>135</v>
      </c>
      <c r="F758" t="s">
        <v>136</v>
      </c>
      <c r="G758">
        <v>5771</v>
      </c>
      <c r="H758" t="s">
        <v>149</v>
      </c>
      <c r="I758" t="s">
        <v>155</v>
      </c>
      <c r="J758">
        <v>4</v>
      </c>
      <c r="K758" t="s">
        <v>151</v>
      </c>
      <c r="L758" t="s">
        <v>140</v>
      </c>
      <c r="M758">
        <v>2</v>
      </c>
      <c r="N758" t="s">
        <v>166</v>
      </c>
      <c r="O758">
        <v>25</v>
      </c>
      <c r="P758" t="s">
        <v>142</v>
      </c>
      <c r="Q758" t="s">
        <v>143</v>
      </c>
      <c r="R758">
        <v>2</v>
      </c>
      <c r="S758" t="s">
        <v>144</v>
      </c>
      <c r="T758">
        <v>1</v>
      </c>
      <c r="U758" t="s">
        <v>152</v>
      </c>
      <c r="V758" t="s">
        <v>146</v>
      </c>
      <c r="W758">
        <v>1</v>
      </c>
    </row>
    <row r="759" spans="2:23" x14ac:dyDescent="0.3">
      <c r="B759">
        <v>755</v>
      </c>
      <c r="C759" t="s">
        <v>153</v>
      </c>
      <c r="D759">
        <v>12</v>
      </c>
      <c r="E759" t="s">
        <v>161</v>
      </c>
      <c r="F759" t="s">
        <v>184</v>
      </c>
      <c r="G759">
        <v>1555</v>
      </c>
      <c r="H759" t="s">
        <v>169</v>
      </c>
      <c r="I759" t="s">
        <v>138</v>
      </c>
      <c r="J759">
        <v>4</v>
      </c>
      <c r="K759" t="s">
        <v>139</v>
      </c>
      <c r="L759" t="s">
        <v>140</v>
      </c>
      <c r="M759">
        <v>4</v>
      </c>
      <c r="N759" t="s">
        <v>163</v>
      </c>
      <c r="O759">
        <v>55</v>
      </c>
      <c r="P759" t="s">
        <v>142</v>
      </c>
      <c r="Q759" t="s">
        <v>160</v>
      </c>
      <c r="R759">
        <v>2</v>
      </c>
      <c r="S759" t="s">
        <v>144</v>
      </c>
      <c r="T759">
        <v>2</v>
      </c>
      <c r="U759" t="s">
        <v>152</v>
      </c>
      <c r="V759" t="s">
        <v>146</v>
      </c>
      <c r="W759">
        <v>2</v>
      </c>
    </row>
    <row r="760" spans="2:23" x14ac:dyDescent="0.3">
      <c r="B760">
        <v>756</v>
      </c>
      <c r="C760" t="s">
        <v>134</v>
      </c>
      <c r="D760">
        <v>24</v>
      </c>
      <c r="E760" t="s">
        <v>148</v>
      </c>
      <c r="F760" t="s">
        <v>162</v>
      </c>
      <c r="G760">
        <v>1285</v>
      </c>
      <c r="H760" t="s">
        <v>137</v>
      </c>
      <c r="I760" t="s">
        <v>155</v>
      </c>
      <c r="J760">
        <v>4</v>
      </c>
      <c r="K760" t="s">
        <v>151</v>
      </c>
      <c r="L760" t="s">
        <v>140</v>
      </c>
      <c r="M760">
        <v>4</v>
      </c>
      <c r="N760" t="s">
        <v>163</v>
      </c>
      <c r="O760">
        <v>32</v>
      </c>
      <c r="P760" t="s">
        <v>142</v>
      </c>
      <c r="Q760" t="s">
        <v>167</v>
      </c>
      <c r="R760">
        <v>1</v>
      </c>
      <c r="S760" t="s">
        <v>144</v>
      </c>
      <c r="T760">
        <v>1</v>
      </c>
      <c r="U760" t="s">
        <v>152</v>
      </c>
      <c r="V760" t="s">
        <v>146</v>
      </c>
      <c r="W760">
        <v>2</v>
      </c>
    </row>
    <row r="761" spans="2:23" x14ac:dyDescent="0.3">
      <c r="B761">
        <v>757</v>
      </c>
      <c r="C761" t="s">
        <v>179</v>
      </c>
      <c r="D761">
        <v>6</v>
      </c>
      <c r="E761" t="s">
        <v>135</v>
      </c>
      <c r="F761" t="s">
        <v>162</v>
      </c>
      <c r="G761">
        <v>1299</v>
      </c>
      <c r="H761" t="s">
        <v>149</v>
      </c>
      <c r="I761" t="s">
        <v>150</v>
      </c>
      <c r="J761">
        <v>1</v>
      </c>
      <c r="K761" t="s">
        <v>139</v>
      </c>
      <c r="L761" t="s">
        <v>140</v>
      </c>
      <c r="M761">
        <v>1</v>
      </c>
      <c r="N761" t="s">
        <v>141</v>
      </c>
      <c r="O761">
        <v>74</v>
      </c>
      <c r="P761" t="s">
        <v>142</v>
      </c>
      <c r="Q761" t="s">
        <v>143</v>
      </c>
      <c r="R761">
        <v>3</v>
      </c>
      <c r="S761" t="s">
        <v>185</v>
      </c>
      <c r="T761">
        <v>2</v>
      </c>
      <c r="U761" t="s">
        <v>152</v>
      </c>
      <c r="V761" t="s">
        <v>178</v>
      </c>
      <c r="W761">
        <v>1</v>
      </c>
    </row>
    <row r="762" spans="2:23" x14ac:dyDescent="0.3">
      <c r="B762">
        <v>758</v>
      </c>
      <c r="C762" t="s">
        <v>179</v>
      </c>
      <c r="D762">
        <v>15</v>
      </c>
      <c r="E762" t="s">
        <v>135</v>
      </c>
      <c r="F762" t="s">
        <v>136</v>
      </c>
      <c r="G762">
        <v>1271</v>
      </c>
      <c r="H762" t="s">
        <v>137</v>
      </c>
      <c r="I762" t="s">
        <v>150</v>
      </c>
      <c r="J762">
        <v>3</v>
      </c>
      <c r="K762" t="s">
        <v>139</v>
      </c>
      <c r="L762" t="s">
        <v>140</v>
      </c>
      <c r="M762">
        <v>4</v>
      </c>
      <c r="N762" t="s">
        <v>163</v>
      </c>
      <c r="O762">
        <v>39</v>
      </c>
      <c r="P762" t="s">
        <v>142</v>
      </c>
      <c r="Q762" t="s">
        <v>160</v>
      </c>
      <c r="R762">
        <v>2</v>
      </c>
      <c r="S762" t="s">
        <v>144</v>
      </c>
      <c r="T762">
        <v>1</v>
      </c>
      <c r="U762" t="s">
        <v>145</v>
      </c>
      <c r="V762" t="s">
        <v>146</v>
      </c>
      <c r="W762">
        <v>2</v>
      </c>
    </row>
    <row r="763" spans="2:23" x14ac:dyDescent="0.3">
      <c r="B763">
        <v>759</v>
      </c>
      <c r="C763" t="s">
        <v>153</v>
      </c>
      <c r="D763">
        <v>24</v>
      </c>
      <c r="E763" t="s">
        <v>148</v>
      </c>
      <c r="F763" t="s">
        <v>162</v>
      </c>
      <c r="G763">
        <v>1393</v>
      </c>
      <c r="H763" t="s">
        <v>149</v>
      </c>
      <c r="I763" t="s">
        <v>150</v>
      </c>
      <c r="J763">
        <v>2</v>
      </c>
      <c r="K763" t="s">
        <v>139</v>
      </c>
      <c r="L763" t="s">
        <v>158</v>
      </c>
      <c r="M763">
        <v>2</v>
      </c>
      <c r="N763" t="s">
        <v>141</v>
      </c>
      <c r="O763">
        <v>31</v>
      </c>
      <c r="P763" t="s">
        <v>142</v>
      </c>
      <c r="Q763" t="s">
        <v>143</v>
      </c>
      <c r="R763">
        <v>1</v>
      </c>
      <c r="S763" t="s">
        <v>144</v>
      </c>
      <c r="T763">
        <v>1</v>
      </c>
      <c r="U763" t="s">
        <v>145</v>
      </c>
      <c r="V763" t="s">
        <v>146</v>
      </c>
      <c r="W763">
        <v>1</v>
      </c>
    </row>
    <row r="764" spans="2:23" x14ac:dyDescent="0.3">
      <c r="B764">
        <v>760</v>
      </c>
      <c r="C764" t="s">
        <v>134</v>
      </c>
      <c r="D764">
        <v>12</v>
      </c>
      <c r="E764" t="s">
        <v>135</v>
      </c>
      <c r="F764" t="s">
        <v>162</v>
      </c>
      <c r="G764">
        <v>691</v>
      </c>
      <c r="H764" t="s">
        <v>149</v>
      </c>
      <c r="I764" t="s">
        <v>138</v>
      </c>
      <c r="J764">
        <v>4</v>
      </c>
      <c r="K764" t="s">
        <v>139</v>
      </c>
      <c r="L764" t="s">
        <v>140</v>
      </c>
      <c r="M764">
        <v>3</v>
      </c>
      <c r="N764" t="s">
        <v>159</v>
      </c>
      <c r="O764">
        <v>35</v>
      </c>
      <c r="P764" t="s">
        <v>142</v>
      </c>
      <c r="Q764" t="s">
        <v>143</v>
      </c>
      <c r="R764">
        <v>2</v>
      </c>
      <c r="S764" t="s">
        <v>144</v>
      </c>
      <c r="T764">
        <v>1</v>
      </c>
      <c r="U764" t="s">
        <v>152</v>
      </c>
      <c r="V764" t="s">
        <v>146</v>
      </c>
      <c r="W764">
        <v>2</v>
      </c>
    </row>
    <row r="765" spans="2:23" x14ac:dyDescent="0.3">
      <c r="B765">
        <v>761</v>
      </c>
      <c r="C765" t="s">
        <v>153</v>
      </c>
      <c r="D765">
        <v>15</v>
      </c>
      <c r="E765" t="s">
        <v>135</v>
      </c>
      <c r="F765" t="s">
        <v>162</v>
      </c>
      <c r="G765">
        <v>5045</v>
      </c>
      <c r="H765" t="s">
        <v>137</v>
      </c>
      <c r="I765" t="s">
        <v>138</v>
      </c>
      <c r="J765">
        <v>1</v>
      </c>
      <c r="K765" t="s">
        <v>151</v>
      </c>
      <c r="L765" t="s">
        <v>140</v>
      </c>
      <c r="M765">
        <v>4</v>
      </c>
      <c r="N765" t="s">
        <v>166</v>
      </c>
      <c r="O765">
        <v>59</v>
      </c>
      <c r="P765" t="s">
        <v>142</v>
      </c>
      <c r="Q765" t="s">
        <v>143</v>
      </c>
      <c r="R765">
        <v>1</v>
      </c>
      <c r="S765" t="s">
        <v>144</v>
      </c>
      <c r="T765">
        <v>1</v>
      </c>
      <c r="U765" t="s">
        <v>145</v>
      </c>
      <c r="V765" t="s">
        <v>146</v>
      </c>
      <c r="W765">
        <v>1</v>
      </c>
    </row>
    <row r="766" spans="2:23" x14ac:dyDescent="0.3">
      <c r="B766">
        <v>762</v>
      </c>
      <c r="C766" t="s">
        <v>134</v>
      </c>
      <c r="D766">
        <v>18</v>
      </c>
      <c r="E766" t="s">
        <v>135</v>
      </c>
      <c r="F766" t="s">
        <v>157</v>
      </c>
      <c r="G766">
        <v>2124</v>
      </c>
      <c r="H766" t="s">
        <v>149</v>
      </c>
      <c r="I766" t="s">
        <v>150</v>
      </c>
      <c r="J766">
        <v>4</v>
      </c>
      <c r="K766" t="s">
        <v>151</v>
      </c>
      <c r="L766" t="s">
        <v>140</v>
      </c>
      <c r="M766">
        <v>4</v>
      </c>
      <c r="N766" t="s">
        <v>141</v>
      </c>
      <c r="O766">
        <v>24</v>
      </c>
      <c r="P766" t="s">
        <v>142</v>
      </c>
      <c r="Q766" t="s">
        <v>167</v>
      </c>
      <c r="R766">
        <v>2</v>
      </c>
      <c r="S766" t="s">
        <v>144</v>
      </c>
      <c r="T766">
        <v>1</v>
      </c>
      <c r="U766" t="s">
        <v>152</v>
      </c>
      <c r="V766" t="s">
        <v>146</v>
      </c>
      <c r="W766">
        <v>2</v>
      </c>
    </row>
    <row r="767" spans="2:23" x14ac:dyDescent="0.3">
      <c r="B767">
        <v>763</v>
      </c>
      <c r="C767" t="s">
        <v>134</v>
      </c>
      <c r="D767">
        <v>12</v>
      </c>
      <c r="E767" t="s">
        <v>148</v>
      </c>
      <c r="F767" t="s">
        <v>136</v>
      </c>
      <c r="G767">
        <v>2214</v>
      </c>
      <c r="H767" t="s">
        <v>149</v>
      </c>
      <c r="I767" t="s">
        <v>150</v>
      </c>
      <c r="J767">
        <v>4</v>
      </c>
      <c r="K767" t="s">
        <v>139</v>
      </c>
      <c r="L767" t="s">
        <v>140</v>
      </c>
      <c r="M767">
        <v>3</v>
      </c>
      <c r="N767" t="s">
        <v>159</v>
      </c>
      <c r="O767">
        <v>24</v>
      </c>
      <c r="P767" t="s">
        <v>142</v>
      </c>
      <c r="Q767" t="s">
        <v>143</v>
      </c>
      <c r="R767">
        <v>1</v>
      </c>
      <c r="S767" t="s">
        <v>156</v>
      </c>
      <c r="T767">
        <v>1</v>
      </c>
      <c r="U767" t="s">
        <v>152</v>
      </c>
      <c r="V767" t="s">
        <v>146</v>
      </c>
      <c r="W767">
        <v>1</v>
      </c>
    </row>
    <row r="768" spans="2:23" x14ac:dyDescent="0.3">
      <c r="B768">
        <v>764</v>
      </c>
      <c r="C768" t="s">
        <v>153</v>
      </c>
      <c r="D768">
        <v>21</v>
      </c>
      <c r="E768" t="s">
        <v>135</v>
      </c>
      <c r="F768" t="s">
        <v>162</v>
      </c>
      <c r="G768">
        <v>12680</v>
      </c>
      <c r="H768" t="s">
        <v>137</v>
      </c>
      <c r="I768" t="s">
        <v>138</v>
      </c>
      <c r="J768">
        <v>4</v>
      </c>
      <c r="K768" t="s">
        <v>139</v>
      </c>
      <c r="L768" t="s">
        <v>140</v>
      </c>
      <c r="M768">
        <v>4</v>
      </c>
      <c r="N768" t="s">
        <v>163</v>
      </c>
      <c r="O768">
        <v>30</v>
      </c>
      <c r="P768" t="s">
        <v>142</v>
      </c>
      <c r="Q768" t="s">
        <v>160</v>
      </c>
      <c r="R768">
        <v>1</v>
      </c>
      <c r="S768" t="s">
        <v>168</v>
      </c>
      <c r="T768">
        <v>1</v>
      </c>
      <c r="U768" t="s">
        <v>145</v>
      </c>
      <c r="V768" t="s">
        <v>146</v>
      </c>
      <c r="W768">
        <v>2</v>
      </c>
    </row>
    <row r="769" spans="2:23" x14ac:dyDescent="0.3">
      <c r="B769">
        <v>765</v>
      </c>
      <c r="C769" t="s">
        <v>153</v>
      </c>
      <c r="D769">
        <v>24</v>
      </c>
      <c r="E769" t="s">
        <v>135</v>
      </c>
      <c r="F769" t="s">
        <v>162</v>
      </c>
      <c r="G769">
        <v>2463</v>
      </c>
      <c r="H769" t="s">
        <v>175</v>
      </c>
      <c r="I769" t="s">
        <v>155</v>
      </c>
      <c r="J769">
        <v>4</v>
      </c>
      <c r="K769" t="s">
        <v>172</v>
      </c>
      <c r="L769" t="s">
        <v>140</v>
      </c>
      <c r="M769">
        <v>3</v>
      </c>
      <c r="N769" t="s">
        <v>159</v>
      </c>
      <c r="O769">
        <v>27</v>
      </c>
      <c r="P769" t="s">
        <v>142</v>
      </c>
      <c r="Q769" t="s">
        <v>143</v>
      </c>
      <c r="R769">
        <v>2</v>
      </c>
      <c r="S769" t="s">
        <v>144</v>
      </c>
      <c r="T769">
        <v>1</v>
      </c>
      <c r="U769" t="s">
        <v>145</v>
      </c>
      <c r="V769" t="s">
        <v>146</v>
      </c>
      <c r="W769">
        <v>1</v>
      </c>
    </row>
    <row r="770" spans="2:23" x14ac:dyDescent="0.3">
      <c r="B770">
        <v>766</v>
      </c>
      <c r="C770" t="s">
        <v>147</v>
      </c>
      <c r="D770">
        <v>12</v>
      </c>
      <c r="E770" t="s">
        <v>148</v>
      </c>
      <c r="F770" t="s">
        <v>136</v>
      </c>
      <c r="G770">
        <v>1155</v>
      </c>
      <c r="H770" t="s">
        <v>149</v>
      </c>
      <c r="I770" t="s">
        <v>138</v>
      </c>
      <c r="J770">
        <v>3</v>
      </c>
      <c r="K770" t="s">
        <v>172</v>
      </c>
      <c r="L770" t="s">
        <v>158</v>
      </c>
      <c r="M770">
        <v>3</v>
      </c>
      <c r="N770" t="s">
        <v>141</v>
      </c>
      <c r="O770">
        <v>40</v>
      </c>
      <c r="P770" t="s">
        <v>177</v>
      </c>
      <c r="Q770" t="s">
        <v>143</v>
      </c>
      <c r="R770">
        <v>2</v>
      </c>
      <c r="S770" t="s">
        <v>156</v>
      </c>
      <c r="T770">
        <v>1</v>
      </c>
      <c r="U770" t="s">
        <v>152</v>
      </c>
      <c r="V770" t="s">
        <v>146</v>
      </c>
      <c r="W770">
        <v>1</v>
      </c>
    </row>
    <row r="771" spans="2:23" x14ac:dyDescent="0.3">
      <c r="B771">
        <v>767</v>
      </c>
      <c r="C771" t="s">
        <v>134</v>
      </c>
      <c r="D771">
        <v>30</v>
      </c>
      <c r="E771" t="s">
        <v>148</v>
      </c>
      <c r="F771" t="s">
        <v>157</v>
      </c>
      <c r="G771">
        <v>3108</v>
      </c>
      <c r="H771" t="s">
        <v>149</v>
      </c>
      <c r="I771" t="s">
        <v>173</v>
      </c>
      <c r="J771">
        <v>2</v>
      </c>
      <c r="K771" t="s">
        <v>170</v>
      </c>
      <c r="L771" t="s">
        <v>140</v>
      </c>
      <c r="M771">
        <v>4</v>
      </c>
      <c r="N771" t="s">
        <v>159</v>
      </c>
      <c r="O771">
        <v>31</v>
      </c>
      <c r="P771" t="s">
        <v>142</v>
      </c>
      <c r="Q771" t="s">
        <v>143</v>
      </c>
      <c r="R771">
        <v>1</v>
      </c>
      <c r="S771" t="s">
        <v>156</v>
      </c>
      <c r="T771">
        <v>1</v>
      </c>
      <c r="U771" t="s">
        <v>152</v>
      </c>
      <c r="V771" t="s">
        <v>146</v>
      </c>
      <c r="W771">
        <v>2</v>
      </c>
    </row>
    <row r="772" spans="2:23" x14ac:dyDescent="0.3">
      <c r="B772">
        <v>768</v>
      </c>
      <c r="C772" t="s">
        <v>153</v>
      </c>
      <c r="D772">
        <v>10</v>
      </c>
      <c r="E772" t="s">
        <v>148</v>
      </c>
      <c r="F772" t="s">
        <v>165</v>
      </c>
      <c r="G772">
        <v>2901</v>
      </c>
      <c r="H772" t="s">
        <v>137</v>
      </c>
      <c r="I772" t="s">
        <v>173</v>
      </c>
      <c r="J772">
        <v>1</v>
      </c>
      <c r="K772" t="s">
        <v>151</v>
      </c>
      <c r="L772" t="s">
        <v>140</v>
      </c>
      <c r="M772">
        <v>4</v>
      </c>
      <c r="N772" t="s">
        <v>141</v>
      </c>
      <c r="O772">
        <v>31</v>
      </c>
      <c r="P772" t="s">
        <v>142</v>
      </c>
      <c r="Q772" t="s">
        <v>167</v>
      </c>
      <c r="R772">
        <v>1</v>
      </c>
      <c r="S772" t="s">
        <v>144</v>
      </c>
      <c r="T772">
        <v>1</v>
      </c>
      <c r="U772" t="s">
        <v>152</v>
      </c>
      <c r="V772" t="s">
        <v>146</v>
      </c>
      <c r="W772">
        <v>1</v>
      </c>
    </row>
    <row r="773" spans="2:23" x14ac:dyDescent="0.3">
      <c r="B773">
        <v>769</v>
      </c>
      <c r="C773" t="s">
        <v>147</v>
      </c>
      <c r="D773">
        <v>12</v>
      </c>
      <c r="E773" t="s">
        <v>135</v>
      </c>
      <c r="F773" t="s">
        <v>157</v>
      </c>
      <c r="G773">
        <v>3617</v>
      </c>
      <c r="H773" t="s">
        <v>149</v>
      </c>
      <c r="I773" t="s">
        <v>138</v>
      </c>
      <c r="J773">
        <v>1</v>
      </c>
      <c r="K773" t="s">
        <v>139</v>
      </c>
      <c r="L773" t="s">
        <v>140</v>
      </c>
      <c r="M773">
        <v>4</v>
      </c>
      <c r="N773" t="s">
        <v>166</v>
      </c>
      <c r="O773">
        <v>28</v>
      </c>
      <c r="P773" t="s">
        <v>142</v>
      </c>
      <c r="Q773" t="s">
        <v>167</v>
      </c>
      <c r="R773">
        <v>3</v>
      </c>
      <c r="S773" t="s">
        <v>144</v>
      </c>
      <c r="T773">
        <v>1</v>
      </c>
      <c r="U773" t="s">
        <v>145</v>
      </c>
      <c r="V773" t="s">
        <v>146</v>
      </c>
      <c r="W773">
        <v>1</v>
      </c>
    </row>
    <row r="774" spans="2:23" x14ac:dyDescent="0.3">
      <c r="B774">
        <v>770</v>
      </c>
      <c r="C774" t="s">
        <v>153</v>
      </c>
      <c r="D774">
        <v>12</v>
      </c>
      <c r="E774" t="s">
        <v>135</v>
      </c>
      <c r="F774" t="s">
        <v>136</v>
      </c>
      <c r="G774">
        <v>1655</v>
      </c>
      <c r="H774" t="s">
        <v>149</v>
      </c>
      <c r="I774" t="s">
        <v>138</v>
      </c>
      <c r="J774">
        <v>2</v>
      </c>
      <c r="K774" t="s">
        <v>139</v>
      </c>
      <c r="L774" t="s">
        <v>140</v>
      </c>
      <c r="M774">
        <v>4</v>
      </c>
      <c r="N774" t="s">
        <v>141</v>
      </c>
      <c r="O774">
        <v>63</v>
      </c>
      <c r="P774" t="s">
        <v>142</v>
      </c>
      <c r="Q774" t="s">
        <v>143</v>
      </c>
      <c r="R774">
        <v>2</v>
      </c>
      <c r="S774" t="s">
        <v>156</v>
      </c>
      <c r="T774">
        <v>1</v>
      </c>
      <c r="U774" t="s">
        <v>145</v>
      </c>
      <c r="V774" t="s">
        <v>146</v>
      </c>
      <c r="W774">
        <v>1</v>
      </c>
    </row>
    <row r="775" spans="2:23" x14ac:dyDescent="0.3">
      <c r="B775">
        <v>771</v>
      </c>
      <c r="C775" t="s">
        <v>134</v>
      </c>
      <c r="D775">
        <v>24</v>
      </c>
      <c r="E775" t="s">
        <v>148</v>
      </c>
      <c r="F775" t="s">
        <v>165</v>
      </c>
      <c r="G775">
        <v>2812</v>
      </c>
      <c r="H775" t="s">
        <v>137</v>
      </c>
      <c r="I775" t="s">
        <v>138</v>
      </c>
      <c r="J775">
        <v>2</v>
      </c>
      <c r="K775" t="s">
        <v>151</v>
      </c>
      <c r="L775" t="s">
        <v>140</v>
      </c>
      <c r="M775">
        <v>4</v>
      </c>
      <c r="N775" t="s">
        <v>141</v>
      </c>
      <c r="O775">
        <v>26</v>
      </c>
      <c r="P775" t="s">
        <v>142</v>
      </c>
      <c r="Q775" t="s">
        <v>167</v>
      </c>
      <c r="R775">
        <v>1</v>
      </c>
      <c r="S775" t="s">
        <v>144</v>
      </c>
      <c r="T775">
        <v>1</v>
      </c>
      <c r="U775" t="s">
        <v>152</v>
      </c>
      <c r="V775" t="s">
        <v>146</v>
      </c>
      <c r="W775">
        <v>1</v>
      </c>
    </row>
    <row r="776" spans="2:23" x14ac:dyDescent="0.3">
      <c r="B776">
        <v>772</v>
      </c>
      <c r="C776" t="s">
        <v>134</v>
      </c>
      <c r="D776">
        <v>36</v>
      </c>
      <c r="E776" t="s">
        <v>135</v>
      </c>
      <c r="F776" t="s">
        <v>154</v>
      </c>
      <c r="G776">
        <v>8065</v>
      </c>
      <c r="H776" t="s">
        <v>149</v>
      </c>
      <c r="I776" t="s">
        <v>150</v>
      </c>
      <c r="J776">
        <v>3</v>
      </c>
      <c r="K776" t="s">
        <v>151</v>
      </c>
      <c r="L776" t="s">
        <v>140</v>
      </c>
      <c r="M776">
        <v>2</v>
      </c>
      <c r="N776" t="s">
        <v>163</v>
      </c>
      <c r="O776">
        <v>25</v>
      </c>
      <c r="P776" t="s">
        <v>142</v>
      </c>
      <c r="Q776" t="s">
        <v>143</v>
      </c>
      <c r="R776">
        <v>2</v>
      </c>
      <c r="S776" t="s">
        <v>168</v>
      </c>
      <c r="T776">
        <v>1</v>
      </c>
      <c r="U776" t="s">
        <v>145</v>
      </c>
      <c r="V776" t="s">
        <v>146</v>
      </c>
      <c r="W776">
        <v>2</v>
      </c>
    </row>
    <row r="777" spans="2:23" x14ac:dyDescent="0.3">
      <c r="B777">
        <v>773</v>
      </c>
      <c r="C777" t="s">
        <v>153</v>
      </c>
      <c r="D777">
        <v>21</v>
      </c>
      <c r="E777" t="s">
        <v>135</v>
      </c>
      <c r="F777" t="s">
        <v>165</v>
      </c>
      <c r="G777">
        <v>3275</v>
      </c>
      <c r="H777" t="s">
        <v>149</v>
      </c>
      <c r="I777" t="s">
        <v>138</v>
      </c>
      <c r="J777">
        <v>1</v>
      </c>
      <c r="K777" t="s">
        <v>139</v>
      </c>
      <c r="L777" t="s">
        <v>140</v>
      </c>
      <c r="M777">
        <v>4</v>
      </c>
      <c r="N777" t="s">
        <v>166</v>
      </c>
      <c r="O777">
        <v>36</v>
      </c>
      <c r="P777" t="s">
        <v>142</v>
      </c>
      <c r="Q777" t="s">
        <v>143</v>
      </c>
      <c r="R777">
        <v>1</v>
      </c>
      <c r="S777" t="s">
        <v>168</v>
      </c>
      <c r="T777">
        <v>1</v>
      </c>
      <c r="U777" t="s">
        <v>145</v>
      </c>
      <c r="V777" t="s">
        <v>146</v>
      </c>
      <c r="W777">
        <v>1</v>
      </c>
    </row>
    <row r="778" spans="2:23" x14ac:dyDescent="0.3">
      <c r="B778">
        <v>774</v>
      </c>
      <c r="C778" t="s">
        <v>153</v>
      </c>
      <c r="D778">
        <v>24</v>
      </c>
      <c r="E778" t="s">
        <v>135</v>
      </c>
      <c r="F778" t="s">
        <v>136</v>
      </c>
      <c r="G778">
        <v>2223</v>
      </c>
      <c r="H778" t="s">
        <v>175</v>
      </c>
      <c r="I778" t="s">
        <v>138</v>
      </c>
      <c r="J778">
        <v>4</v>
      </c>
      <c r="K778" t="s">
        <v>139</v>
      </c>
      <c r="L778" t="s">
        <v>140</v>
      </c>
      <c r="M778">
        <v>4</v>
      </c>
      <c r="N778" t="s">
        <v>159</v>
      </c>
      <c r="O778">
        <v>52</v>
      </c>
      <c r="P778" t="s">
        <v>177</v>
      </c>
      <c r="Q778" t="s">
        <v>143</v>
      </c>
      <c r="R778">
        <v>2</v>
      </c>
      <c r="S778" t="s">
        <v>144</v>
      </c>
      <c r="T778">
        <v>1</v>
      </c>
      <c r="U778" t="s">
        <v>152</v>
      </c>
      <c r="V778" t="s">
        <v>146</v>
      </c>
      <c r="W778">
        <v>1</v>
      </c>
    </row>
    <row r="779" spans="2:23" x14ac:dyDescent="0.3">
      <c r="B779">
        <v>775</v>
      </c>
      <c r="C779" t="s">
        <v>179</v>
      </c>
      <c r="D779">
        <v>12</v>
      </c>
      <c r="E779" t="s">
        <v>135</v>
      </c>
      <c r="F779" t="s">
        <v>162</v>
      </c>
      <c r="G779">
        <v>1480</v>
      </c>
      <c r="H779" t="s">
        <v>164</v>
      </c>
      <c r="I779" t="s">
        <v>171</v>
      </c>
      <c r="J779">
        <v>2</v>
      </c>
      <c r="K779" t="s">
        <v>139</v>
      </c>
      <c r="L779" t="s">
        <v>140</v>
      </c>
      <c r="M779">
        <v>4</v>
      </c>
      <c r="N779" t="s">
        <v>163</v>
      </c>
      <c r="O779">
        <v>66</v>
      </c>
      <c r="P779" t="s">
        <v>177</v>
      </c>
      <c r="Q779" t="s">
        <v>160</v>
      </c>
      <c r="R779">
        <v>3</v>
      </c>
      <c r="S779" t="s">
        <v>185</v>
      </c>
      <c r="T779">
        <v>1</v>
      </c>
      <c r="U779" t="s">
        <v>152</v>
      </c>
      <c r="V779" t="s">
        <v>146</v>
      </c>
      <c r="W779">
        <v>1</v>
      </c>
    </row>
    <row r="780" spans="2:23" x14ac:dyDescent="0.3">
      <c r="B780">
        <v>776</v>
      </c>
      <c r="C780" t="s">
        <v>134</v>
      </c>
      <c r="D780">
        <v>24</v>
      </c>
      <c r="E780" t="s">
        <v>148</v>
      </c>
      <c r="F780" t="s">
        <v>162</v>
      </c>
      <c r="G780">
        <v>1371</v>
      </c>
      <c r="H780" t="s">
        <v>137</v>
      </c>
      <c r="I780" t="s">
        <v>150</v>
      </c>
      <c r="J780">
        <v>4</v>
      </c>
      <c r="K780" t="s">
        <v>151</v>
      </c>
      <c r="L780" t="s">
        <v>140</v>
      </c>
      <c r="M780">
        <v>4</v>
      </c>
      <c r="N780" t="s">
        <v>141</v>
      </c>
      <c r="O780">
        <v>25</v>
      </c>
      <c r="P780" t="s">
        <v>142</v>
      </c>
      <c r="Q780" t="s">
        <v>167</v>
      </c>
      <c r="R780">
        <v>1</v>
      </c>
      <c r="S780" t="s">
        <v>144</v>
      </c>
      <c r="T780">
        <v>1</v>
      </c>
      <c r="U780" t="s">
        <v>152</v>
      </c>
      <c r="V780" t="s">
        <v>146</v>
      </c>
      <c r="W780">
        <v>2</v>
      </c>
    </row>
    <row r="781" spans="2:23" x14ac:dyDescent="0.3">
      <c r="B781">
        <v>777</v>
      </c>
      <c r="C781" t="s">
        <v>153</v>
      </c>
      <c r="D781">
        <v>36</v>
      </c>
      <c r="E781" t="s">
        <v>135</v>
      </c>
      <c r="F781" t="s">
        <v>162</v>
      </c>
      <c r="G781">
        <v>3535</v>
      </c>
      <c r="H781" t="s">
        <v>149</v>
      </c>
      <c r="I781" t="s">
        <v>155</v>
      </c>
      <c r="J781">
        <v>4</v>
      </c>
      <c r="K781" t="s">
        <v>139</v>
      </c>
      <c r="L781" t="s">
        <v>140</v>
      </c>
      <c r="M781">
        <v>4</v>
      </c>
      <c r="N781" t="s">
        <v>166</v>
      </c>
      <c r="O781">
        <v>37</v>
      </c>
      <c r="P781" t="s">
        <v>142</v>
      </c>
      <c r="Q781" t="s">
        <v>143</v>
      </c>
      <c r="R781">
        <v>2</v>
      </c>
      <c r="S781" t="s">
        <v>144</v>
      </c>
      <c r="T781">
        <v>1</v>
      </c>
      <c r="U781" t="s">
        <v>145</v>
      </c>
      <c r="V781" t="s">
        <v>146</v>
      </c>
      <c r="W781">
        <v>1</v>
      </c>
    </row>
    <row r="782" spans="2:23" x14ac:dyDescent="0.3">
      <c r="B782">
        <v>778</v>
      </c>
      <c r="C782" t="s">
        <v>134</v>
      </c>
      <c r="D782">
        <v>18</v>
      </c>
      <c r="E782" t="s">
        <v>148</v>
      </c>
      <c r="F782" t="s">
        <v>136</v>
      </c>
      <c r="G782">
        <v>3509</v>
      </c>
      <c r="H782" t="s">
        <v>149</v>
      </c>
      <c r="I782" t="s">
        <v>155</v>
      </c>
      <c r="J782">
        <v>4</v>
      </c>
      <c r="K782" t="s">
        <v>151</v>
      </c>
      <c r="L782" t="s">
        <v>158</v>
      </c>
      <c r="M782">
        <v>1</v>
      </c>
      <c r="N782" t="s">
        <v>141</v>
      </c>
      <c r="O782">
        <v>25</v>
      </c>
      <c r="P782" t="s">
        <v>142</v>
      </c>
      <c r="Q782" t="s">
        <v>143</v>
      </c>
      <c r="R782">
        <v>1</v>
      </c>
      <c r="S782" t="s">
        <v>144</v>
      </c>
      <c r="T782">
        <v>1</v>
      </c>
      <c r="U782" t="s">
        <v>152</v>
      </c>
      <c r="V782" t="s">
        <v>146</v>
      </c>
      <c r="W782">
        <v>1</v>
      </c>
    </row>
    <row r="783" spans="2:23" x14ac:dyDescent="0.3">
      <c r="B783">
        <v>779</v>
      </c>
      <c r="C783" t="s">
        <v>153</v>
      </c>
      <c r="D783">
        <v>36</v>
      </c>
      <c r="E783" t="s">
        <v>135</v>
      </c>
      <c r="F783" t="s">
        <v>165</v>
      </c>
      <c r="G783">
        <v>5711</v>
      </c>
      <c r="H783" t="s">
        <v>169</v>
      </c>
      <c r="I783" t="s">
        <v>138</v>
      </c>
      <c r="J783">
        <v>4</v>
      </c>
      <c r="K783" t="s">
        <v>139</v>
      </c>
      <c r="L783" t="s">
        <v>140</v>
      </c>
      <c r="M783">
        <v>2</v>
      </c>
      <c r="N783" t="s">
        <v>166</v>
      </c>
      <c r="O783">
        <v>38</v>
      </c>
      <c r="P783" t="s">
        <v>142</v>
      </c>
      <c r="Q783" t="s">
        <v>143</v>
      </c>
      <c r="R783">
        <v>2</v>
      </c>
      <c r="S783" t="s">
        <v>168</v>
      </c>
      <c r="T783">
        <v>1</v>
      </c>
      <c r="U783" t="s">
        <v>145</v>
      </c>
      <c r="V783" t="s">
        <v>146</v>
      </c>
      <c r="W783">
        <v>1</v>
      </c>
    </row>
    <row r="784" spans="2:23" x14ac:dyDescent="0.3">
      <c r="B784">
        <v>780</v>
      </c>
      <c r="C784" t="s">
        <v>147</v>
      </c>
      <c r="D784">
        <v>18</v>
      </c>
      <c r="E784" t="s">
        <v>148</v>
      </c>
      <c r="F784" t="s">
        <v>184</v>
      </c>
      <c r="G784">
        <v>3872</v>
      </c>
      <c r="H784" t="s">
        <v>149</v>
      </c>
      <c r="I784" t="s">
        <v>171</v>
      </c>
      <c r="J784">
        <v>2</v>
      </c>
      <c r="K784" t="s">
        <v>151</v>
      </c>
      <c r="L784" t="s">
        <v>140</v>
      </c>
      <c r="M784">
        <v>4</v>
      </c>
      <c r="N784" t="s">
        <v>166</v>
      </c>
      <c r="O784">
        <v>67</v>
      </c>
      <c r="P784" t="s">
        <v>142</v>
      </c>
      <c r="Q784" t="s">
        <v>143</v>
      </c>
      <c r="R784">
        <v>1</v>
      </c>
      <c r="S784" t="s">
        <v>144</v>
      </c>
      <c r="T784">
        <v>1</v>
      </c>
      <c r="U784" t="s">
        <v>145</v>
      </c>
      <c r="V784" t="s">
        <v>146</v>
      </c>
      <c r="W784">
        <v>1</v>
      </c>
    </row>
    <row r="785" spans="2:23" x14ac:dyDescent="0.3">
      <c r="B785">
        <v>781</v>
      </c>
      <c r="C785" t="s">
        <v>147</v>
      </c>
      <c r="D785">
        <v>39</v>
      </c>
      <c r="E785" t="s">
        <v>135</v>
      </c>
      <c r="F785" t="s">
        <v>136</v>
      </c>
      <c r="G785">
        <v>4933</v>
      </c>
      <c r="H785" t="s">
        <v>149</v>
      </c>
      <c r="I785" t="s">
        <v>155</v>
      </c>
      <c r="J785">
        <v>2</v>
      </c>
      <c r="K785" t="s">
        <v>139</v>
      </c>
      <c r="L785" t="s">
        <v>158</v>
      </c>
      <c r="M785">
        <v>2</v>
      </c>
      <c r="N785" t="s">
        <v>141</v>
      </c>
      <c r="O785">
        <v>25</v>
      </c>
      <c r="P785" t="s">
        <v>142</v>
      </c>
      <c r="Q785" t="s">
        <v>143</v>
      </c>
      <c r="R785">
        <v>2</v>
      </c>
      <c r="S785" t="s">
        <v>144</v>
      </c>
      <c r="T785">
        <v>1</v>
      </c>
      <c r="U785" t="s">
        <v>152</v>
      </c>
      <c r="V785" t="s">
        <v>146</v>
      </c>
      <c r="W785">
        <v>2</v>
      </c>
    </row>
    <row r="786" spans="2:23" x14ac:dyDescent="0.3">
      <c r="B786">
        <v>782</v>
      </c>
      <c r="C786" t="s">
        <v>153</v>
      </c>
      <c r="D786">
        <v>24</v>
      </c>
      <c r="E786" t="s">
        <v>135</v>
      </c>
      <c r="F786" t="s">
        <v>162</v>
      </c>
      <c r="G786">
        <v>1940</v>
      </c>
      <c r="H786" t="s">
        <v>169</v>
      </c>
      <c r="I786" t="s">
        <v>138</v>
      </c>
      <c r="J786">
        <v>4</v>
      </c>
      <c r="K786" t="s">
        <v>139</v>
      </c>
      <c r="L786" t="s">
        <v>140</v>
      </c>
      <c r="M786">
        <v>4</v>
      </c>
      <c r="N786" t="s">
        <v>141</v>
      </c>
      <c r="O786">
        <v>60</v>
      </c>
      <c r="P786" t="s">
        <v>142</v>
      </c>
      <c r="Q786" t="s">
        <v>143</v>
      </c>
      <c r="R786">
        <v>1</v>
      </c>
      <c r="S786" t="s">
        <v>144</v>
      </c>
      <c r="T786">
        <v>1</v>
      </c>
      <c r="U786" t="s">
        <v>145</v>
      </c>
      <c r="V786" t="s">
        <v>146</v>
      </c>
      <c r="W786">
        <v>1</v>
      </c>
    </row>
    <row r="787" spans="2:23" x14ac:dyDescent="0.3">
      <c r="B787">
        <v>783</v>
      </c>
      <c r="C787" t="s">
        <v>147</v>
      </c>
      <c r="D787">
        <v>12</v>
      </c>
      <c r="E787" t="s">
        <v>176</v>
      </c>
      <c r="F787" t="s">
        <v>187</v>
      </c>
      <c r="G787">
        <v>1410</v>
      </c>
      <c r="H787" t="s">
        <v>149</v>
      </c>
      <c r="I787" t="s">
        <v>150</v>
      </c>
      <c r="J787">
        <v>2</v>
      </c>
      <c r="K787" t="s">
        <v>139</v>
      </c>
      <c r="L787" t="s">
        <v>140</v>
      </c>
      <c r="M787">
        <v>2</v>
      </c>
      <c r="N787" t="s">
        <v>141</v>
      </c>
      <c r="O787">
        <v>31</v>
      </c>
      <c r="P787" t="s">
        <v>142</v>
      </c>
      <c r="Q787" t="s">
        <v>143</v>
      </c>
      <c r="R787">
        <v>1</v>
      </c>
      <c r="S787" t="s">
        <v>156</v>
      </c>
      <c r="T787">
        <v>1</v>
      </c>
      <c r="U787" t="s">
        <v>145</v>
      </c>
      <c r="V787" t="s">
        <v>146</v>
      </c>
      <c r="W787">
        <v>1</v>
      </c>
    </row>
    <row r="788" spans="2:23" x14ac:dyDescent="0.3">
      <c r="B788">
        <v>784</v>
      </c>
      <c r="C788" t="s">
        <v>147</v>
      </c>
      <c r="D788">
        <v>12</v>
      </c>
      <c r="E788" t="s">
        <v>148</v>
      </c>
      <c r="F788" t="s">
        <v>162</v>
      </c>
      <c r="G788">
        <v>836</v>
      </c>
      <c r="H788" t="s">
        <v>175</v>
      </c>
      <c r="I788" t="s">
        <v>173</v>
      </c>
      <c r="J788">
        <v>4</v>
      </c>
      <c r="K788" t="s">
        <v>151</v>
      </c>
      <c r="L788" t="s">
        <v>140</v>
      </c>
      <c r="M788">
        <v>2</v>
      </c>
      <c r="N788" t="s">
        <v>159</v>
      </c>
      <c r="O788">
        <v>23</v>
      </c>
      <c r="P788" t="s">
        <v>177</v>
      </c>
      <c r="Q788" t="s">
        <v>143</v>
      </c>
      <c r="R788">
        <v>1</v>
      </c>
      <c r="S788" t="s">
        <v>156</v>
      </c>
      <c r="T788">
        <v>1</v>
      </c>
      <c r="U788" t="s">
        <v>152</v>
      </c>
      <c r="V788" t="s">
        <v>146</v>
      </c>
      <c r="W788">
        <v>2</v>
      </c>
    </row>
    <row r="789" spans="2:23" x14ac:dyDescent="0.3">
      <c r="B789">
        <v>785</v>
      </c>
      <c r="C789" t="s">
        <v>147</v>
      </c>
      <c r="D789">
        <v>20</v>
      </c>
      <c r="E789" t="s">
        <v>148</v>
      </c>
      <c r="F789" t="s">
        <v>165</v>
      </c>
      <c r="G789">
        <v>6468</v>
      </c>
      <c r="H789" t="s">
        <v>137</v>
      </c>
      <c r="I789" t="s">
        <v>171</v>
      </c>
      <c r="J789">
        <v>1</v>
      </c>
      <c r="K789" t="s">
        <v>170</v>
      </c>
      <c r="L789" t="s">
        <v>140</v>
      </c>
      <c r="M789">
        <v>4</v>
      </c>
      <c r="N789" t="s">
        <v>141</v>
      </c>
      <c r="O789">
        <v>60</v>
      </c>
      <c r="P789" t="s">
        <v>142</v>
      </c>
      <c r="Q789" t="s">
        <v>143</v>
      </c>
      <c r="R789">
        <v>1</v>
      </c>
      <c r="S789" t="s">
        <v>168</v>
      </c>
      <c r="T789">
        <v>1</v>
      </c>
      <c r="U789" t="s">
        <v>145</v>
      </c>
      <c r="V789" t="s">
        <v>146</v>
      </c>
      <c r="W789">
        <v>1</v>
      </c>
    </row>
    <row r="790" spans="2:23" x14ac:dyDescent="0.3">
      <c r="B790">
        <v>786</v>
      </c>
      <c r="C790" t="s">
        <v>147</v>
      </c>
      <c r="D790">
        <v>18</v>
      </c>
      <c r="E790" t="s">
        <v>148</v>
      </c>
      <c r="F790" t="s">
        <v>174</v>
      </c>
      <c r="G790">
        <v>1941</v>
      </c>
      <c r="H790" t="s">
        <v>169</v>
      </c>
      <c r="I790" t="s">
        <v>150</v>
      </c>
      <c r="J790">
        <v>4</v>
      </c>
      <c r="K790" t="s">
        <v>139</v>
      </c>
      <c r="L790" t="s">
        <v>140</v>
      </c>
      <c r="M790">
        <v>2</v>
      </c>
      <c r="N790" t="s">
        <v>159</v>
      </c>
      <c r="O790">
        <v>35</v>
      </c>
      <c r="P790" t="s">
        <v>142</v>
      </c>
      <c r="Q790" t="s">
        <v>143</v>
      </c>
      <c r="R790">
        <v>1</v>
      </c>
      <c r="S790" t="s">
        <v>156</v>
      </c>
      <c r="T790">
        <v>1</v>
      </c>
      <c r="U790" t="s">
        <v>145</v>
      </c>
      <c r="V790" t="s">
        <v>146</v>
      </c>
      <c r="W790">
        <v>1</v>
      </c>
    </row>
    <row r="791" spans="2:23" x14ac:dyDescent="0.3">
      <c r="B791">
        <v>787</v>
      </c>
      <c r="C791" t="s">
        <v>153</v>
      </c>
      <c r="D791">
        <v>22</v>
      </c>
      <c r="E791" t="s">
        <v>148</v>
      </c>
      <c r="F791" t="s">
        <v>136</v>
      </c>
      <c r="G791">
        <v>2675</v>
      </c>
      <c r="H791" t="s">
        <v>164</v>
      </c>
      <c r="I791" t="s">
        <v>138</v>
      </c>
      <c r="J791">
        <v>3</v>
      </c>
      <c r="K791" t="s">
        <v>139</v>
      </c>
      <c r="L791" t="s">
        <v>140</v>
      </c>
      <c r="M791">
        <v>4</v>
      </c>
      <c r="N791" t="s">
        <v>166</v>
      </c>
      <c r="O791">
        <v>40</v>
      </c>
      <c r="P791" t="s">
        <v>142</v>
      </c>
      <c r="Q791" t="s">
        <v>143</v>
      </c>
      <c r="R791">
        <v>1</v>
      </c>
      <c r="S791" t="s">
        <v>144</v>
      </c>
      <c r="T791">
        <v>1</v>
      </c>
      <c r="U791" t="s">
        <v>152</v>
      </c>
      <c r="V791" t="s">
        <v>146</v>
      </c>
      <c r="W791">
        <v>1</v>
      </c>
    </row>
    <row r="792" spans="2:23" x14ac:dyDescent="0.3">
      <c r="B792">
        <v>788</v>
      </c>
      <c r="C792" t="s">
        <v>153</v>
      </c>
      <c r="D792">
        <v>48</v>
      </c>
      <c r="E792" t="s">
        <v>135</v>
      </c>
      <c r="F792" t="s">
        <v>165</v>
      </c>
      <c r="G792">
        <v>2751</v>
      </c>
      <c r="H792" t="s">
        <v>137</v>
      </c>
      <c r="I792" t="s">
        <v>138</v>
      </c>
      <c r="J792">
        <v>4</v>
      </c>
      <c r="K792" t="s">
        <v>139</v>
      </c>
      <c r="L792" t="s">
        <v>140</v>
      </c>
      <c r="M792">
        <v>3</v>
      </c>
      <c r="N792" t="s">
        <v>166</v>
      </c>
      <c r="O792">
        <v>38</v>
      </c>
      <c r="P792" t="s">
        <v>142</v>
      </c>
      <c r="Q792" t="s">
        <v>143</v>
      </c>
      <c r="R792">
        <v>2</v>
      </c>
      <c r="S792" t="s">
        <v>144</v>
      </c>
      <c r="T792">
        <v>2</v>
      </c>
      <c r="U792" t="s">
        <v>145</v>
      </c>
      <c r="V792" t="s">
        <v>146</v>
      </c>
      <c r="W792">
        <v>1</v>
      </c>
    </row>
    <row r="793" spans="2:23" x14ac:dyDescent="0.3">
      <c r="B793">
        <v>789</v>
      </c>
      <c r="C793" t="s">
        <v>147</v>
      </c>
      <c r="D793">
        <v>48</v>
      </c>
      <c r="E793" t="s">
        <v>161</v>
      </c>
      <c r="F793" t="s">
        <v>154</v>
      </c>
      <c r="G793">
        <v>6224</v>
      </c>
      <c r="H793" t="s">
        <v>149</v>
      </c>
      <c r="I793" t="s">
        <v>138</v>
      </c>
      <c r="J793">
        <v>4</v>
      </c>
      <c r="K793" t="s">
        <v>139</v>
      </c>
      <c r="L793" t="s">
        <v>140</v>
      </c>
      <c r="M793">
        <v>4</v>
      </c>
      <c r="N793" t="s">
        <v>163</v>
      </c>
      <c r="O793">
        <v>50</v>
      </c>
      <c r="P793" t="s">
        <v>142</v>
      </c>
      <c r="Q793" t="s">
        <v>160</v>
      </c>
      <c r="R793">
        <v>1</v>
      </c>
      <c r="S793" t="s">
        <v>144</v>
      </c>
      <c r="T793">
        <v>1</v>
      </c>
      <c r="U793" t="s">
        <v>152</v>
      </c>
      <c r="V793" t="s">
        <v>146</v>
      </c>
      <c r="W793">
        <v>2</v>
      </c>
    </row>
    <row r="794" spans="2:23" x14ac:dyDescent="0.3">
      <c r="B794">
        <v>790</v>
      </c>
      <c r="C794" t="s">
        <v>134</v>
      </c>
      <c r="D794">
        <v>40</v>
      </c>
      <c r="E794" t="s">
        <v>135</v>
      </c>
      <c r="F794" t="s">
        <v>154</v>
      </c>
      <c r="G794">
        <v>5998</v>
      </c>
      <c r="H794" t="s">
        <v>149</v>
      </c>
      <c r="I794" t="s">
        <v>150</v>
      </c>
      <c r="J794">
        <v>4</v>
      </c>
      <c r="K794" t="s">
        <v>139</v>
      </c>
      <c r="L794" t="s">
        <v>140</v>
      </c>
      <c r="M794">
        <v>3</v>
      </c>
      <c r="N794" t="s">
        <v>163</v>
      </c>
      <c r="O794">
        <v>27</v>
      </c>
      <c r="P794" t="s">
        <v>177</v>
      </c>
      <c r="Q794" t="s">
        <v>143</v>
      </c>
      <c r="R794">
        <v>1</v>
      </c>
      <c r="S794" t="s">
        <v>144</v>
      </c>
      <c r="T794">
        <v>1</v>
      </c>
      <c r="U794" t="s">
        <v>145</v>
      </c>
      <c r="V794" t="s">
        <v>146</v>
      </c>
      <c r="W794">
        <v>2</v>
      </c>
    </row>
    <row r="795" spans="2:23" x14ac:dyDescent="0.3">
      <c r="B795">
        <v>791</v>
      </c>
      <c r="C795" t="s">
        <v>147</v>
      </c>
      <c r="D795">
        <v>21</v>
      </c>
      <c r="E795" t="s">
        <v>148</v>
      </c>
      <c r="F795" t="s">
        <v>174</v>
      </c>
      <c r="G795">
        <v>1188</v>
      </c>
      <c r="H795" t="s">
        <v>149</v>
      </c>
      <c r="I795" t="s">
        <v>138</v>
      </c>
      <c r="J795">
        <v>2</v>
      </c>
      <c r="K795" t="s">
        <v>151</v>
      </c>
      <c r="L795" t="s">
        <v>140</v>
      </c>
      <c r="M795">
        <v>4</v>
      </c>
      <c r="N795" t="s">
        <v>159</v>
      </c>
      <c r="O795">
        <v>39</v>
      </c>
      <c r="P795" t="s">
        <v>142</v>
      </c>
      <c r="Q795" t="s">
        <v>143</v>
      </c>
      <c r="R795">
        <v>1</v>
      </c>
      <c r="S795" t="s">
        <v>144</v>
      </c>
      <c r="T795">
        <v>2</v>
      </c>
      <c r="U795" t="s">
        <v>152</v>
      </c>
      <c r="V795" t="s">
        <v>146</v>
      </c>
      <c r="W795">
        <v>2</v>
      </c>
    </row>
    <row r="796" spans="2:23" x14ac:dyDescent="0.3">
      <c r="B796">
        <v>792</v>
      </c>
      <c r="C796" t="s">
        <v>153</v>
      </c>
      <c r="D796">
        <v>24</v>
      </c>
      <c r="E796" t="s">
        <v>148</v>
      </c>
      <c r="F796" t="s">
        <v>165</v>
      </c>
      <c r="G796">
        <v>6313</v>
      </c>
      <c r="H796" t="s">
        <v>137</v>
      </c>
      <c r="I796" t="s">
        <v>138</v>
      </c>
      <c r="J796">
        <v>3</v>
      </c>
      <c r="K796" t="s">
        <v>139</v>
      </c>
      <c r="L796" t="s">
        <v>140</v>
      </c>
      <c r="M796">
        <v>4</v>
      </c>
      <c r="N796" t="s">
        <v>166</v>
      </c>
      <c r="O796">
        <v>41</v>
      </c>
      <c r="P796" t="s">
        <v>142</v>
      </c>
      <c r="Q796" t="s">
        <v>143</v>
      </c>
      <c r="R796">
        <v>1</v>
      </c>
      <c r="S796" t="s">
        <v>168</v>
      </c>
      <c r="T796">
        <v>2</v>
      </c>
      <c r="U796" t="s">
        <v>145</v>
      </c>
      <c r="V796" t="s">
        <v>146</v>
      </c>
      <c r="W796">
        <v>1</v>
      </c>
    </row>
    <row r="797" spans="2:23" x14ac:dyDescent="0.3">
      <c r="B797">
        <v>793</v>
      </c>
      <c r="C797" t="s">
        <v>153</v>
      </c>
      <c r="D797">
        <v>6</v>
      </c>
      <c r="E797" t="s">
        <v>135</v>
      </c>
      <c r="F797" t="s">
        <v>157</v>
      </c>
      <c r="G797">
        <v>1221</v>
      </c>
      <c r="H797" t="s">
        <v>137</v>
      </c>
      <c r="I797" t="s">
        <v>150</v>
      </c>
      <c r="J797">
        <v>1</v>
      </c>
      <c r="K797" t="s">
        <v>172</v>
      </c>
      <c r="L797" t="s">
        <v>140</v>
      </c>
      <c r="M797">
        <v>2</v>
      </c>
      <c r="N797" t="s">
        <v>159</v>
      </c>
      <c r="O797">
        <v>27</v>
      </c>
      <c r="P797" t="s">
        <v>142</v>
      </c>
      <c r="Q797" t="s">
        <v>143</v>
      </c>
      <c r="R797">
        <v>2</v>
      </c>
      <c r="S797" t="s">
        <v>144</v>
      </c>
      <c r="T797">
        <v>1</v>
      </c>
      <c r="U797" t="s">
        <v>152</v>
      </c>
      <c r="V797" t="s">
        <v>146</v>
      </c>
      <c r="W797">
        <v>1</v>
      </c>
    </row>
    <row r="798" spans="2:23" x14ac:dyDescent="0.3">
      <c r="B798">
        <v>794</v>
      </c>
      <c r="C798" t="s">
        <v>179</v>
      </c>
      <c r="D798">
        <v>24</v>
      </c>
      <c r="E798" t="s">
        <v>148</v>
      </c>
      <c r="F798" t="s">
        <v>157</v>
      </c>
      <c r="G798">
        <v>2892</v>
      </c>
      <c r="H798" t="s">
        <v>149</v>
      </c>
      <c r="I798" t="s">
        <v>138</v>
      </c>
      <c r="J798">
        <v>3</v>
      </c>
      <c r="K798" t="s">
        <v>170</v>
      </c>
      <c r="L798" t="s">
        <v>140</v>
      </c>
      <c r="M798">
        <v>4</v>
      </c>
      <c r="N798" t="s">
        <v>163</v>
      </c>
      <c r="O798">
        <v>51</v>
      </c>
      <c r="P798" t="s">
        <v>142</v>
      </c>
      <c r="Q798" t="s">
        <v>160</v>
      </c>
      <c r="R798">
        <v>1</v>
      </c>
      <c r="S798" t="s">
        <v>144</v>
      </c>
      <c r="T798">
        <v>1</v>
      </c>
      <c r="U798" t="s">
        <v>152</v>
      </c>
      <c r="V798" t="s">
        <v>146</v>
      </c>
      <c r="W798">
        <v>1</v>
      </c>
    </row>
    <row r="799" spans="2:23" x14ac:dyDescent="0.3">
      <c r="B799">
        <v>795</v>
      </c>
      <c r="C799" t="s">
        <v>153</v>
      </c>
      <c r="D799">
        <v>24</v>
      </c>
      <c r="E799" t="s">
        <v>148</v>
      </c>
      <c r="F799" t="s">
        <v>157</v>
      </c>
      <c r="G799">
        <v>3062</v>
      </c>
      <c r="H799" t="s">
        <v>164</v>
      </c>
      <c r="I799" t="s">
        <v>138</v>
      </c>
      <c r="J799">
        <v>4</v>
      </c>
      <c r="K799" t="s">
        <v>139</v>
      </c>
      <c r="L799" t="s">
        <v>140</v>
      </c>
      <c r="M799">
        <v>3</v>
      </c>
      <c r="N799" t="s">
        <v>163</v>
      </c>
      <c r="O799">
        <v>32</v>
      </c>
      <c r="P799" t="s">
        <v>142</v>
      </c>
      <c r="Q799" t="s">
        <v>167</v>
      </c>
      <c r="R799">
        <v>1</v>
      </c>
      <c r="S799" t="s">
        <v>144</v>
      </c>
      <c r="T799">
        <v>1</v>
      </c>
      <c r="U799" t="s">
        <v>145</v>
      </c>
      <c r="V799" t="s">
        <v>146</v>
      </c>
      <c r="W799">
        <v>1</v>
      </c>
    </row>
    <row r="800" spans="2:23" x14ac:dyDescent="0.3">
      <c r="B800">
        <v>796</v>
      </c>
      <c r="C800" t="s">
        <v>153</v>
      </c>
      <c r="D800">
        <v>9</v>
      </c>
      <c r="E800" t="s">
        <v>148</v>
      </c>
      <c r="F800" t="s">
        <v>157</v>
      </c>
      <c r="G800">
        <v>2301</v>
      </c>
      <c r="H800" t="s">
        <v>175</v>
      </c>
      <c r="I800" t="s">
        <v>173</v>
      </c>
      <c r="J800">
        <v>2</v>
      </c>
      <c r="K800" t="s">
        <v>151</v>
      </c>
      <c r="L800" t="s">
        <v>140</v>
      </c>
      <c r="M800">
        <v>4</v>
      </c>
      <c r="N800" t="s">
        <v>159</v>
      </c>
      <c r="O800">
        <v>22</v>
      </c>
      <c r="P800" t="s">
        <v>142</v>
      </c>
      <c r="Q800" t="s">
        <v>167</v>
      </c>
      <c r="R800">
        <v>1</v>
      </c>
      <c r="S800" t="s">
        <v>144</v>
      </c>
      <c r="T800">
        <v>1</v>
      </c>
      <c r="U800" t="s">
        <v>152</v>
      </c>
      <c r="V800" t="s">
        <v>146</v>
      </c>
      <c r="W800">
        <v>1</v>
      </c>
    </row>
    <row r="801" spans="2:23" x14ac:dyDescent="0.3">
      <c r="B801">
        <v>797</v>
      </c>
      <c r="C801" t="s">
        <v>134</v>
      </c>
      <c r="D801">
        <v>18</v>
      </c>
      <c r="E801" t="s">
        <v>148</v>
      </c>
      <c r="F801" t="s">
        <v>165</v>
      </c>
      <c r="G801">
        <v>7511</v>
      </c>
      <c r="H801" t="s">
        <v>137</v>
      </c>
      <c r="I801" t="s">
        <v>138</v>
      </c>
      <c r="J801">
        <v>1</v>
      </c>
      <c r="K801" t="s">
        <v>139</v>
      </c>
      <c r="L801" t="s">
        <v>140</v>
      </c>
      <c r="M801">
        <v>4</v>
      </c>
      <c r="N801" t="s">
        <v>159</v>
      </c>
      <c r="O801">
        <v>51</v>
      </c>
      <c r="P801" t="s">
        <v>142</v>
      </c>
      <c r="Q801" t="s">
        <v>160</v>
      </c>
      <c r="R801">
        <v>1</v>
      </c>
      <c r="S801" t="s">
        <v>144</v>
      </c>
      <c r="T801">
        <v>2</v>
      </c>
      <c r="U801" t="s">
        <v>145</v>
      </c>
      <c r="V801" t="s">
        <v>146</v>
      </c>
      <c r="W801">
        <v>2</v>
      </c>
    </row>
    <row r="802" spans="2:23" x14ac:dyDescent="0.3">
      <c r="B802">
        <v>798</v>
      </c>
      <c r="C802" t="s">
        <v>153</v>
      </c>
      <c r="D802">
        <v>12</v>
      </c>
      <c r="E802" t="s">
        <v>135</v>
      </c>
      <c r="F802" t="s">
        <v>157</v>
      </c>
      <c r="G802">
        <v>1258</v>
      </c>
      <c r="H802" t="s">
        <v>149</v>
      </c>
      <c r="I802" t="s">
        <v>173</v>
      </c>
      <c r="J802">
        <v>2</v>
      </c>
      <c r="K802" t="s">
        <v>151</v>
      </c>
      <c r="L802" t="s">
        <v>140</v>
      </c>
      <c r="M802">
        <v>4</v>
      </c>
      <c r="N802" t="s">
        <v>159</v>
      </c>
      <c r="O802">
        <v>22</v>
      </c>
      <c r="P802" t="s">
        <v>142</v>
      </c>
      <c r="Q802" t="s">
        <v>167</v>
      </c>
      <c r="R802">
        <v>2</v>
      </c>
      <c r="S802" t="s">
        <v>156</v>
      </c>
      <c r="T802">
        <v>1</v>
      </c>
      <c r="U802" t="s">
        <v>152</v>
      </c>
      <c r="V802" t="s">
        <v>146</v>
      </c>
      <c r="W802">
        <v>1</v>
      </c>
    </row>
    <row r="803" spans="2:23" x14ac:dyDescent="0.3">
      <c r="B803">
        <v>799</v>
      </c>
      <c r="C803" t="s">
        <v>153</v>
      </c>
      <c r="D803">
        <v>24</v>
      </c>
      <c r="E803" t="s">
        <v>161</v>
      </c>
      <c r="F803" t="s">
        <v>162</v>
      </c>
      <c r="G803">
        <v>717</v>
      </c>
      <c r="H803" t="s">
        <v>137</v>
      </c>
      <c r="I803" t="s">
        <v>138</v>
      </c>
      <c r="J803">
        <v>4</v>
      </c>
      <c r="K803" t="s">
        <v>172</v>
      </c>
      <c r="L803" t="s">
        <v>140</v>
      </c>
      <c r="M803">
        <v>4</v>
      </c>
      <c r="N803" t="s">
        <v>166</v>
      </c>
      <c r="O803">
        <v>54</v>
      </c>
      <c r="P803" t="s">
        <v>142</v>
      </c>
      <c r="Q803" t="s">
        <v>143</v>
      </c>
      <c r="R803">
        <v>2</v>
      </c>
      <c r="S803" t="s">
        <v>144</v>
      </c>
      <c r="T803">
        <v>1</v>
      </c>
      <c r="U803" t="s">
        <v>145</v>
      </c>
      <c r="V803" t="s">
        <v>146</v>
      </c>
      <c r="W803">
        <v>1</v>
      </c>
    </row>
    <row r="804" spans="2:23" x14ac:dyDescent="0.3">
      <c r="B804">
        <v>800</v>
      </c>
      <c r="C804" t="s">
        <v>147</v>
      </c>
      <c r="D804">
        <v>9</v>
      </c>
      <c r="E804" t="s">
        <v>148</v>
      </c>
      <c r="F804" t="s">
        <v>162</v>
      </c>
      <c r="G804">
        <v>1549</v>
      </c>
      <c r="H804" t="s">
        <v>137</v>
      </c>
      <c r="I804" t="s">
        <v>173</v>
      </c>
      <c r="J804">
        <v>4</v>
      </c>
      <c r="K804" t="s">
        <v>139</v>
      </c>
      <c r="L804" t="s">
        <v>140</v>
      </c>
      <c r="M804">
        <v>2</v>
      </c>
      <c r="N804" t="s">
        <v>141</v>
      </c>
      <c r="O804">
        <v>35</v>
      </c>
      <c r="P804" t="s">
        <v>142</v>
      </c>
      <c r="Q804" t="s">
        <v>143</v>
      </c>
      <c r="R804">
        <v>1</v>
      </c>
      <c r="S804" t="s">
        <v>185</v>
      </c>
      <c r="T804">
        <v>1</v>
      </c>
      <c r="U804" t="s">
        <v>152</v>
      </c>
      <c r="V804" t="s">
        <v>146</v>
      </c>
      <c r="W804">
        <v>1</v>
      </c>
    </row>
    <row r="805" spans="2:23" x14ac:dyDescent="0.3">
      <c r="B805">
        <v>801</v>
      </c>
      <c r="C805" t="s">
        <v>153</v>
      </c>
      <c r="D805">
        <v>24</v>
      </c>
      <c r="E805" t="s">
        <v>135</v>
      </c>
      <c r="F805" t="s">
        <v>154</v>
      </c>
      <c r="G805">
        <v>1597</v>
      </c>
      <c r="H805" t="s">
        <v>149</v>
      </c>
      <c r="I805" t="s">
        <v>138</v>
      </c>
      <c r="J805">
        <v>4</v>
      </c>
      <c r="K805" t="s">
        <v>139</v>
      </c>
      <c r="L805" t="s">
        <v>140</v>
      </c>
      <c r="M805">
        <v>4</v>
      </c>
      <c r="N805" t="s">
        <v>163</v>
      </c>
      <c r="O805">
        <v>54</v>
      </c>
      <c r="P805" t="s">
        <v>142</v>
      </c>
      <c r="Q805" t="s">
        <v>160</v>
      </c>
      <c r="R805">
        <v>2</v>
      </c>
      <c r="S805" t="s">
        <v>144</v>
      </c>
      <c r="T805">
        <v>2</v>
      </c>
      <c r="U805" t="s">
        <v>152</v>
      </c>
      <c r="V805" t="s">
        <v>146</v>
      </c>
      <c r="W805">
        <v>1</v>
      </c>
    </row>
    <row r="806" spans="2:23" x14ac:dyDescent="0.3">
      <c r="B806">
        <v>802</v>
      </c>
      <c r="C806" t="s">
        <v>147</v>
      </c>
      <c r="D806">
        <v>18</v>
      </c>
      <c r="E806" t="s">
        <v>135</v>
      </c>
      <c r="F806" t="s">
        <v>136</v>
      </c>
      <c r="G806">
        <v>1795</v>
      </c>
      <c r="H806" t="s">
        <v>149</v>
      </c>
      <c r="I806" t="s">
        <v>138</v>
      </c>
      <c r="J806">
        <v>3</v>
      </c>
      <c r="K806" t="s">
        <v>151</v>
      </c>
      <c r="L806" t="s">
        <v>158</v>
      </c>
      <c r="M806">
        <v>4</v>
      </c>
      <c r="N806" t="s">
        <v>141</v>
      </c>
      <c r="O806">
        <v>48</v>
      </c>
      <c r="P806" t="s">
        <v>177</v>
      </c>
      <c r="Q806" t="s">
        <v>167</v>
      </c>
      <c r="R806">
        <v>2</v>
      </c>
      <c r="S806" t="s">
        <v>156</v>
      </c>
      <c r="T806">
        <v>1</v>
      </c>
      <c r="U806" t="s">
        <v>145</v>
      </c>
      <c r="V806" t="s">
        <v>146</v>
      </c>
      <c r="W806">
        <v>1</v>
      </c>
    </row>
    <row r="807" spans="2:23" x14ac:dyDescent="0.3">
      <c r="B807">
        <v>803</v>
      </c>
      <c r="C807" t="s">
        <v>134</v>
      </c>
      <c r="D807">
        <v>20</v>
      </c>
      <c r="E807" t="s">
        <v>135</v>
      </c>
      <c r="F807" t="s">
        <v>157</v>
      </c>
      <c r="G807">
        <v>4272</v>
      </c>
      <c r="H807" t="s">
        <v>149</v>
      </c>
      <c r="I807" t="s">
        <v>138</v>
      </c>
      <c r="J807">
        <v>1</v>
      </c>
      <c r="K807" t="s">
        <v>151</v>
      </c>
      <c r="L807" t="s">
        <v>140</v>
      </c>
      <c r="M807">
        <v>4</v>
      </c>
      <c r="N807" t="s">
        <v>159</v>
      </c>
      <c r="O807">
        <v>24</v>
      </c>
      <c r="P807" t="s">
        <v>142</v>
      </c>
      <c r="Q807" t="s">
        <v>143</v>
      </c>
      <c r="R807">
        <v>2</v>
      </c>
      <c r="S807" t="s">
        <v>144</v>
      </c>
      <c r="T807">
        <v>1</v>
      </c>
      <c r="U807" t="s">
        <v>152</v>
      </c>
      <c r="V807" t="s">
        <v>146</v>
      </c>
      <c r="W807">
        <v>1</v>
      </c>
    </row>
    <row r="808" spans="2:23" x14ac:dyDescent="0.3">
      <c r="B808">
        <v>804</v>
      </c>
      <c r="C808" t="s">
        <v>153</v>
      </c>
      <c r="D808">
        <v>12</v>
      </c>
      <c r="E808" t="s">
        <v>135</v>
      </c>
      <c r="F808" t="s">
        <v>136</v>
      </c>
      <c r="G808">
        <v>976</v>
      </c>
      <c r="H808" t="s">
        <v>137</v>
      </c>
      <c r="I808" t="s">
        <v>138</v>
      </c>
      <c r="J808">
        <v>4</v>
      </c>
      <c r="K808" t="s">
        <v>139</v>
      </c>
      <c r="L808" t="s">
        <v>140</v>
      </c>
      <c r="M808">
        <v>4</v>
      </c>
      <c r="N808" t="s">
        <v>166</v>
      </c>
      <c r="O808">
        <v>35</v>
      </c>
      <c r="P808" t="s">
        <v>142</v>
      </c>
      <c r="Q808" t="s">
        <v>143</v>
      </c>
      <c r="R808">
        <v>2</v>
      </c>
      <c r="S808" t="s">
        <v>144</v>
      </c>
      <c r="T808">
        <v>1</v>
      </c>
      <c r="U808" t="s">
        <v>152</v>
      </c>
      <c r="V808" t="s">
        <v>146</v>
      </c>
      <c r="W808">
        <v>1</v>
      </c>
    </row>
    <row r="809" spans="2:23" x14ac:dyDescent="0.3">
      <c r="B809">
        <v>805</v>
      </c>
      <c r="C809" t="s">
        <v>147</v>
      </c>
      <c r="D809">
        <v>12</v>
      </c>
      <c r="E809" t="s">
        <v>148</v>
      </c>
      <c r="F809" t="s">
        <v>162</v>
      </c>
      <c r="G809">
        <v>7472</v>
      </c>
      <c r="H809" t="s">
        <v>137</v>
      </c>
      <c r="I809" t="s">
        <v>171</v>
      </c>
      <c r="J809">
        <v>1</v>
      </c>
      <c r="K809" t="s">
        <v>151</v>
      </c>
      <c r="L809" t="s">
        <v>140</v>
      </c>
      <c r="M809">
        <v>2</v>
      </c>
      <c r="N809" t="s">
        <v>141</v>
      </c>
      <c r="O809">
        <v>24</v>
      </c>
      <c r="P809" t="s">
        <v>142</v>
      </c>
      <c r="Q809" t="s">
        <v>167</v>
      </c>
      <c r="R809">
        <v>1</v>
      </c>
      <c r="S809" t="s">
        <v>185</v>
      </c>
      <c r="T809">
        <v>1</v>
      </c>
      <c r="U809" t="s">
        <v>152</v>
      </c>
      <c r="V809" t="s">
        <v>146</v>
      </c>
      <c r="W809">
        <v>1</v>
      </c>
    </row>
    <row r="810" spans="2:23" x14ac:dyDescent="0.3">
      <c r="B810">
        <v>806</v>
      </c>
      <c r="C810" t="s">
        <v>134</v>
      </c>
      <c r="D810">
        <v>36</v>
      </c>
      <c r="E810" t="s">
        <v>148</v>
      </c>
      <c r="F810" t="s">
        <v>162</v>
      </c>
      <c r="G810">
        <v>9271</v>
      </c>
      <c r="H810" t="s">
        <v>149</v>
      </c>
      <c r="I810" t="s">
        <v>155</v>
      </c>
      <c r="J810">
        <v>2</v>
      </c>
      <c r="K810" t="s">
        <v>139</v>
      </c>
      <c r="L810" t="s">
        <v>140</v>
      </c>
      <c r="M810">
        <v>1</v>
      </c>
      <c r="N810" t="s">
        <v>166</v>
      </c>
      <c r="O810">
        <v>24</v>
      </c>
      <c r="P810" t="s">
        <v>142</v>
      </c>
      <c r="Q810" t="s">
        <v>143</v>
      </c>
      <c r="R810">
        <v>1</v>
      </c>
      <c r="S810" t="s">
        <v>144</v>
      </c>
      <c r="T810">
        <v>1</v>
      </c>
      <c r="U810" t="s">
        <v>145</v>
      </c>
      <c r="V810" t="s">
        <v>146</v>
      </c>
      <c r="W810">
        <v>2</v>
      </c>
    </row>
    <row r="811" spans="2:23" x14ac:dyDescent="0.3">
      <c r="B811">
        <v>807</v>
      </c>
      <c r="C811" t="s">
        <v>147</v>
      </c>
      <c r="D811">
        <v>6</v>
      </c>
      <c r="E811" t="s">
        <v>148</v>
      </c>
      <c r="F811" t="s">
        <v>136</v>
      </c>
      <c r="G811">
        <v>590</v>
      </c>
      <c r="H811" t="s">
        <v>149</v>
      </c>
      <c r="I811" t="s">
        <v>173</v>
      </c>
      <c r="J811">
        <v>3</v>
      </c>
      <c r="K811" t="s">
        <v>172</v>
      </c>
      <c r="L811" t="s">
        <v>140</v>
      </c>
      <c r="M811">
        <v>3</v>
      </c>
      <c r="N811" t="s">
        <v>141</v>
      </c>
      <c r="O811">
        <v>26</v>
      </c>
      <c r="P811" t="s">
        <v>142</v>
      </c>
      <c r="Q811" t="s">
        <v>143</v>
      </c>
      <c r="R811">
        <v>1</v>
      </c>
      <c r="S811" t="s">
        <v>156</v>
      </c>
      <c r="T811">
        <v>1</v>
      </c>
      <c r="U811" t="s">
        <v>152</v>
      </c>
      <c r="V811" t="s">
        <v>178</v>
      </c>
      <c r="W811">
        <v>1</v>
      </c>
    </row>
    <row r="812" spans="2:23" x14ac:dyDescent="0.3">
      <c r="B812">
        <v>808</v>
      </c>
      <c r="C812" t="s">
        <v>153</v>
      </c>
      <c r="D812">
        <v>12</v>
      </c>
      <c r="E812" t="s">
        <v>135</v>
      </c>
      <c r="F812" t="s">
        <v>136</v>
      </c>
      <c r="G812">
        <v>930</v>
      </c>
      <c r="H812" t="s">
        <v>137</v>
      </c>
      <c r="I812" t="s">
        <v>138</v>
      </c>
      <c r="J812">
        <v>4</v>
      </c>
      <c r="K812" t="s">
        <v>139</v>
      </c>
      <c r="L812" t="s">
        <v>140</v>
      </c>
      <c r="M812">
        <v>4</v>
      </c>
      <c r="N812" t="s">
        <v>141</v>
      </c>
      <c r="O812">
        <v>65</v>
      </c>
      <c r="P812" t="s">
        <v>142</v>
      </c>
      <c r="Q812" t="s">
        <v>143</v>
      </c>
      <c r="R812">
        <v>4</v>
      </c>
      <c r="S812" t="s">
        <v>144</v>
      </c>
      <c r="T812">
        <v>1</v>
      </c>
      <c r="U812" t="s">
        <v>152</v>
      </c>
      <c r="V812" t="s">
        <v>146</v>
      </c>
      <c r="W812">
        <v>1</v>
      </c>
    </row>
    <row r="813" spans="2:23" x14ac:dyDescent="0.3">
      <c r="B813">
        <v>809</v>
      </c>
      <c r="C813" t="s">
        <v>147</v>
      </c>
      <c r="D813">
        <v>42</v>
      </c>
      <c r="E813" t="s">
        <v>180</v>
      </c>
      <c r="F813" t="s">
        <v>165</v>
      </c>
      <c r="G813">
        <v>9283</v>
      </c>
      <c r="H813" t="s">
        <v>149</v>
      </c>
      <c r="I813" t="s">
        <v>171</v>
      </c>
      <c r="J813">
        <v>1</v>
      </c>
      <c r="K813" t="s">
        <v>139</v>
      </c>
      <c r="L813" t="s">
        <v>140</v>
      </c>
      <c r="M813">
        <v>2</v>
      </c>
      <c r="N813" t="s">
        <v>163</v>
      </c>
      <c r="O813">
        <v>55</v>
      </c>
      <c r="P813" t="s">
        <v>177</v>
      </c>
      <c r="Q813" t="s">
        <v>160</v>
      </c>
      <c r="R813">
        <v>1</v>
      </c>
      <c r="S813" t="s">
        <v>168</v>
      </c>
      <c r="T813">
        <v>1</v>
      </c>
      <c r="U813" t="s">
        <v>145</v>
      </c>
      <c r="V813" t="s">
        <v>146</v>
      </c>
      <c r="W813">
        <v>1</v>
      </c>
    </row>
    <row r="814" spans="2:23" x14ac:dyDescent="0.3">
      <c r="B814">
        <v>810</v>
      </c>
      <c r="C814" t="s">
        <v>147</v>
      </c>
      <c r="D814">
        <v>15</v>
      </c>
      <c r="E814" t="s">
        <v>176</v>
      </c>
      <c r="F814" t="s">
        <v>162</v>
      </c>
      <c r="G814">
        <v>1778</v>
      </c>
      <c r="H814" t="s">
        <v>149</v>
      </c>
      <c r="I814" t="s">
        <v>173</v>
      </c>
      <c r="J814">
        <v>2</v>
      </c>
      <c r="K814" t="s">
        <v>151</v>
      </c>
      <c r="L814" t="s">
        <v>140</v>
      </c>
      <c r="M814">
        <v>1</v>
      </c>
      <c r="N814" t="s">
        <v>141</v>
      </c>
      <c r="O814">
        <v>26</v>
      </c>
      <c r="P814" t="s">
        <v>142</v>
      </c>
      <c r="Q814" t="s">
        <v>167</v>
      </c>
      <c r="R814">
        <v>2</v>
      </c>
      <c r="S814" t="s">
        <v>185</v>
      </c>
      <c r="T814">
        <v>1</v>
      </c>
      <c r="U814" t="s">
        <v>152</v>
      </c>
      <c r="V814" t="s">
        <v>146</v>
      </c>
      <c r="W814">
        <v>2</v>
      </c>
    </row>
    <row r="815" spans="2:23" x14ac:dyDescent="0.3">
      <c r="B815">
        <v>811</v>
      </c>
      <c r="C815" t="s">
        <v>147</v>
      </c>
      <c r="D815">
        <v>8</v>
      </c>
      <c r="E815" t="s">
        <v>148</v>
      </c>
      <c r="F815" t="s">
        <v>174</v>
      </c>
      <c r="G815">
        <v>907</v>
      </c>
      <c r="H815" t="s">
        <v>149</v>
      </c>
      <c r="I815" t="s">
        <v>173</v>
      </c>
      <c r="J815">
        <v>3</v>
      </c>
      <c r="K815" t="s">
        <v>172</v>
      </c>
      <c r="L815" t="s">
        <v>140</v>
      </c>
      <c r="M815">
        <v>2</v>
      </c>
      <c r="N815" t="s">
        <v>141</v>
      </c>
      <c r="O815">
        <v>26</v>
      </c>
      <c r="P815" t="s">
        <v>142</v>
      </c>
      <c r="Q815" t="s">
        <v>143</v>
      </c>
      <c r="R815">
        <v>1</v>
      </c>
      <c r="S815" t="s">
        <v>144</v>
      </c>
      <c r="T815">
        <v>1</v>
      </c>
      <c r="U815" t="s">
        <v>145</v>
      </c>
      <c r="V815" t="s">
        <v>146</v>
      </c>
      <c r="W815">
        <v>1</v>
      </c>
    </row>
    <row r="816" spans="2:23" x14ac:dyDescent="0.3">
      <c r="B816">
        <v>812</v>
      </c>
      <c r="C816" t="s">
        <v>147</v>
      </c>
      <c r="D816">
        <v>6</v>
      </c>
      <c r="E816" t="s">
        <v>148</v>
      </c>
      <c r="F816" t="s">
        <v>136</v>
      </c>
      <c r="G816">
        <v>484</v>
      </c>
      <c r="H816" t="s">
        <v>149</v>
      </c>
      <c r="I816" t="s">
        <v>155</v>
      </c>
      <c r="J816">
        <v>3</v>
      </c>
      <c r="K816" t="s">
        <v>172</v>
      </c>
      <c r="L816" t="s">
        <v>158</v>
      </c>
      <c r="M816">
        <v>3</v>
      </c>
      <c r="N816" t="s">
        <v>141</v>
      </c>
      <c r="O816">
        <v>28</v>
      </c>
      <c r="P816" t="s">
        <v>177</v>
      </c>
      <c r="Q816" t="s">
        <v>143</v>
      </c>
      <c r="R816">
        <v>1</v>
      </c>
      <c r="S816" t="s">
        <v>156</v>
      </c>
      <c r="T816">
        <v>1</v>
      </c>
      <c r="U816" t="s">
        <v>152</v>
      </c>
      <c r="V816" t="s">
        <v>146</v>
      </c>
      <c r="W816">
        <v>1</v>
      </c>
    </row>
    <row r="817" spans="2:23" x14ac:dyDescent="0.3">
      <c r="B817">
        <v>813</v>
      </c>
      <c r="C817" t="s">
        <v>134</v>
      </c>
      <c r="D817">
        <v>36</v>
      </c>
      <c r="E817" t="s">
        <v>135</v>
      </c>
      <c r="F817" t="s">
        <v>165</v>
      </c>
      <c r="G817">
        <v>9629</v>
      </c>
      <c r="H817" t="s">
        <v>149</v>
      </c>
      <c r="I817" t="s">
        <v>155</v>
      </c>
      <c r="J817">
        <v>4</v>
      </c>
      <c r="K817" t="s">
        <v>139</v>
      </c>
      <c r="L817" t="s">
        <v>140</v>
      </c>
      <c r="M817">
        <v>4</v>
      </c>
      <c r="N817" t="s">
        <v>166</v>
      </c>
      <c r="O817">
        <v>24</v>
      </c>
      <c r="P817" t="s">
        <v>142</v>
      </c>
      <c r="Q817" t="s">
        <v>143</v>
      </c>
      <c r="R817">
        <v>2</v>
      </c>
      <c r="S817" t="s">
        <v>144</v>
      </c>
      <c r="T817">
        <v>1</v>
      </c>
      <c r="U817" t="s">
        <v>145</v>
      </c>
      <c r="V817" t="s">
        <v>146</v>
      </c>
      <c r="W817">
        <v>2</v>
      </c>
    </row>
    <row r="818" spans="2:23" x14ac:dyDescent="0.3">
      <c r="B818">
        <v>814</v>
      </c>
      <c r="C818" t="s">
        <v>134</v>
      </c>
      <c r="D818">
        <v>48</v>
      </c>
      <c r="E818" t="s">
        <v>148</v>
      </c>
      <c r="F818" t="s">
        <v>183</v>
      </c>
      <c r="G818">
        <v>3051</v>
      </c>
      <c r="H818" t="s">
        <v>149</v>
      </c>
      <c r="I818" t="s">
        <v>150</v>
      </c>
      <c r="J818">
        <v>3</v>
      </c>
      <c r="K818" t="s">
        <v>139</v>
      </c>
      <c r="L818" t="s">
        <v>140</v>
      </c>
      <c r="M818">
        <v>4</v>
      </c>
      <c r="N818" t="s">
        <v>166</v>
      </c>
      <c r="O818">
        <v>54</v>
      </c>
      <c r="P818" t="s">
        <v>142</v>
      </c>
      <c r="Q818" t="s">
        <v>143</v>
      </c>
      <c r="R818">
        <v>1</v>
      </c>
      <c r="S818" t="s">
        <v>144</v>
      </c>
      <c r="T818">
        <v>1</v>
      </c>
      <c r="U818" t="s">
        <v>152</v>
      </c>
      <c r="V818" t="s">
        <v>146</v>
      </c>
      <c r="W818">
        <v>2</v>
      </c>
    </row>
    <row r="819" spans="2:23" x14ac:dyDescent="0.3">
      <c r="B819">
        <v>815</v>
      </c>
      <c r="C819" t="s">
        <v>134</v>
      </c>
      <c r="D819">
        <v>48</v>
      </c>
      <c r="E819" t="s">
        <v>148</v>
      </c>
      <c r="F819" t="s">
        <v>162</v>
      </c>
      <c r="G819">
        <v>3931</v>
      </c>
      <c r="H819" t="s">
        <v>149</v>
      </c>
      <c r="I819" t="s">
        <v>155</v>
      </c>
      <c r="J819">
        <v>4</v>
      </c>
      <c r="K819" t="s">
        <v>139</v>
      </c>
      <c r="L819" t="s">
        <v>140</v>
      </c>
      <c r="M819">
        <v>4</v>
      </c>
      <c r="N819" t="s">
        <v>163</v>
      </c>
      <c r="O819">
        <v>46</v>
      </c>
      <c r="P819" t="s">
        <v>142</v>
      </c>
      <c r="Q819" t="s">
        <v>160</v>
      </c>
      <c r="R819">
        <v>1</v>
      </c>
      <c r="S819" t="s">
        <v>144</v>
      </c>
      <c r="T819">
        <v>2</v>
      </c>
      <c r="U819" t="s">
        <v>152</v>
      </c>
      <c r="V819" t="s">
        <v>146</v>
      </c>
      <c r="W819">
        <v>2</v>
      </c>
    </row>
    <row r="820" spans="2:23" x14ac:dyDescent="0.3">
      <c r="B820">
        <v>816</v>
      </c>
      <c r="C820" t="s">
        <v>147</v>
      </c>
      <c r="D820">
        <v>36</v>
      </c>
      <c r="E820" t="s">
        <v>161</v>
      </c>
      <c r="F820" t="s">
        <v>162</v>
      </c>
      <c r="G820">
        <v>7432</v>
      </c>
      <c r="H820" t="s">
        <v>149</v>
      </c>
      <c r="I820" t="s">
        <v>150</v>
      </c>
      <c r="J820">
        <v>2</v>
      </c>
      <c r="K820" t="s">
        <v>151</v>
      </c>
      <c r="L820" t="s">
        <v>140</v>
      </c>
      <c r="M820">
        <v>2</v>
      </c>
      <c r="N820" t="s">
        <v>159</v>
      </c>
      <c r="O820">
        <v>54</v>
      </c>
      <c r="P820" t="s">
        <v>142</v>
      </c>
      <c r="Q820" t="s">
        <v>167</v>
      </c>
      <c r="R820">
        <v>1</v>
      </c>
      <c r="S820" t="s">
        <v>144</v>
      </c>
      <c r="T820">
        <v>1</v>
      </c>
      <c r="U820" t="s">
        <v>152</v>
      </c>
      <c r="V820" t="s">
        <v>146</v>
      </c>
      <c r="W820">
        <v>1</v>
      </c>
    </row>
    <row r="821" spans="2:23" x14ac:dyDescent="0.3">
      <c r="B821">
        <v>817</v>
      </c>
      <c r="C821" t="s">
        <v>153</v>
      </c>
      <c r="D821">
        <v>6</v>
      </c>
      <c r="E821" t="s">
        <v>148</v>
      </c>
      <c r="F821" t="s">
        <v>183</v>
      </c>
      <c r="G821">
        <v>1338</v>
      </c>
      <c r="H821" t="s">
        <v>164</v>
      </c>
      <c r="I821" t="s">
        <v>150</v>
      </c>
      <c r="J821">
        <v>1</v>
      </c>
      <c r="K821" t="s">
        <v>170</v>
      </c>
      <c r="L821" t="s">
        <v>140</v>
      </c>
      <c r="M821">
        <v>4</v>
      </c>
      <c r="N821" t="s">
        <v>141</v>
      </c>
      <c r="O821">
        <v>62</v>
      </c>
      <c r="P821" t="s">
        <v>142</v>
      </c>
      <c r="Q821" t="s">
        <v>143</v>
      </c>
      <c r="R821">
        <v>1</v>
      </c>
      <c r="S821" t="s">
        <v>144</v>
      </c>
      <c r="T821">
        <v>1</v>
      </c>
      <c r="U821" t="s">
        <v>152</v>
      </c>
      <c r="V821" t="s">
        <v>146</v>
      </c>
      <c r="W821">
        <v>1</v>
      </c>
    </row>
    <row r="822" spans="2:23" x14ac:dyDescent="0.3">
      <c r="B822">
        <v>818</v>
      </c>
      <c r="C822" t="s">
        <v>153</v>
      </c>
      <c r="D822">
        <v>6</v>
      </c>
      <c r="E822" t="s">
        <v>135</v>
      </c>
      <c r="F822" t="s">
        <v>136</v>
      </c>
      <c r="G822">
        <v>1554</v>
      </c>
      <c r="H822" t="s">
        <v>149</v>
      </c>
      <c r="I822" t="s">
        <v>155</v>
      </c>
      <c r="J822">
        <v>1</v>
      </c>
      <c r="K822" t="s">
        <v>151</v>
      </c>
      <c r="L822" t="s">
        <v>140</v>
      </c>
      <c r="M822">
        <v>2</v>
      </c>
      <c r="N822" t="s">
        <v>166</v>
      </c>
      <c r="O822">
        <v>24</v>
      </c>
      <c r="P822" t="s">
        <v>142</v>
      </c>
      <c r="Q822" t="s">
        <v>167</v>
      </c>
      <c r="R822">
        <v>2</v>
      </c>
      <c r="S822" t="s">
        <v>144</v>
      </c>
      <c r="T822">
        <v>1</v>
      </c>
      <c r="U822" t="s">
        <v>145</v>
      </c>
      <c r="V822" t="s">
        <v>146</v>
      </c>
      <c r="W822">
        <v>1</v>
      </c>
    </row>
    <row r="823" spans="2:23" x14ac:dyDescent="0.3">
      <c r="B823">
        <v>819</v>
      </c>
      <c r="C823" t="s">
        <v>134</v>
      </c>
      <c r="D823">
        <v>36</v>
      </c>
      <c r="E823" t="s">
        <v>148</v>
      </c>
      <c r="F823" t="s">
        <v>186</v>
      </c>
      <c r="G823">
        <v>15857</v>
      </c>
      <c r="H823" t="s">
        <v>149</v>
      </c>
      <c r="I823" t="s">
        <v>171</v>
      </c>
      <c r="J823">
        <v>2</v>
      </c>
      <c r="K823" t="s">
        <v>170</v>
      </c>
      <c r="L823" t="s">
        <v>182</v>
      </c>
      <c r="M823">
        <v>3</v>
      </c>
      <c r="N823" t="s">
        <v>166</v>
      </c>
      <c r="O823">
        <v>43</v>
      </c>
      <c r="P823" t="s">
        <v>142</v>
      </c>
      <c r="Q823" t="s">
        <v>143</v>
      </c>
      <c r="R823">
        <v>1</v>
      </c>
      <c r="S823" t="s">
        <v>168</v>
      </c>
      <c r="T823">
        <v>1</v>
      </c>
      <c r="U823" t="s">
        <v>152</v>
      </c>
      <c r="V823" t="s">
        <v>146</v>
      </c>
      <c r="W823">
        <v>1</v>
      </c>
    </row>
    <row r="824" spans="2:23" x14ac:dyDescent="0.3">
      <c r="B824">
        <v>820</v>
      </c>
      <c r="C824" t="s">
        <v>134</v>
      </c>
      <c r="D824">
        <v>18</v>
      </c>
      <c r="E824" t="s">
        <v>148</v>
      </c>
      <c r="F824" t="s">
        <v>136</v>
      </c>
      <c r="G824">
        <v>1345</v>
      </c>
      <c r="H824" t="s">
        <v>149</v>
      </c>
      <c r="I824" t="s">
        <v>150</v>
      </c>
      <c r="J824">
        <v>4</v>
      </c>
      <c r="K824" t="s">
        <v>172</v>
      </c>
      <c r="L824" t="s">
        <v>140</v>
      </c>
      <c r="M824">
        <v>3</v>
      </c>
      <c r="N824" t="s">
        <v>141</v>
      </c>
      <c r="O824">
        <v>26</v>
      </c>
      <c r="P824" t="s">
        <v>177</v>
      </c>
      <c r="Q824" t="s">
        <v>143</v>
      </c>
      <c r="R824">
        <v>1</v>
      </c>
      <c r="S824" t="s">
        <v>144</v>
      </c>
      <c r="T824">
        <v>1</v>
      </c>
      <c r="U824" t="s">
        <v>152</v>
      </c>
      <c r="V824" t="s">
        <v>146</v>
      </c>
      <c r="W824">
        <v>2</v>
      </c>
    </row>
    <row r="825" spans="2:23" x14ac:dyDescent="0.3">
      <c r="B825">
        <v>821</v>
      </c>
      <c r="C825" t="s">
        <v>153</v>
      </c>
      <c r="D825">
        <v>12</v>
      </c>
      <c r="E825" t="s">
        <v>148</v>
      </c>
      <c r="F825" t="s">
        <v>162</v>
      </c>
      <c r="G825">
        <v>1101</v>
      </c>
      <c r="H825" t="s">
        <v>149</v>
      </c>
      <c r="I825" t="s">
        <v>150</v>
      </c>
      <c r="J825">
        <v>3</v>
      </c>
      <c r="K825" t="s">
        <v>172</v>
      </c>
      <c r="L825" t="s">
        <v>140</v>
      </c>
      <c r="M825">
        <v>2</v>
      </c>
      <c r="N825" t="s">
        <v>141</v>
      </c>
      <c r="O825">
        <v>27</v>
      </c>
      <c r="P825" t="s">
        <v>142</v>
      </c>
      <c r="Q825" t="s">
        <v>143</v>
      </c>
      <c r="R825">
        <v>2</v>
      </c>
      <c r="S825" t="s">
        <v>144</v>
      </c>
      <c r="T825">
        <v>1</v>
      </c>
      <c r="U825" t="s">
        <v>145</v>
      </c>
      <c r="V825" t="s">
        <v>146</v>
      </c>
      <c r="W825">
        <v>1</v>
      </c>
    </row>
    <row r="826" spans="2:23" x14ac:dyDescent="0.3">
      <c r="B826">
        <v>822</v>
      </c>
      <c r="C826" t="s">
        <v>179</v>
      </c>
      <c r="D826">
        <v>12</v>
      </c>
      <c r="E826" t="s">
        <v>148</v>
      </c>
      <c r="F826" t="s">
        <v>136</v>
      </c>
      <c r="G826">
        <v>3016</v>
      </c>
      <c r="H826" t="s">
        <v>149</v>
      </c>
      <c r="I826" t="s">
        <v>150</v>
      </c>
      <c r="J826">
        <v>3</v>
      </c>
      <c r="K826" t="s">
        <v>172</v>
      </c>
      <c r="L826" t="s">
        <v>140</v>
      </c>
      <c r="M826">
        <v>1</v>
      </c>
      <c r="N826" t="s">
        <v>166</v>
      </c>
      <c r="O826">
        <v>24</v>
      </c>
      <c r="P826" t="s">
        <v>142</v>
      </c>
      <c r="Q826" t="s">
        <v>143</v>
      </c>
      <c r="R826">
        <v>1</v>
      </c>
      <c r="S826" t="s">
        <v>144</v>
      </c>
      <c r="T826">
        <v>1</v>
      </c>
      <c r="U826" t="s">
        <v>152</v>
      </c>
      <c r="V826" t="s">
        <v>146</v>
      </c>
      <c r="W826">
        <v>1</v>
      </c>
    </row>
    <row r="827" spans="2:23" x14ac:dyDescent="0.3">
      <c r="B827">
        <v>823</v>
      </c>
      <c r="C827" t="s">
        <v>134</v>
      </c>
      <c r="D827">
        <v>36</v>
      </c>
      <c r="E827" t="s">
        <v>148</v>
      </c>
      <c r="F827" t="s">
        <v>157</v>
      </c>
      <c r="G827">
        <v>2712</v>
      </c>
      <c r="H827" t="s">
        <v>149</v>
      </c>
      <c r="I827" t="s">
        <v>138</v>
      </c>
      <c r="J827">
        <v>2</v>
      </c>
      <c r="K827" t="s">
        <v>139</v>
      </c>
      <c r="L827" t="s">
        <v>140</v>
      </c>
      <c r="M827">
        <v>2</v>
      </c>
      <c r="N827" t="s">
        <v>159</v>
      </c>
      <c r="O827">
        <v>41</v>
      </c>
      <c r="P827" t="s">
        <v>177</v>
      </c>
      <c r="Q827" t="s">
        <v>143</v>
      </c>
      <c r="R827">
        <v>1</v>
      </c>
      <c r="S827" t="s">
        <v>144</v>
      </c>
      <c r="T827">
        <v>2</v>
      </c>
      <c r="U827" t="s">
        <v>152</v>
      </c>
      <c r="V827" t="s">
        <v>146</v>
      </c>
      <c r="W827">
        <v>2</v>
      </c>
    </row>
    <row r="828" spans="2:23" x14ac:dyDescent="0.3">
      <c r="B828">
        <v>824</v>
      </c>
      <c r="C828" t="s">
        <v>134</v>
      </c>
      <c r="D828">
        <v>8</v>
      </c>
      <c r="E828" t="s">
        <v>135</v>
      </c>
      <c r="F828" t="s">
        <v>162</v>
      </c>
      <c r="G828">
        <v>731</v>
      </c>
      <c r="H828" t="s">
        <v>149</v>
      </c>
      <c r="I828" t="s">
        <v>138</v>
      </c>
      <c r="J828">
        <v>4</v>
      </c>
      <c r="K828" t="s">
        <v>139</v>
      </c>
      <c r="L828" t="s">
        <v>140</v>
      </c>
      <c r="M828">
        <v>4</v>
      </c>
      <c r="N828" t="s">
        <v>141</v>
      </c>
      <c r="O828">
        <v>47</v>
      </c>
      <c r="P828" t="s">
        <v>142</v>
      </c>
      <c r="Q828" t="s">
        <v>143</v>
      </c>
      <c r="R828">
        <v>2</v>
      </c>
      <c r="S828" t="s">
        <v>156</v>
      </c>
      <c r="T828">
        <v>1</v>
      </c>
      <c r="U828" t="s">
        <v>152</v>
      </c>
      <c r="V828" t="s">
        <v>146</v>
      </c>
      <c r="W828">
        <v>1</v>
      </c>
    </row>
    <row r="829" spans="2:23" x14ac:dyDescent="0.3">
      <c r="B829">
        <v>825</v>
      </c>
      <c r="C829" t="s">
        <v>153</v>
      </c>
      <c r="D829">
        <v>18</v>
      </c>
      <c r="E829" t="s">
        <v>135</v>
      </c>
      <c r="F829" t="s">
        <v>157</v>
      </c>
      <c r="G829">
        <v>3780</v>
      </c>
      <c r="H829" t="s">
        <v>149</v>
      </c>
      <c r="I829" t="s">
        <v>173</v>
      </c>
      <c r="J829">
        <v>3</v>
      </c>
      <c r="K829" t="s">
        <v>170</v>
      </c>
      <c r="L829" t="s">
        <v>140</v>
      </c>
      <c r="M829">
        <v>2</v>
      </c>
      <c r="N829" t="s">
        <v>166</v>
      </c>
      <c r="O829">
        <v>35</v>
      </c>
      <c r="P829" t="s">
        <v>142</v>
      </c>
      <c r="Q829" t="s">
        <v>143</v>
      </c>
      <c r="R829">
        <v>2</v>
      </c>
      <c r="S829" t="s">
        <v>168</v>
      </c>
      <c r="T829">
        <v>1</v>
      </c>
      <c r="U829" t="s">
        <v>145</v>
      </c>
      <c r="V829" t="s">
        <v>146</v>
      </c>
      <c r="W829">
        <v>1</v>
      </c>
    </row>
    <row r="830" spans="2:23" x14ac:dyDescent="0.3">
      <c r="B830">
        <v>826</v>
      </c>
      <c r="C830" t="s">
        <v>134</v>
      </c>
      <c r="D830">
        <v>21</v>
      </c>
      <c r="E830" t="s">
        <v>135</v>
      </c>
      <c r="F830" t="s">
        <v>162</v>
      </c>
      <c r="G830">
        <v>1602</v>
      </c>
      <c r="H830" t="s">
        <v>149</v>
      </c>
      <c r="I830" t="s">
        <v>138</v>
      </c>
      <c r="J830">
        <v>4</v>
      </c>
      <c r="K830" t="s">
        <v>172</v>
      </c>
      <c r="L830" t="s">
        <v>140</v>
      </c>
      <c r="M830">
        <v>3</v>
      </c>
      <c r="N830" t="s">
        <v>166</v>
      </c>
      <c r="O830">
        <v>30</v>
      </c>
      <c r="P830" t="s">
        <v>142</v>
      </c>
      <c r="Q830" t="s">
        <v>143</v>
      </c>
      <c r="R830">
        <v>2</v>
      </c>
      <c r="S830" t="s">
        <v>144</v>
      </c>
      <c r="T830">
        <v>1</v>
      </c>
      <c r="U830" t="s">
        <v>145</v>
      </c>
      <c r="V830" t="s">
        <v>146</v>
      </c>
      <c r="W830">
        <v>1</v>
      </c>
    </row>
    <row r="831" spans="2:23" x14ac:dyDescent="0.3">
      <c r="B831">
        <v>827</v>
      </c>
      <c r="C831" t="s">
        <v>134</v>
      </c>
      <c r="D831">
        <v>18</v>
      </c>
      <c r="E831" t="s">
        <v>135</v>
      </c>
      <c r="F831" t="s">
        <v>162</v>
      </c>
      <c r="G831">
        <v>3966</v>
      </c>
      <c r="H831" t="s">
        <v>149</v>
      </c>
      <c r="I831" t="s">
        <v>138</v>
      </c>
      <c r="J831">
        <v>1</v>
      </c>
      <c r="K831" t="s">
        <v>151</v>
      </c>
      <c r="L831" t="s">
        <v>140</v>
      </c>
      <c r="M831">
        <v>4</v>
      </c>
      <c r="N831" t="s">
        <v>141</v>
      </c>
      <c r="O831">
        <v>33</v>
      </c>
      <c r="P831" t="s">
        <v>177</v>
      </c>
      <c r="Q831" t="s">
        <v>167</v>
      </c>
      <c r="R831">
        <v>3</v>
      </c>
      <c r="S831" t="s">
        <v>144</v>
      </c>
      <c r="T831">
        <v>1</v>
      </c>
      <c r="U831" t="s">
        <v>145</v>
      </c>
      <c r="V831" t="s">
        <v>146</v>
      </c>
      <c r="W831">
        <v>2</v>
      </c>
    </row>
    <row r="832" spans="2:23" x14ac:dyDescent="0.3">
      <c r="B832">
        <v>828</v>
      </c>
      <c r="C832" t="s">
        <v>153</v>
      </c>
      <c r="D832">
        <v>18</v>
      </c>
      <c r="E832" t="s">
        <v>176</v>
      </c>
      <c r="F832" t="s">
        <v>174</v>
      </c>
      <c r="G832">
        <v>4165</v>
      </c>
      <c r="H832" t="s">
        <v>149</v>
      </c>
      <c r="I832" t="s">
        <v>150</v>
      </c>
      <c r="J832">
        <v>2</v>
      </c>
      <c r="K832" t="s">
        <v>139</v>
      </c>
      <c r="L832" t="s">
        <v>140</v>
      </c>
      <c r="M832">
        <v>2</v>
      </c>
      <c r="N832" t="s">
        <v>166</v>
      </c>
      <c r="O832">
        <v>36</v>
      </c>
      <c r="P832" t="s">
        <v>181</v>
      </c>
      <c r="Q832" t="s">
        <v>143</v>
      </c>
      <c r="R832">
        <v>2</v>
      </c>
      <c r="S832" t="s">
        <v>144</v>
      </c>
      <c r="T832">
        <v>2</v>
      </c>
      <c r="U832" t="s">
        <v>152</v>
      </c>
      <c r="V832" t="s">
        <v>146</v>
      </c>
      <c r="W832">
        <v>2</v>
      </c>
    </row>
    <row r="833" spans="2:23" x14ac:dyDescent="0.3">
      <c r="B833">
        <v>829</v>
      </c>
      <c r="C833" t="s">
        <v>134</v>
      </c>
      <c r="D833">
        <v>36</v>
      </c>
      <c r="E833" t="s">
        <v>148</v>
      </c>
      <c r="F833" t="s">
        <v>165</v>
      </c>
      <c r="G833">
        <v>8335</v>
      </c>
      <c r="H833" t="s">
        <v>137</v>
      </c>
      <c r="I833" t="s">
        <v>138</v>
      </c>
      <c r="J833">
        <v>3</v>
      </c>
      <c r="K833" t="s">
        <v>139</v>
      </c>
      <c r="L833" t="s">
        <v>140</v>
      </c>
      <c r="M833">
        <v>4</v>
      </c>
      <c r="N833" t="s">
        <v>163</v>
      </c>
      <c r="O833">
        <v>47</v>
      </c>
      <c r="P833" t="s">
        <v>142</v>
      </c>
      <c r="Q833" t="s">
        <v>160</v>
      </c>
      <c r="R833">
        <v>1</v>
      </c>
      <c r="S833" t="s">
        <v>144</v>
      </c>
      <c r="T833">
        <v>1</v>
      </c>
      <c r="U833" t="s">
        <v>152</v>
      </c>
      <c r="V833" t="s">
        <v>146</v>
      </c>
      <c r="W833">
        <v>2</v>
      </c>
    </row>
    <row r="834" spans="2:23" x14ac:dyDescent="0.3">
      <c r="B834">
        <v>830</v>
      </c>
      <c r="C834" t="s">
        <v>147</v>
      </c>
      <c r="D834">
        <v>48</v>
      </c>
      <c r="E834" t="s">
        <v>161</v>
      </c>
      <c r="F834" t="s">
        <v>174</v>
      </c>
      <c r="G834">
        <v>6681</v>
      </c>
      <c r="H834" t="s">
        <v>137</v>
      </c>
      <c r="I834" t="s">
        <v>150</v>
      </c>
      <c r="J834">
        <v>4</v>
      </c>
      <c r="K834" t="s">
        <v>139</v>
      </c>
      <c r="L834" t="s">
        <v>140</v>
      </c>
      <c r="M834">
        <v>4</v>
      </c>
      <c r="N834" t="s">
        <v>163</v>
      </c>
      <c r="O834">
        <v>38</v>
      </c>
      <c r="P834" t="s">
        <v>142</v>
      </c>
      <c r="Q834" t="s">
        <v>160</v>
      </c>
      <c r="R834">
        <v>1</v>
      </c>
      <c r="S834" t="s">
        <v>144</v>
      </c>
      <c r="T834">
        <v>2</v>
      </c>
      <c r="U834" t="s">
        <v>145</v>
      </c>
      <c r="V834" t="s">
        <v>146</v>
      </c>
      <c r="W834">
        <v>1</v>
      </c>
    </row>
    <row r="835" spans="2:23" x14ac:dyDescent="0.3">
      <c r="B835">
        <v>831</v>
      </c>
      <c r="C835" t="s">
        <v>153</v>
      </c>
      <c r="D835">
        <v>24</v>
      </c>
      <c r="E835" t="s">
        <v>161</v>
      </c>
      <c r="F835" t="s">
        <v>174</v>
      </c>
      <c r="G835">
        <v>2375</v>
      </c>
      <c r="H835" t="s">
        <v>164</v>
      </c>
      <c r="I835" t="s">
        <v>150</v>
      </c>
      <c r="J835">
        <v>4</v>
      </c>
      <c r="K835" t="s">
        <v>139</v>
      </c>
      <c r="L835" t="s">
        <v>140</v>
      </c>
      <c r="M835">
        <v>2</v>
      </c>
      <c r="N835" t="s">
        <v>166</v>
      </c>
      <c r="O835">
        <v>44</v>
      </c>
      <c r="P835" t="s">
        <v>142</v>
      </c>
      <c r="Q835" t="s">
        <v>143</v>
      </c>
      <c r="R835">
        <v>2</v>
      </c>
      <c r="S835" t="s">
        <v>144</v>
      </c>
      <c r="T835">
        <v>2</v>
      </c>
      <c r="U835" t="s">
        <v>145</v>
      </c>
      <c r="V835" t="s">
        <v>146</v>
      </c>
      <c r="W835">
        <v>1</v>
      </c>
    </row>
    <row r="836" spans="2:23" x14ac:dyDescent="0.3">
      <c r="B836">
        <v>832</v>
      </c>
      <c r="C836" t="s">
        <v>134</v>
      </c>
      <c r="D836">
        <v>18</v>
      </c>
      <c r="E836" t="s">
        <v>148</v>
      </c>
      <c r="F836" t="s">
        <v>162</v>
      </c>
      <c r="G836">
        <v>1216</v>
      </c>
      <c r="H836" t="s">
        <v>149</v>
      </c>
      <c r="I836" t="s">
        <v>173</v>
      </c>
      <c r="J836">
        <v>4</v>
      </c>
      <c r="K836" t="s">
        <v>151</v>
      </c>
      <c r="L836" t="s">
        <v>140</v>
      </c>
      <c r="M836">
        <v>3</v>
      </c>
      <c r="N836" t="s">
        <v>166</v>
      </c>
      <c r="O836">
        <v>23</v>
      </c>
      <c r="P836" t="s">
        <v>142</v>
      </c>
      <c r="Q836" t="s">
        <v>167</v>
      </c>
      <c r="R836">
        <v>1</v>
      </c>
      <c r="S836" t="s">
        <v>144</v>
      </c>
      <c r="T836">
        <v>1</v>
      </c>
      <c r="U836" t="s">
        <v>145</v>
      </c>
      <c r="V836" t="s">
        <v>146</v>
      </c>
      <c r="W836">
        <v>2</v>
      </c>
    </row>
    <row r="837" spans="2:23" x14ac:dyDescent="0.3">
      <c r="B837">
        <v>833</v>
      </c>
      <c r="C837" t="s">
        <v>134</v>
      </c>
      <c r="D837">
        <v>45</v>
      </c>
      <c r="E837" t="s">
        <v>176</v>
      </c>
      <c r="F837" t="s">
        <v>174</v>
      </c>
      <c r="G837">
        <v>11816</v>
      </c>
      <c r="H837" t="s">
        <v>149</v>
      </c>
      <c r="I837" t="s">
        <v>138</v>
      </c>
      <c r="J837">
        <v>2</v>
      </c>
      <c r="K837" t="s">
        <v>139</v>
      </c>
      <c r="L837" t="s">
        <v>140</v>
      </c>
      <c r="M837">
        <v>4</v>
      </c>
      <c r="N837" t="s">
        <v>166</v>
      </c>
      <c r="O837">
        <v>29</v>
      </c>
      <c r="P837" t="s">
        <v>142</v>
      </c>
      <c r="Q837" t="s">
        <v>167</v>
      </c>
      <c r="R837">
        <v>2</v>
      </c>
      <c r="S837" t="s">
        <v>144</v>
      </c>
      <c r="T837">
        <v>1</v>
      </c>
      <c r="U837" t="s">
        <v>152</v>
      </c>
      <c r="V837" t="s">
        <v>146</v>
      </c>
      <c r="W837">
        <v>2</v>
      </c>
    </row>
    <row r="838" spans="2:23" x14ac:dyDescent="0.3">
      <c r="B838">
        <v>834</v>
      </c>
      <c r="C838" t="s">
        <v>147</v>
      </c>
      <c r="D838">
        <v>24</v>
      </c>
      <c r="E838" t="s">
        <v>148</v>
      </c>
      <c r="F838" t="s">
        <v>136</v>
      </c>
      <c r="G838">
        <v>5084</v>
      </c>
      <c r="H838" t="s">
        <v>137</v>
      </c>
      <c r="I838" t="s">
        <v>138</v>
      </c>
      <c r="J838">
        <v>2</v>
      </c>
      <c r="K838" t="s">
        <v>151</v>
      </c>
      <c r="L838" t="s">
        <v>140</v>
      </c>
      <c r="M838">
        <v>4</v>
      </c>
      <c r="N838" t="s">
        <v>166</v>
      </c>
      <c r="O838">
        <v>42</v>
      </c>
      <c r="P838" t="s">
        <v>142</v>
      </c>
      <c r="Q838" t="s">
        <v>143</v>
      </c>
      <c r="R838">
        <v>1</v>
      </c>
      <c r="S838" t="s">
        <v>144</v>
      </c>
      <c r="T838">
        <v>1</v>
      </c>
      <c r="U838" t="s">
        <v>145</v>
      </c>
      <c r="V838" t="s">
        <v>146</v>
      </c>
      <c r="W838">
        <v>1</v>
      </c>
    </row>
    <row r="839" spans="2:23" x14ac:dyDescent="0.3">
      <c r="B839">
        <v>835</v>
      </c>
      <c r="C839" t="s">
        <v>179</v>
      </c>
      <c r="D839">
        <v>15</v>
      </c>
      <c r="E839" t="s">
        <v>148</v>
      </c>
      <c r="F839" t="s">
        <v>136</v>
      </c>
      <c r="G839">
        <v>2327</v>
      </c>
      <c r="H839" t="s">
        <v>149</v>
      </c>
      <c r="I839" t="s">
        <v>173</v>
      </c>
      <c r="J839">
        <v>2</v>
      </c>
      <c r="K839" t="s">
        <v>151</v>
      </c>
      <c r="L839" t="s">
        <v>140</v>
      </c>
      <c r="M839">
        <v>3</v>
      </c>
      <c r="N839" t="s">
        <v>141</v>
      </c>
      <c r="O839">
        <v>25</v>
      </c>
      <c r="P839" t="s">
        <v>142</v>
      </c>
      <c r="Q839" t="s">
        <v>143</v>
      </c>
      <c r="R839">
        <v>1</v>
      </c>
      <c r="S839" t="s">
        <v>156</v>
      </c>
      <c r="T839">
        <v>1</v>
      </c>
      <c r="U839" t="s">
        <v>152</v>
      </c>
      <c r="V839" t="s">
        <v>146</v>
      </c>
      <c r="W839">
        <v>2</v>
      </c>
    </row>
    <row r="840" spans="2:23" x14ac:dyDescent="0.3">
      <c r="B840">
        <v>836</v>
      </c>
      <c r="C840" t="s">
        <v>134</v>
      </c>
      <c r="D840">
        <v>12</v>
      </c>
      <c r="E840" t="s">
        <v>176</v>
      </c>
      <c r="F840" t="s">
        <v>162</v>
      </c>
      <c r="G840">
        <v>1082</v>
      </c>
      <c r="H840" t="s">
        <v>149</v>
      </c>
      <c r="I840" t="s">
        <v>150</v>
      </c>
      <c r="J840">
        <v>4</v>
      </c>
      <c r="K840" t="s">
        <v>139</v>
      </c>
      <c r="L840" t="s">
        <v>140</v>
      </c>
      <c r="M840">
        <v>4</v>
      </c>
      <c r="N840" t="s">
        <v>166</v>
      </c>
      <c r="O840">
        <v>48</v>
      </c>
      <c r="P840" t="s">
        <v>177</v>
      </c>
      <c r="Q840" t="s">
        <v>143</v>
      </c>
      <c r="R840">
        <v>2</v>
      </c>
      <c r="S840" t="s">
        <v>144</v>
      </c>
      <c r="T840">
        <v>1</v>
      </c>
      <c r="U840" t="s">
        <v>152</v>
      </c>
      <c r="V840" t="s">
        <v>146</v>
      </c>
      <c r="W840">
        <v>2</v>
      </c>
    </row>
    <row r="841" spans="2:23" x14ac:dyDescent="0.3">
      <c r="B841">
        <v>837</v>
      </c>
      <c r="C841" t="s">
        <v>153</v>
      </c>
      <c r="D841">
        <v>12</v>
      </c>
      <c r="E841" t="s">
        <v>148</v>
      </c>
      <c r="F841" t="s">
        <v>136</v>
      </c>
      <c r="G841">
        <v>886</v>
      </c>
      <c r="H841" t="s">
        <v>137</v>
      </c>
      <c r="I841" t="s">
        <v>150</v>
      </c>
      <c r="J841">
        <v>4</v>
      </c>
      <c r="K841" t="s">
        <v>151</v>
      </c>
      <c r="L841" t="s">
        <v>140</v>
      </c>
      <c r="M841">
        <v>2</v>
      </c>
      <c r="N841" t="s">
        <v>166</v>
      </c>
      <c r="O841">
        <v>21</v>
      </c>
      <c r="P841" t="s">
        <v>142</v>
      </c>
      <c r="Q841" t="s">
        <v>143</v>
      </c>
      <c r="R841">
        <v>1</v>
      </c>
      <c r="S841" t="s">
        <v>144</v>
      </c>
      <c r="T841">
        <v>1</v>
      </c>
      <c r="U841" t="s">
        <v>152</v>
      </c>
      <c r="V841" t="s">
        <v>146</v>
      </c>
      <c r="W841">
        <v>1</v>
      </c>
    </row>
    <row r="842" spans="2:23" x14ac:dyDescent="0.3">
      <c r="B842">
        <v>838</v>
      </c>
      <c r="C842" t="s">
        <v>153</v>
      </c>
      <c r="D842">
        <v>4</v>
      </c>
      <c r="E842" t="s">
        <v>148</v>
      </c>
      <c r="F842" t="s">
        <v>157</v>
      </c>
      <c r="G842">
        <v>601</v>
      </c>
      <c r="H842" t="s">
        <v>149</v>
      </c>
      <c r="I842" t="s">
        <v>173</v>
      </c>
      <c r="J842">
        <v>1</v>
      </c>
      <c r="K842" t="s">
        <v>151</v>
      </c>
      <c r="L842" t="s">
        <v>140</v>
      </c>
      <c r="M842">
        <v>3</v>
      </c>
      <c r="N842" t="s">
        <v>141</v>
      </c>
      <c r="O842">
        <v>23</v>
      </c>
      <c r="P842" t="s">
        <v>142</v>
      </c>
      <c r="Q842" t="s">
        <v>167</v>
      </c>
      <c r="R842">
        <v>1</v>
      </c>
      <c r="S842" t="s">
        <v>156</v>
      </c>
      <c r="T842">
        <v>2</v>
      </c>
      <c r="U842" t="s">
        <v>152</v>
      </c>
      <c r="V842" t="s">
        <v>146</v>
      </c>
      <c r="W842">
        <v>1</v>
      </c>
    </row>
    <row r="843" spans="2:23" x14ac:dyDescent="0.3">
      <c r="B843">
        <v>839</v>
      </c>
      <c r="C843" t="s">
        <v>134</v>
      </c>
      <c r="D843">
        <v>24</v>
      </c>
      <c r="E843" t="s">
        <v>135</v>
      </c>
      <c r="F843" t="s">
        <v>165</v>
      </c>
      <c r="G843">
        <v>2957</v>
      </c>
      <c r="H843" t="s">
        <v>149</v>
      </c>
      <c r="I843" t="s">
        <v>138</v>
      </c>
      <c r="J843">
        <v>4</v>
      </c>
      <c r="K843" t="s">
        <v>139</v>
      </c>
      <c r="L843" t="s">
        <v>140</v>
      </c>
      <c r="M843">
        <v>4</v>
      </c>
      <c r="N843" t="s">
        <v>159</v>
      </c>
      <c r="O843">
        <v>63</v>
      </c>
      <c r="P843" t="s">
        <v>142</v>
      </c>
      <c r="Q843" t="s">
        <v>143</v>
      </c>
      <c r="R843">
        <v>2</v>
      </c>
      <c r="S843" t="s">
        <v>144</v>
      </c>
      <c r="T843">
        <v>1</v>
      </c>
      <c r="U843" t="s">
        <v>145</v>
      </c>
      <c r="V843" t="s">
        <v>146</v>
      </c>
      <c r="W843">
        <v>1</v>
      </c>
    </row>
    <row r="844" spans="2:23" x14ac:dyDescent="0.3">
      <c r="B844">
        <v>840</v>
      </c>
      <c r="C844" t="s">
        <v>153</v>
      </c>
      <c r="D844">
        <v>24</v>
      </c>
      <c r="E844" t="s">
        <v>135</v>
      </c>
      <c r="F844" t="s">
        <v>136</v>
      </c>
      <c r="G844">
        <v>2611</v>
      </c>
      <c r="H844" t="s">
        <v>149</v>
      </c>
      <c r="I844" t="s">
        <v>138</v>
      </c>
      <c r="J844">
        <v>4</v>
      </c>
      <c r="K844" t="s">
        <v>172</v>
      </c>
      <c r="L844" t="s">
        <v>182</v>
      </c>
      <c r="M844">
        <v>3</v>
      </c>
      <c r="N844" t="s">
        <v>141</v>
      </c>
      <c r="O844">
        <v>46</v>
      </c>
      <c r="P844" t="s">
        <v>142</v>
      </c>
      <c r="Q844" t="s">
        <v>143</v>
      </c>
      <c r="R844">
        <v>2</v>
      </c>
      <c r="S844" t="s">
        <v>144</v>
      </c>
      <c r="T844">
        <v>1</v>
      </c>
      <c r="U844" t="s">
        <v>152</v>
      </c>
      <c r="V844" t="s">
        <v>146</v>
      </c>
      <c r="W844">
        <v>1</v>
      </c>
    </row>
    <row r="845" spans="2:23" x14ac:dyDescent="0.3">
      <c r="B845">
        <v>841</v>
      </c>
      <c r="C845" t="s">
        <v>134</v>
      </c>
      <c r="D845">
        <v>36</v>
      </c>
      <c r="E845" t="s">
        <v>148</v>
      </c>
      <c r="F845" t="s">
        <v>157</v>
      </c>
      <c r="G845">
        <v>5179</v>
      </c>
      <c r="H845" t="s">
        <v>149</v>
      </c>
      <c r="I845" t="s">
        <v>155</v>
      </c>
      <c r="J845">
        <v>4</v>
      </c>
      <c r="K845" t="s">
        <v>139</v>
      </c>
      <c r="L845" t="s">
        <v>140</v>
      </c>
      <c r="M845">
        <v>2</v>
      </c>
      <c r="N845" t="s">
        <v>159</v>
      </c>
      <c r="O845">
        <v>29</v>
      </c>
      <c r="P845" t="s">
        <v>142</v>
      </c>
      <c r="Q845" t="s">
        <v>143</v>
      </c>
      <c r="R845">
        <v>1</v>
      </c>
      <c r="S845" t="s">
        <v>144</v>
      </c>
      <c r="T845">
        <v>1</v>
      </c>
      <c r="U845" t="s">
        <v>152</v>
      </c>
      <c r="V845" t="s">
        <v>146</v>
      </c>
      <c r="W845">
        <v>2</v>
      </c>
    </row>
    <row r="846" spans="2:23" x14ac:dyDescent="0.3">
      <c r="B846">
        <v>842</v>
      </c>
      <c r="C846" t="s">
        <v>153</v>
      </c>
      <c r="D846">
        <v>21</v>
      </c>
      <c r="E846" t="s">
        <v>161</v>
      </c>
      <c r="F846" t="s">
        <v>165</v>
      </c>
      <c r="G846">
        <v>2993</v>
      </c>
      <c r="H846" t="s">
        <v>149</v>
      </c>
      <c r="I846" t="s">
        <v>150</v>
      </c>
      <c r="J846">
        <v>3</v>
      </c>
      <c r="K846" t="s">
        <v>139</v>
      </c>
      <c r="L846" t="s">
        <v>140</v>
      </c>
      <c r="M846">
        <v>2</v>
      </c>
      <c r="N846" t="s">
        <v>141</v>
      </c>
      <c r="O846">
        <v>28</v>
      </c>
      <c r="P846" t="s">
        <v>181</v>
      </c>
      <c r="Q846" t="s">
        <v>143</v>
      </c>
      <c r="R846">
        <v>2</v>
      </c>
      <c r="S846" t="s">
        <v>156</v>
      </c>
      <c r="T846">
        <v>1</v>
      </c>
      <c r="U846" t="s">
        <v>152</v>
      </c>
      <c r="V846" t="s">
        <v>146</v>
      </c>
      <c r="W846">
        <v>1</v>
      </c>
    </row>
    <row r="847" spans="2:23" x14ac:dyDescent="0.3">
      <c r="B847">
        <v>843</v>
      </c>
      <c r="C847" t="s">
        <v>153</v>
      </c>
      <c r="D847">
        <v>18</v>
      </c>
      <c r="E847" t="s">
        <v>148</v>
      </c>
      <c r="F847" t="s">
        <v>184</v>
      </c>
      <c r="G847">
        <v>1943</v>
      </c>
      <c r="H847" t="s">
        <v>149</v>
      </c>
      <c r="I847" t="s">
        <v>173</v>
      </c>
      <c r="J847">
        <v>4</v>
      </c>
      <c r="K847" t="s">
        <v>151</v>
      </c>
      <c r="L847" t="s">
        <v>140</v>
      </c>
      <c r="M847">
        <v>4</v>
      </c>
      <c r="N847" t="s">
        <v>141</v>
      </c>
      <c r="O847">
        <v>23</v>
      </c>
      <c r="P847" t="s">
        <v>142</v>
      </c>
      <c r="Q847" t="s">
        <v>143</v>
      </c>
      <c r="R847">
        <v>1</v>
      </c>
      <c r="S847" t="s">
        <v>144</v>
      </c>
      <c r="T847">
        <v>1</v>
      </c>
      <c r="U847" t="s">
        <v>152</v>
      </c>
      <c r="V847" t="s">
        <v>146</v>
      </c>
      <c r="W847">
        <v>2</v>
      </c>
    </row>
    <row r="848" spans="2:23" x14ac:dyDescent="0.3">
      <c r="B848">
        <v>844</v>
      </c>
      <c r="C848" t="s">
        <v>153</v>
      </c>
      <c r="D848">
        <v>24</v>
      </c>
      <c r="E848" t="s">
        <v>180</v>
      </c>
      <c r="F848" t="s">
        <v>174</v>
      </c>
      <c r="G848">
        <v>1559</v>
      </c>
      <c r="H848" t="s">
        <v>149</v>
      </c>
      <c r="I848" t="s">
        <v>155</v>
      </c>
      <c r="J848">
        <v>4</v>
      </c>
      <c r="K848" t="s">
        <v>139</v>
      </c>
      <c r="L848" t="s">
        <v>140</v>
      </c>
      <c r="M848">
        <v>4</v>
      </c>
      <c r="N848" t="s">
        <v>166</v>
      </c>
      <c r="O848">
        <v>50</v>
      </c>
      <c r="P848" t="s">
        <v>177</v>
      </c>
      <c r="Q848" t="s">
        <v>143</v>
      </c>
      <c r="R848">
        <v>1</v>
      </c>
      <c r="S848" t="s">
        <v>144</v>
      </c>
      <c r="T848">
        <v>1</v>
      </c>
      <c r="U848" t="s">
        <v>145</v>
      </c>
      <c r="V848" t="s">
        <v>146</v>
      </c>
      <c r="W848">
        <v>1</v>
      </c>
    </row>
    <row r="849" spans="2:23" x14ac:dyDescent="0.3">
      <c r="B849">
        <v>845</v>
      </c>
      <c r="C849" t="s">
        <v>153</v>
      </c>
      <c r="D849">
        <v>18</v>
      </c>
      <c r="E849" t="s">
        <v>148</v>
      </c>
      <c r="F849" t="s">
        <v>157</v>
      </c>
      <c r="G849">
        <v>3422</v>
      </c>
      <c r="H849" t="s">
        <v>149</v>
      </c>
      <c r="I849" t="s">
        <v>138</v>
      </c>
      <c r="J849">
        <v>4</v>
      </c>
      <c r="K849" t="s">
        <v>139</v>
      </c>
      <c r="L849" t="s">
        <v>140</v>
      </c>
      <c r="M849">
        <v>4</v>
      </c>
      <c r="N849" t="s">
        <v>159</v>
      </c>
      <c r="O849">
        <v>47</v>
      </c>
      <c r="P849" t="s">
        <v>177</v>
      </c>
      <c r="Q849" t="s">
        <v>143</v>
      </c>
      <c r="R849">
        <v>3</v>
      </c>
      <c r="S849" t="s">
        <v>144</v>
      </c>
      <c r="T849">
        <v>2</v>
      </c>
      <c r="U849" t="s">
        <v>145</v>
      </c>
      <c r="V849" t="s">
        <v>146</v>
      </c>
      <c r="W849">
        <v>1</v>
      </c>
    </row>
    <row r="850" spans="2:23" x14ac:dyDescent="0.3">
      <c r="B850">
        <v>846</v>
      </c>
      <c r="C850" t="s">
        <v>147</v>
      </c>
      <c r="D850">
        <v>21</v>
      </c>
      <c r="E850" t="s">
        <v>148</v>
      </c>
      <c r="F850" t="s">
        <v>157</v>
      </c>
      <c r="G850">
        <v>3976</v>
      </c>
      <c r="H850" t="s">
        <v>137</v>
      </c>
      <c r="I850" t="s">
        <v>155</v>
      </c>
      <c r="J850">
        <v>2</v>
      </c>
      <c r="K850" t="s">
        <v>139</v>
      </c>
      <c r="L850" t="s">
        <v>140</v>
      </c>
      <c r="M850">
        <v>3</v>
      </c>
      <c r="N850" t="s">
        <v>166</v>
      </c>
      <c r="O850">
        <v>35</v>
      </c>
      <c r="P850" t="s">
        <v>142</v>
      </c>
      <c r="Q850" t="s">
        <v>143</v>
      </c>
      <c r="R850">
        <v>1</v>
      </c>
      <c r="S850" t="s">
        <v>144</v>
      </c>
      <c r="T850">
        <v>1</v>
      </c>
      <c r="U850" t="s">
        <v>145</v>
      </c>
      <c r="V850" t="s">
        <v>146</v>
      </c>
      <c r="W850">
        <v>1</v>
      </c>
    </row>
    <row r="851" spans="2:23" x14ac:dyDescent="0.3">
      <c r="B851">
        <v>847</v>
      </c>
      <c r="C851" t="s">
        <v>153</v>
      </c>
      <c r="D851">
        <v>18</v>
      </c>
      <c r="E851" t="s">
        <v>148</v>
      </c>
      <c r="F851" t="s">
        <v>162</v>
      </c>
      <c r="G851">
        <v>6761</v>
      </c>
      <c r="H851" t="s">
        <v>137</v>
      </c>
      <c r="I851" t="s">
        <v>150</v>
      </c>
      <c r="J851">
        <v>2</v>
      </c>
      <c r="K851" t="s">
        <v>139</v>
      </c>
      <c r="L851" t="s">
        <v>140</v>
      </c>
      <c r="M851">
        <v>4</v>
      </c>
      <c r="N851" t="s">
        <v>166</v>
      </c>
      <c r="O851">
        <v>68</v>
      </c>
      <c r="P851" t="s">
        <v>142</v>
      </c>
      <c r="Q851" t="s">
        <v>167</v>
      </c>
      <c r="R851">
        <v>2</v>
      </c>
      <c r="S851" t="s">
        <v>144</v>
      </c>
      <c r="T851">
        <v>1</v>
      </c>
      <c r="U851" t="s">
        <v>152</v>
      </c>
      <c r="V851" t="s">
        <v>146</v>
      </c>
      <c r="W851">
        <v>2</v>
      </c>
    </row>
    <row r="852" spans="2:23" x14ac:dyDescent="0.3">
      <c r="B852">
        <v>848</v>
      </c>
      <c r="C852" t="s">
        <v>153</v>
      </c>
      <c r="D852">
        <v>24</v>
      </c>
      <c r="E852" t="s">
        <v>148</v>
      </c>
      <c r="F852" t="s">
        <v>162</v>
      </c>
      <c r="G852">
        <v>1249</v>
      </c>
      <c r="H852" t="s">
        <v>149</v>
      </c>
      <c r="I852" t="s">
        <v>173</v>
      </c>
      <c r="J852">
        <v>4</v>
      </c>
      <c r="K852" t="s">
        <v>172</v>
      </c>
      <c r="L852" t="s">
        <v>140</v>
      </c>
      <c r="M852">
        <v>2</v>
      </c>
      <c r="N852" t="s">
        <v>141</v>
      </c>
      <c r="O852">
        <v>28</v>
      </c>
      <c r="P852" t="s">
        <v>142</v>
      </c>
      <c r="Q852" t="s">
        <v>143</v>
      </c>
      <c r="R852">
        <v>1</v>
      </c>
      <c r="S852" t="s">
        <v>144</v>
      </c>
      <c r="T852">
        <v>1</v>
      </c>
      <c r="U852" t="s">
        <v>152</v>
      </c>
      <c r="V852" t="s">
        <v>146</v>
      </c>
      <c r="W852">
        <v>1</v>
      </c>
    </row>
    <row r="853" spans="2:23" x14ac:dyDescent="0.3">
      <c r="B853">
        <v>849</v>
      </c>
      <c r="C853" t="s">
        <v>134</v>
      </c>
      <c r="D853">
        <v>9</v>
      </c>
      <c r="E853" t="s">
        <v>148</v>
      </c>
      <c r="F853" t="s">
        <v>136</v>
      </c>
      <c r="G853">
        <v>1364</v>
      </c>
      <c r="H853" t="s">
        <v>149</v>
      </c>
      <c r="I853" t="s">
        <v>155</v>
      </c>
      <c r="J853">
        <v>3</v>
      </c>
      <c r="K853" t="s">
        <v>139</v>
      </c>
      <c r="L853" t="s">
        <v>140</v>
      </c>
      <c r="M853">
        <v>4</v>
      </c>
      <c r="N853" t="s">
        <v>141</v>
      </c>
      <c r="O853">
        <v>59</v>
      </c>
      <c r="P853" t="s">
        <v>142</v>
      </c>
      <c r="Q853" t="s">
        <v>143</v>
      </c>
      <c r="R853">
        <v>1</v>
      </c>
      <c r="S853" t="s">
        <v>144</v>
      </c>
      <c r="T853">
        <v>1</v>
      </c>
      <c r="U853" t="s">
        <v>152</v>
      </c>
      <c r="V853" t="s">
        <v>146</v>
      </c>
      <c r="W853">
        <v>1</v>
      </c>
    </row>
    <row r="854" spans="2:23" x14ac:dyDescent="0.3">
      <c r="B854">
        <v>850</v>
      </c>
      <c r="C854" t="s">
        <v>134</v>
      </c>
      <c r="D854">
        <v>12</v>
      </c>
      <c r="E854" t="s">
        <v>148</v>
      </c>
      <c r="F854" t="s">
        <v>136</v>
      </c>
      <c r="G854">
        <v>709</v>
      </c>
      <c r="H854" t="s">
        <v>149</v>
      </c>
      <c r="I854" t="s">
        <v>138</v>
      </c>
      <c r="J854">
        <v>4</v>
      </c>
      <c r="K854" t="s">
        <v>139</v>
      </c>
      <c r="L854" t="s">
        <v>140</v>
      </c>
      <c r="M854">
        <v>4</v>
      </c>
      <c r="N854" t="s">
        <v>141</v>
      </c>
      <c r="O854">
        <v>57</v>
      </c>
      <c r="P854" t="s">
        <v>181</v>
      </c>
      <c r="Q854" t="s">
        <v>143</v>
      </c>
      <c r="R854">
        <v>1</v>
      </c>
      <c r="S854" t="s">
        <v>156</v>
      </c>
      <c r="T854">
        <v>1</v>
      </c>
      <c r="U854" t="s">
        <v>152</v>
      </c>
      <c r="V854" t="s">
        <v>146</v>
      </c>
      <c r="W854">
        <v>2</v>
      </c>
    </row>
    <row r="855" spans="2:23" x14ac:dyDescent="0.3">
      <c r="B855">
        <v>851</v>
      </c>
      <c r="C855" t="s">
        <v>134</v>
      </c>
      <c r="D855">
        <v>20</v>
      </c>
      <c r="E855" t="s">
        <v>135</v>
      </c>
      <c r="F855" t="s">
        <v>162</v>
      </c>
      <c r="G855">
        <v>2235</v>
      </c>
      <c r="H855" t="s">
        <v>149</v>
      </c>
      <c r="I855" t="s">
        <v>150</v>
      </c>
      <c r="J855">
        <v>4</v>
      </c>
      <c r="K855" t="s">
        <v>172</v>
      </c>
      <c r="L855" t="s">
        <v>158</v>
      </c>
      <c r="M855">
        <v>2</v>
      </c>
      <c r="N855" t="s">
        <v>159</v>
      </c>
      <c r="O855">
        <v>33</v>
      </c>
      <c r="P855" t="s">
        <v>177</v>
      </c>
      <c r="Q855" t="s">
        <v>167</v>
      </c>
      <c r="R855">
        <v>2</v>
      </c>
      <c r="S855" t="s">
        <v>144</v>
      </c>
      <c r="T855">
        <v>1</v>
      </c>
      <c r="U855" t="s">
        <v>152</v>
      </c>
      <c r="V855" t="s">
        <v>178</v>
      </c>
      <c r="W855">
        <v>2</v>
      </c>
    </row>
    <row r="856" spans="2:23" x14ac:dyDescent="0.3">
      <c r="B856">
        <v>852</v>
      </c>
      <c r="C856" t="s">
        <v>153</v>
      </c>
      <c r="D856">
        <v>24</v>
      </c>
      <c r="E856" t="s">
        <v>135</v>
      </c>
      <c r="F856" t="s">
        <v>165</v>
      </c>
      <c r="G856">
        <v>4042</v>
      </c>
      <c r="H856" t="s">
        <v>137</v>
      </c>
      <c r="I856" t="s">
        <v>155</v>
      </c>
      <c r="J856">
        <v>3</v>
      </c>
      <c r="K856" t="s">
        <v>139</v>
      </c>
      <c r="L856" t="s">
        <v>140</v>
      </c>
      <c r="M856">
        <v>4</v>
      </c>
      <c r="N856" t="s">
        <v>159</v>
      </c>
      <c r="O856">
        <v>43</v>
      </c>
      <c r="P856" t="s">
        <v>142</v>
      </c>
      <c r="Q856" t="s">
        <v>143</v>
      </c>
      <c r="R856">
        <v>2</v>
      </c>
      <c r="S856" t="s">
        <v>144</v>
      </c>
      <c r="T856">
        <v>1</v>
      </c>
      <c r="U856" t="s">
        <v>145</v>
      </c>
      <c r="V856" t="s">
        <v>146</v>
      </c>
      <c r="W856">
        <v>1</v>
      </c>
    </row>
    <row r="857" spans="2:23" x14ac:dyDescent="0.3">
      <c r="B857">
        <v>853</v>
      </c>
      <c r="C857" t="s">
        <v>153</v>
      </c>
      <c r="D857">
        <v>15</v>
      </c>
      <c r="E857" t="s">
        <v>135</v>
      </c>
      <c r="F857" t="s">
        <v>136</v>
      </c>
      <c r="G857">
        <v>1471</v>
      </c>
      <c r="H857" t="s">
        <v>149</v>
      </c>
      <c r="I857" t="s">
        <v>150</v>
      </c>
      <c r="J857">
        <v>4</v>
      </c>
      <c r="K857" t="s">
        <v>139</v>
      </c>
      <c r="L857" t="s">
        <v>140</v>
      </c>
      <c r="M857">
        <v>4</v>
      </c>
      <c r="N857" t="s">
        <v>163</v>
      </c>
      <c r="O857">
        <v>35</v>
      </c>
      <c r="P857" t="s">
        <v>142</v>
      </c>
      <c r="Q857" t="s">
        <v>160</v>
      </c>
      <c r="R857">
        <v>2</v>
      </c>
      <c r="S857" t="s">
        <v>144</v>
      </c>
      <c r="T857">
        <v>1</v>
      </c>
      <c r="U857" t="s">
        <v>145</v>
      </c>
      <c r="V857" t="s">
        <v>146</v>
      </c>
      <c r="W857">
        <v>1</v>
      </c>
    </row>
    <row r="858" spans="2:23" x14ac:dyDescent="0.3">
      <c r="B858">
        <v>854</v>
      </c>
      <c r="C858" t="s">
        <v>134</v>
      </c>
      <c r="D858">
        <v>18</v>
      </c>
      <c r="E858" t="s">
        <v>180</v>
      </c>
      <c r="F858" t="s">
        <v>162</v>
      </c>
      <c r="G858">
        <v>1442</v>
      </c>
      <c r="H858" t="s">
        <v>149</v>
      </c>
      <c r="I858" t="s">
        <v>155</v>
      </c>
      <c r="J858">
        <v>4</v>
      </c>
      <c r="K858" t="s">
        <v>139</v>
      </c>
      <c r="L858" t="s">
        <v>140</v>
      </c>
      <c r="M858">
        <v>4</v>
      </c>
      <c r="N858" t="s">
        <v>163</v>
      </c>
      <c r="O858">
        <v>32</v>
      </c>
      <c r="P858" t="s">
        <v>142</v>
      </c>
      <c r="Q858" t="s">
        <v>160</v>
      </c>
      <c r="R858">
        <v>2</v>
      </c>
      <c r="S858" t="s">
        <v>156</v>
      </c>
      <c r="T858">
        <v>2</v>
      </c>
      <c r="U858" t="s">
        <v>152</v>
      </c>
      <c r="V858" t="s">
        <v>146</v>
      </c>
      <c r="W858">
        <v>2</v>
      </c>
    </row>
    <row r="859" spans="2:23" x14ac:dyDescent="0.3">
      <c r="B859">
        <v>855</v>
      </c>
      <c r="C859" t="s">
        <v>153</v>
      </c>
      <c r="D859">
        <v>36</v>
      </c>
      <c r="E859" t="s">
        <v>161</v>
      </c>
      <c r="F859" t="s">
        <v>162</v>
      </c>
      <c r="G859">
        <v>10875</v>
      </c>
      <c r="H859" t="s">
        <v>149</v>
      </c>
      <c r="I859" t="s">
        <v>138</v>
      </c>
      <c r="J859">
        <v>2</v>
      </c>
      <c r="K859" t="s">
        <v>139</v>
      </c>
      <c r="L859" t="s">
        <v>140</v>
      </c>
      <c r="M859">
        <v>2</v>
      </c>
      <c r="N859" t="s">
        <v>166</v>
      </c>
      <c r="O859">
        <v>45</v>
      </c>
      <c r="P859" t="s">
        <v>142</v>
      </c>
      <c r="Q859" t="s">
        <v>143</v>
      </c>
      <c r="R859">
        <v>2</v>
      </c>
      <c r="S859" t="s">
        <v>144</v>
      </c>
      <c r="T859">
        <v>2</v>
      </c>
      <c r="U859" t="s">
        <v>145</v>
      </c>
      <c r="V859" t="s">
        <v>146</v>
      </c>
      <c r="W859">
        <v>1</v>
      </c>
    </row>
    <row r="860" spans="2:23" x14ac:dyDescent="0.3">
      <c r="B860">
        <v>856</v>
      </c>
      <c r="C860" t="s">
        <v>153</v>
      </c>
      <c r="D860">
        <v>24</v>
      </c>
      <c r="E860" t="s">
        <v>148</v>
      </c>
      <c r="F860" t="s">
        <v>162</v>
      </c>
      <c r="G860">
        <v>1474</v>
      </c>
      <c r="H860" t="s">
        <v>175</v>
      </c>
      <c r="I860" t="s">
        <v>173</v>
      </c>
      <c r="J860">
        <v>4</v>
      </c>
      <c r="K860" t="s">
        <v>172</v>
      </c>
      <c r="L860" t="s">
        <v>140</v>
      </c>
      <c r="M860">
        <v>3</v>
      </c>
      <c r="N860" t="s">
        <v>141</v>
      </c>
      <c r="O860">
        <v>33</v>
      </c>
      <c r="P860" t="s">
        <v>142</v>
      </c>
      <c r="Q860" t="s">
        <v>143</v>
      </c>
      <c r="R860">
        <v>1</v>
      </c>
      <c r="S860" t="s">
        <v>144</v>
      </c>
      <c r="T860">
        <v>1</v>
      </c>
      <c r="U860" t="s">
        <v>145</v>
      </c>
      <c r="V860" t="s">
        <v>146</v>
      </c>
      <c r="W860">
        <v>1</v>
      </c>
    </row>
    <row r="861" spans="2:23" x14ac:dyDescent="0.3">
      <c r="B861">
        <v>857</v>
      </c>
      <c r="C861" t="s">
        <v>153</v>
      </c>
      <c r="D861">
        <v>10</v>
      </c>
      <c r="E861" t="s">
        <v>148</v>
      </c>
      <c r="F861" t="s">
        <v>187</v>
      </c>
      <c r="G861">
        <v>894</v>
      </c>
      <c r="H861" t="s">
        <v>137</v>
      </c>
      <c r="I861" t="s">
        <v>155</v>
      </c>
      <c r="J861">
        <v>4</v>
      </c>
      <c r="K861" t="s">
        <v>151</v>
      </c>
      <c r="L861" t="s">
        <v>140</v>
      </c>
      <c r="M861">
        <v>3</v>
      </c>
      <c r="N861" t="s">
        <v>159</v>
      </c>
      <c r="O861">
        <v>40</v>
      </c>
      <c r="P861" t="s">
        <v>142</v>
      </c>
      <c r="Q861" t="s">
        <v>143</v>
      </c>
      <c r="R861">
        <v>1</v>
      </c>
      <c r="S861" t="s">
        <v>144</v>
      </c>
      <c r="T861">
        <v>1</v>
      </c>
      <c r="U861" t="s">
        <v>145</v>
      </c>
      <c r="V861" t="s">
        <v>146</v>
      </c>
      <c r="W861">
        <v>1</v>
      </c>
    </row>
    <row r="862" spans="2:23" x14ac:dyDescent="0.3">
      <c r="B862">
        <v>858</v>
      </c>
      <c r="C862" t="s">
        <v>153</v>
      </c>
      <c r="D862">
        <v>15</v>
      </c>
      <c r="E862" t="s">
        <v>135</v>
      </c>
      <c r="F862" t="s">
        <v>157</v>
      </c>
      <c r="G862">
        <v>3343</v>
      </c>
      <c r="H862" t="s">
        <v>149</v>
      </c>
      <c r="I862" t="s">
        <v>150</v>
      </c>
      <c r="J862">
        <v>4</v>
      </c>
      <c r="K862" t="s">
        <v>139</v>
      </c>
      <c r="L862" t="s">
        <v>140</v>
      </c>
      <c r="M862">
        <v>2</v>
      </c>
      <c r="N862" t="s">
        <v>163</v>
      </c>
      <c r="O862">
        <v>28</v>
      </c>
      <c r="P862" t="s">
        <v>142</v>
      </c>
      <c r="Q862" t="s">
        <v>160</v>
      </c>
      <c r="R862">
        <v>1</v>
      </c>
      <c r="S862" t="s">
        <v>144</v>
      </c>
      <c r="T862">
        <v>1</v>
      </c>
      <c r="U862" t="s">
        <v>145</v>
      </c>
      <c r="V862" t="s">
        <v>146</v>
      </c>
      <c r="W862">
        <v>1</v>
      </c>
    </row>
    <row r="863" spans="2:23" x14ac:dyDescent="0.3">
      <c r="B863">
        <v>859</v>
      </c>
      <c r="C863" t="s">
        <v>134</v>
      </c>
      <c r="D863">
        <v>15</v>
      </c>
      <c r="E863" t="s">
        <v>148</v>
      </c>
      <c r="F863" t="s">
        <v>162</v>
      </c>
      <c r="G863">
        <v>3959</v>
      </c>
      <c r="H863" t="s">
        <v>149</v>
      </c>
      <c r="I863" t="s">
        <v>150</v>
      </c>
      <c r="J863">
        <v>3</v>
      </c>
      <c r="K863" t="s">
        <v>151</v>
      </c>
      <c r="L863" t="s">
        <v>140</v>
      </c>
      <c r="M863">
        <v>2</v>
      </c>
      <c r="N863" t="s">
        <v>159</v>
      </c>
      <c r="O863">
        <v>29</v>
      </c>
      <c r="P863" t="s">
        <v>142</v>
      </c>
      <c r="Q863" t="s">
        <v>143</v>
      </c>
      <c r="R863">
        <v>1</v>
      </c>
      <c r="S863" t="s">
        <v>144</v>
      </c>
      <c r="T863">
        <v>1</v>
      </c>
      <c r="U863" t="s">
        <v>145</v>
      </c>
      <c r="V863" t="s">
        <v>146</v>
      </c>
      <c r="W863">
        <v>2</v>
      </c>
    </row>
    <row r="864" spans="2:23" x14ac:dyDescent="0.3">
      <c r="B864">
        <v>860</v>
      </c>
      <c r="C864" t="s">
        <v>153</v>
      </c>
      <c r="D864">
        <v>9</v>
      </c>
      <c r="E864" t="s">
        <v>148</v>
      </c>
      <c r="F864" t="s">
        <v>162</v>
      </c>
      <c r="G864">
        <v>3577</v>
      </c>
      <c r="H864" t="s">
        <v>175</v>
      </c>
      <c r="I864" t="s">
        <v>150</v>
      </c>
      <c r="J864">
        <v>1</v>
      </c>
      <c r="K864" t="s">
        <v>139</v>
      </c>
      <c r="L864" t="s">
        <v>158</v>
      </c>
      <c r="M864">
        <v>2</v>
      </c>
      <c r="N864" t="s">
        <v>141</v>
      </c>
      <c r="O864">
        <v>26</v>
      </c>
      <c r="P864" t="s">
        <v>142</v>
      </c>
      <c r="Q864" t="s">
        <v>167</v>
      </c>
      <c r="R864">
        <v>1</v>
      </c>
      <c r="S864" t="s">
        <v>144</v>
      </c>
      <c r="T864">
        <v>2</v>
      </c>
      <c r="U864" t="s">
        <v>152</v>
      </c>
      <c r="V864" t="s">
        <v>178</v>
      </c>
      <c r="W864">
        <v>1</v>
      </c>
    </row>
    <row r="865" spans="2:23" x14ac:dyDescent="0.3">
      <c r="B865">
        <v>861</v>
      </c>
      <c r="C865" t="s">
        <v>153</v>
      </c>
      <c r="D865">
        <v>24</v>
      </c>
      <c r="E865" t="s">
        <v>135</v>
      </c>
      <c r="F865" t="s">
        <v>165</v>
      </c>
      <c r="G865">
        <v>5804</v>
      </c>
      <c r="H865" t="s">
        <v>169</v>
      </c>
      <c r="I865" t="s">
        <v>150</v>
      </c>
      <c r="J865">
        <v>4</v>
      </c>
      <c r="K865" t="s">
        <v>139</v>
      </c>
      <c r="L865" t="s">
        <v>140</v>
      </c>
      <c r="M865">
        <v>2</v>
      </c>
      <c r="N865" t="s">
        <v>141</v>
      </c>
      <c r="O865">
        <v>27</v>
      </c>
      <c r="P865" t="s">
        <v>142</v>
      </c>
      <c r="Q865" t="s">
        <v>143</v>
      </c>
      <c r="R865">
        <v>2</v>
      </c>
      <c r="S865" t="s">
        <v>144</v>
      </c>
      <c r="T865">
        <v>1</v>
      </c>
      <c r="U865" t="s">
        <v>152</v>
      </c>
      <c r="V865" t="s">
        <v>146</v>
      </c>
      <c r="W865">
        <v>1</v>
      </c>
    </row>
    <row r="866" spans="2:23" x14ac:dyDescent="0.3">
      <c r="B866">
        <v>862</v>
      </c>
      <c r="C866" t="s">
        <v>153</v>
      </c>
      <c r="D866">
        <v>18</v>
      </c>
      <c r="E866" t="s">
        <v>161</v>
      </c>
      <c r="F866" t="s">
        <v>174</v>
      </c>
      <c r="G866">
        <v>2169</v>
      </c>
      <c r="H866" t="s">
        <v>149</v>
      </c>
      <c r="I866" t="s">
        <v>150</v>
      </c>
      <c r="J866">
        <v>4</v>
      </c>
      <c r="K866" t="s">
        <v>172</v>
      </c>
      <c r="L866" t="s">
        <v>140</v>
      </c>
      <c r="M866">
        <v>2</v>
      </c>
      <c r="N866" t="s">
        <v>166</v>
      </c>
      <c r="O866">
        <v>28</v>
      </c>
      <c r="P866" t="s">
        <v>142</v>
      </c>
      <c r="Q866" t="s">
        <v>143</v>
      </c>
      <c r="R866">
        <v>1</v>
      </c>
      <c r="S866" t="s">
        <v>144</v>
      </c>
      <c r="T866">
        <v>1</v>
      </c>
      <c r="U866" t="s">
        <v>145</v>
      </c>
      <c r="V866" t="s">
        <v>146</v>
      </c>
      <c r="W866">
        <v>2</v>
      </c>
    </row>
    <row r="867" spans="2:23" x14ac:dyDescent="0.3">
      <c r="B867">
        <v>863</v>
      </c>
      <c r="C867" t="s">
        <v>134</v>
      </c>
      <c r="D867">
        <v>24</v>
      </c>
      <c r="E867" t="s">
        <v>148</v>
      </c>
      <c r="F867" t="s">
        <v>136</v>
      </c>
      <c r="G867">
        <v>2439</v>
      </c>
      <c r="H867" t="s">
        <v>149</v>
      </c>
      <c r="I867" t="s">
        <v>173</v>
      </c>
      <c r="J867">
        <v>4</v>
      </c>
      <c r="K867" t="s">
        <v>151</v>
      </c>
      <c r="L867" t="s">
        <v>140</v>
      </c>
      <c r="M867">
        <v>4</v>
      </c>
      <c r="N867" t="s">
        <v>141</v>
      </c>
      <c r="O867">
        <v>35</v>
      </c>
      <c r="P867" t="s">
        <v>142</v>
      </c>
      <c r="Q867" t="s">
        <v>143</v>
      </c>
      <c r="R867">
        <v>1</v>
      </c>
      <c r="S867" t="s">
        <v>144</v>
      </c>
      <c r="T867">
        <v>1</v>
      </c>
      <c r="U867" t="s">
        <v>145</v>
      </c>
      <c r="V867" t="s">
        <v>146</v>
      </c>
      <c r="W867">
        <v>2</v>
      </c>
    </row>
    <row r="868" spans="2:23" x14ac:dyDescent="0.3">
      <c r="B868">
        <v>864</v>
      </c>
      <c r="C868" t="s">
        <v>153</v>
      </c>
      <c r="D868">
        <v>27</v>
      </c>
      <c r="E868" t="s">
        <v>135</v>
      </c>
      <c r="F868" t="s">
        <v>157</v>
      </c>
      <c r="G868">
        <v>4526</v>
      </c>
      <c r="H868" t="s">
        <v>169</v>
      </c>
      <c r="I868" t="s">
        <v>173</v>
      </c>
      <c r="J868">
        <v>4</v>
      </c>
      <c r="K868" t="s">
        <v>139</v>
      </c>
      <c r="L868" t="s">
        <v>140</v>
      </c>
      <c r="M868">
        <v>2</v>
      </c>
      <c r="N868" t="s">
        <v>141</v>
      </c>
      <c r="O868">
        <v>32</v>
      </c>
      <c r="P868" t="s">
        <v>181</v>
      </c>
      <c r="Q868" t="s">
        <v>143</v>
      </c>
      <c r="R868">
        <v>2</v>
      </c>
      <c r="S868" t="s">
        <v>156</v>
      </c>
      <c r="T868">
        <v>2</v>
      </c>
      <c r="U868" t="s">
        <v>145</v>
      </c>
      <c r="V868" t="s">
        <v>146</v>
      </c>
      <c r="W868">
        <v>1</v>
      </c>
    </row>
    <row r="869" spans="2:23" x14ac:dyDescent="0.3">
      <c r="B869">
        <v>865</v>
      </c>
      <c r="C869" t="s">
        <v>153</v>
      </c>
      <c r="D869">
        <v>10</v>
      </c>
      <c r="E869" t="s">
        <v>148</v>
      </c>
      <c r="F869" t="s">
        <v>157</v>
      </c>
      <c r="G869">
        <v>2210</v>
      </c>
      <c r="H869" t="s">
        <v>149</v>
      </c>
      <c r="I869" t="s">
        <v>150</v>
      </c>
      <c r="J869">
        <v>2</v>
      </c>
      <c r="K869" t="s">
        <v>139</v>
      </c>
      <c r="L869" t="s">
        <v>140</v>
      </c>
      <c r="M869">
        <v>2</v>
      </c>
      <c r="N869" t="s">
        <v>141</v>
      </c>
      <c r="O869">
        <v>25</v>
      </c>
      <c r="P869" t="s">
        <v>177</v>
      </c>
      <c r="Q869" t="s">
        <v>167</v>
      </c>
      <c r="R869">
        <v>1</v>
      </c>
      <c r="S869" t="s">
        <v>156</v>
      </c>
      <c r="T869">
        <v>1</v>
      </c>
      <c r="U869" t="s">
        <v>152</v>
      </c>
      <c r="V869" t="s">
        <v>146</v>
      </c>
      <c r="W869">
        <v>2</v>
      </c>
    </row>
    <row r="870" spans="2:23" x14ac:dyDescent="0.3">
      <c r="B870">
        <v>866</v>
      </c>
      <c r="C870" t="s">
        <v>153</v>
      </c>
      <c r="D870">
        <v>15</v>
      </c>
      <c r="E870" t="s">
        <v>148</v>
      </c>
      <c r="F870" t="s">
        <v>157</v>
      </c>
      <c r="G870">
        <v>2221</v>
      </c>
      <c r="H870" t="s">
        <v>164</v>
      </c>
      <c r="I870" t="s">
        <v>150</v>
      </c>
      <c r="J870">
        <v>2</v>
      </c>
      <c r="K870" t="s">
        <v>151</v>
      </c>
      <c r="L870" t="s">
        <v>140</v>
      </c>
      <c r="M870">
        <v>4</v>
      </c>
      <c r="N870" t="s">
        <v>166</v>
      </c>
      <c r="O870">
        <v>20</v>
      </c>
      <c r="P870" t="s">
        <v>142</v>
      </c>
      <c r="Q870" t="s">
        <v>167</v>
      </c>
      <c r="R870">
        <v>1</v>
      </c>
      <c r="S870" t="s">
        <v>144</v>
      </c>
      <c r="T870">
        <v>1</v>
      </c>
      <c r="U870" t="s">
        <v>152</v>
      </c>
      <c r="V870" t="s">
        <v>146</v>
      </c>
      <c r="W870">
        <v>1</v>
      </c>
    </row>
    <row r="871" spans="2:23" x14ac:dyDescent="0.3">
      <c r="B871">
        <v>867</v>
      </c>
      <c r="C871" t="s">
        <v>134</v>
      </c>
      <c r="D871">
        <v>18</v>
      </c>
      <c r="E871" t="s">
        <v>148</v>
      </c>
      <c r="F871" t="s">
        <v>136</v>
      </c>
      <c r="G871">
        <v>2389</v>
      </c>
      <c r="H871" t="s">
        <v>149</v>
      </c>
      <c r="I871" t="s">
        <v>173</v>
      </c>
      <c r="J871">
        <v>4</v>
      </c>
      <c r="K871" t="s">
        <v>151</v>
      </c>
      <c r="L871" t="s">
        <v>140</v>
      </c>
      <c r="M871">
        <v>1</v>
      </c>
      <c r="N871" t="s">
        <v>166</v>
      </c>
      <c r="O871">
        <v>27</v>
      </c>
      <c r="P871" t="s">
        <v>181</v>
      </c>
      <c r="Q871" t="s">
        <v>143</v>
      </c>
      <c r="R871">
        <v>1</v>
      </c>
      <c r="S871" t="s">
        <v>144</v>
      </c>
      <c r="T871">
        <v>1</v>
      </c>
      <c r="U871" t="s">
        <v>152</v>
      </c>
      <c r="V871" t="s">
        <v>146</v>
      </c>
      <c r="W871">
        <v>1</v>
      </c>
    </row>
    <row r="872" spans="2:23" x14ac:dyDescent="0.3">
      <c r="B872">
        <v>868</v>
      </c>
      <c r="C872" t="s">
        <v>153</v>
      </c>
      <c r="D872">
        <v>12</v>
      </c>
      <c r="E872" t="s">
        <v>135</v>
      </c>
      <c r="F872" t="s">
        <v>157</v>
      </c>
      <c r="G872">
        <v>3331</v>
      </c>
      <c r="H872" t="s">
        <v>149</v>
      </c>
      <c r="I872" t="s">
        <v>138</v>
      </c>
      <c r="J872">
        <v>2</v>
      </c>
      <c r="K872" t="s">
        <v>139</v>
      </c>
      <c r="L872" t="s">
        <v>140</v>
      </c>
      <c r="M872">
        <v>4</v>
      </c>
      <c r="N872" t="s">
        <v>159</v>
      </c>
      <c r="O872">
        <v>42</v>
      </c>
      <c r="P872" t="s">
        <v>181</v>
      </c>
      <c r="Q872" t="s">
        <v>143</v>
      </c>
      <c r="R872">
        <v>1</v>
      </c>
      <c r="S872" t="s">
        <v>144</v>
      </c>
      <c r="T872">
        <v>1</v>
      </c>
      <c r="U872" t="s">
        <v>152</v>
      </c>
      <c r="V872" t="s">
        <v>146</v>
      </c>
      <c r="W872">
        <v>1</v>
      </c>
    </row>
    <row r="873" spans="2:23" x14ac:dyDescent="0.3">
      <c r="B873">
        <v>869</v>
      </c>
      <c r="C873" t="s">
        <v>153</v>
      </c>
      <c r="D873">
        <v>36</v>
      </c>
      <c r="E873" t="s">
        <v>148</v>
      </c>
      <c r="F873" t="s">
        <v>174</v>
      </c>
      <c r="G873">
        <v>7409</v>
      </c>
      <c r="H873" t="s">
        <v>137</v>
      </c>
      <c r="I873" t="s">
        <v>138</v>
      </c>
      <c r="J873">
        <v>3</v>
      </c>
      <c r="K873" t="s">
        <v>139</v>
      </c>
      <c r="L873" t="s">
        <v>140</v>
      </c>
      <c r="M873">
        <v>2</v>
      </c>
      <c r="N873" t="s">
        <v>159</v>
      </c>
      <c r="O873">
        <v>37</v>
      </c>
      <c r="P873" t="s">
        <v>142</v>
      </c>
      <c r="Q873" t="s">
        <v>143</v>
      </c>
      <c r="R873">
        <v>2</v>
      </c>
      <c r="S873" t="s">
        <v>144</v>
      </c>
      <c r="T873">
        <v>1</v>
      </c>
      <c r="U873" t="s">
        <v>152</v>
      </c>
      <c r="V873" t="s">
        <v>146</v>
      </c>
      <c r="W873">
        <v>1</v>
      </c>
    </row>
    <row r="874" spans="2:23" x14ac:dyDescent="0.3">
      <c r="B874">
        <v>870</v>
      </c>
      <c r="C874" t="s">
        <v>134</v>
      </c>
      <c r="D874">
        <v>12</v>
      </c>
      <c r="E874" t="s">
        <v>148</v>
      </c>
      <c r="F874" t="s">
        <v>157</v>
      </c>
      <c r="G874">
        <v>652</v>
      </c>
      <c r="H874" t="s">
        <v>149</v>
      </c>
      <c r="I874" t="s">
        <v>138</v>
      </c>
      <c r="J874">
        <v>4</v>
      </c>
      <c r="K874" t="s">
        <v>151</v>
      </c>
      <c r="L874" t="s">
        <v>140</v>
      </c>
      <c r="M874">
        <v>4</v>
      </c>
      <c r="N874" t="s">
        <v>159</v>
      </c>
      <c r="O874">
        <v>24</v>
      </c>
      <c r="P874" t="s">
        <v>142</v>
      </c>
      <c r="Q874" t="s">
        <v>167</v>
      </c>
      <c r="R874">
        <v>1</v>
      </c>
      <c r="S874" t="s">
        <v>144</v>
      </c>
      <c r="T874">
        <v>1</v>
      </c>
      <c r="U874" t="s">
        <v>152</v>
      </c>
      <c r="V874" t="s">
        <v>146</v>
      </c>
      <c r="W874">
        <v>1</v>
      </c>
    </row>
    <row r="875" spans="2:23" x14ac:dyDescent="0.3">
      <c r="B875">
        <v>871</v>
      </c>
      <c r="C875" t="s">
        <v>153</v>
      </c>
      <c r="D875">
        <v>36</v>
      </c>
      <c r="E875" t="s">
        <v>161</v>
      </c>
      <c r="F875" t="s">
        <v>157</v>
      </c>
      <c r="G875">
        <v>7678</v>
      </c>
      <c r="H875" t="s">
        <v>164</v>
      </c>
      <c r="I875" t="s">
        <v>155</v>
      </c>
      <c r="J875">
        <v>2</v>
      </c>
      <c r="K875" t="s">
        <v>151</v>
      </c>
      <c r="L875" t="s">
        <v>140</v>
      </c>
      <c r="M875">
        <v>4</v>
      </c>
      <c r="N875" t="s">
        <v>166</v>
      </c>
      <c r="O875">
        <v>40</v>
      </c>
      <c r="P875" t="s">
        <v>142</v>
      </c>
      <c r="Q875" t="s">
        <v>143</v>
      </c>
      <c r="R875">
        <v>2</v>
      </c>
      <c r="S875" t="s">
        <v>144</v>
      </c>
      <c r="T875">
        <v>1</v>
      </c>
      <c r="U875" t="s">
        <v>145</v>
      </c>
      <c r="V875" t="s">
        <v>146</v>
      </c>
      <c r="W875">
        <v>1</v>
      </c>
    </row>
    <row r="876" spans="2:23" x14ac:dyDescent="0.3">
      <c r="B876">
        <v>872</v>
      </c>
      <c r="C876" t="s">
        <v>179</v>
      </c>
      <c r="D876">
        <v>6</v>
      </c>
      <c r="E876" t="s">
        <v>135</v>
      </c>
      <c r="F876" t="s">
        <v>162</v>
      </c>
      <c r="G876">
        <v>1343</v>
      </c>
      <c r="H876" t="s">
        <v>149</v>
      </c>
      <c r="I876" t="s">
        <v>138</v>
      </c>
      <c r="J876">
        <v>1</v>
      </c>
      <c r="K876" t="s">
        <v>139</v>
      </c>
      <c r="L876" t="s">
        <v>140</v>
      </c>
      <c r="M876">
        <v>4</v>
      </c>
      <c r="N876" t="s">
        <v>141</v>
      </c>
      <c r="O876">
        <v>46</v>
      </c>
      <c r="P876" t="s">
        <v>142</v>
      </c>
      <c r="Q876" t="s">
        <v>143</v>
      </c>
      <c r="R876">
        <v>2</v>
      </c>
      <c r="S876" t="s">
        <v>144</v>
      </c>
      <c r="T876">
        <v>2</v>
      </c>
      <c r="U876" t="s">
        <v>152</v>
      </c>
      <c r="V876" t="s">
        <v>178</v>
      </c>
      <c r="W876">
        <v>1</v>
      </c>
    </row>
    <row r="877" spans="2:23" x14ac:dyDescent="0.3">
      <c r="B877">
        <v>873</v>
      </c>
      <c r="C877" t="s">
        <v>134</v>
      </c>
      <c r="D877">
        <v>24</v>
      </c>
      <c r="E877" t="s">
        <v>135</v>
      </c>
      <c r="F877" t="s">
        <v>174</v>
      </c>
      <c r="G877">
        <v>1382</v>
      </c>
      <c r="H877" t="s">
        <v>175</v>
      </c>
      <c r="I877" t="s">
        <v>155</v>
      </c>
      <c r="J877">
        <v>4</v>
      </c>
      <c r="K877" t="s">
        <v>139</v>
      </c>
      <c r="L877" t="s">
        <v>140</v>
      </c>
      <c r="M877">
        <v>1</v>
      </c>
      <c r="N877" t="s">
        <v>141</v>
      </c>
      <c r="O877">
        <v>26</v>
      </c>
      <c r="P877" t="s">
        <v>142</v>
      </c>
      <c r="Q877" t="s">
        <v>143</v>
      </c>
      <c r="R877">
        <v>2</v>
      </c>
      <c r="S877" t="s">
        <v>144</v>
      </c>
      <c r="T877">
        <v>1</v>
      </c>
      <c r="U877" t="s">
        <v>145</v>
      </c>
      <c r="V877" t="s">
        <v>146</v>
      </c>
      <c r="W877">
        <v>1</v>
      </c>
    </row>
    <row r="878" spans="2:23" x14ac:dyDescent="0.3">
      <c r="B878">
        <v>874</v>
      </c>
      <c r="C878" t="s">
        <v>153</v>
      </c>
      <c r="D878">
        <v>15</v>
      </c>
      <c r="E878" t="s">
        <v>148</v>
      </c>
      <c r="F878" t="s">
        <v>183</v>
      </c>
      <c r="G878">
        <v>874</v>
      </c>
      <c r="H878" t="s">
        <v>137</v>
      </c>
      <c r="I878" t="s">
        <v>173</v>
      </c>
      <c r="J878">
        <v>4</v>
      </c>
      <c r="K878" t="s">
        <v>151</v>
      </c>
      <c r="L878" t="s">
        <v>140</v>
      </c>
      <c r="M878">
        <v>1</v>
      </c>
      <c r="N878" t="s">
        <v>141</v>
      </c>
      <c r="O878">
        <v>24</v>
      </c>
      <c r="P878" t="s">
        <v>142</v>
      </c>
      <c r="Q878" t="s">
        <v>143</v>
      </c>
      <c r="R878">
        <v>1</v>
      </c>
      <c r="S878" t="s">
        <v>144</v>
      </c>
      <c r="T878">
        <v>1</v>
      </c>
      <c r="U878" t="s">
        <v>152</v>
      </c>
      <c r="V878" t="s">
        <v>146</v>
      </c>
      <c r="W878">
        <v>1</v>
      </c>
    </row>
    <row r="879" spans="2:23" x14ac:dyDescent="0.3">
      <c r="B879">
        <v>875</v>
      </c>
      <c r="C879" t="s">
        <v>134</v>
      </c>
      <c r="D879">
        <v>12</v>
      </c>
      <c r="E879" t="s">
        <v>148</v>
      </c>
      <c r="F879" t="s">
        <v>157</v>
      </c>
      <c r="G879">
        <v>3590</v>
      </c>
      <c r="H879" t="s">
        <v>149</v>
      </c>
      <c r="I879" t="s">
        <v>150</v>
      </c>
      <c r="J879">
        <v>2</v>
      </c>
      <c r="K879" t="s">
        <v>139</v>
      </c>
      <c r="L879" t="s">
        <v>182</v>
      </c>
      <c r="M879">
        <v>2</v>
      </c>
      <c r="N879" t="s">
        <v>159</v>
      </c>
      <c r="O879">
        <v>29</v>
      </c>
      <c r="P879" t="s">
        <v>142</v>
      </c>
      <c r="Q879" t="s">
        <v>143</v>
      </c>
      <c r="R879">
        <v>1</v>
      </c>
      <c r="S879" t="s">
        <v>156</v>
      </c>
      <c r="T879">
        <v>2</v>
      </c>
      <c r="U879" t="s">
        <v>152</v>
      </c>
      <c r="V879" t="s">
        <v>146</v>
      </c>
      <c r="W879">
        <v>1</v>
      </c>
    </row>
    <row r="880" spans="2:23" x14ac:dyDescent="0.3">
      <c r="B880">
        <v>876</v>
      </c>
      <c r="C880" t="s">
        <v>147</v>
      </c>
      <c r="D880">
        <v>11</v>
      </c>
      <c r="E880" t="s">
        <v>135</v>
      </c>
      <c r="F880" t="s">
        <v>162</v>
      </c>
      <c r="G880">
        <v>1322</v>
      </c>
      <c r="H880" t="s">
        <v>169</v>
      </c>
      <c r="I880" t="s">
        <v>150</v>
      </c>
      <c r="J880">
        <v>4</v>
      </c>
      <c r="K880" t="s">
        <v>151</v>
      </c>
      <c r="L880" t="s">
        <v>140</v>
      </c>
      <c r="M880">
        <v>4</v>
      </c>
      <c r="N880" t="s">
        <v>166</v>
      </c>
      <c r="O880">
        <v>40</v>
      </c>
      <c r="P880" t="s">
        <v>142</v>
      </c>
      <c r="Q880" t="s">
        <v>143</v>
      </c>
      <c r="R880">
        <v>2</v>
      </c>
      <c r="S880" t="s">
        <v>144</v>
      </c>
      <c r="T880">
        <v>1</v>
      </c>
      <c r="U880" t="s">
        <v>152</v>
      </c>
      <c r="V880" t="s">
        <v>146</v>
      </c>
      <c r="W880">
        <v>1</v>
      </c>
    </row>
    <row r="881" spans="2:23" x14ac:dyDescent="0.3">
      <c r="B881">
        <v>877</v>
      </c>
      <c r="C881" t="s">
        <v>134</v>
      </c>
      <c r="D881">
        <v>18</v>
      </c>
      <c r="E881" t="s">
        <v>180</v>
      </c>
      <c r="F881" t="s">
        <v>136</v>
      </c>
      <c r="G881">
        <v>1940</v>
      </c>
      <c r="H881" t="s">
        <v>149</v>
      </c>
      <c r="I881" t="s">
        <v>173</v>
      </c>
      <c r="J881">
        <v>3</v>
      </c>
      <c r="K881" t="s">
        <v>139</v>
      </c>
      <c r="L881" t="s">
        <v>182</v>
      </c>
      <c r="M881">
        <v>4</v>
      </c>
      <c r="N881" t="s">
        <v>163</v>
      </c>
      <c r="O881">
        <v>36</v>
      </c>
      <c r="P881" t="s">
        <v>177</v>
      </c>
      <c r="Q881" t="s">
        <v>160</v>
      </c>
      <c r="R881">
        <v>1</v>
      </c>
      <c r="S881" t="s">
        <v>168</v>
      </c>
      <c r="T881">
        <v>1</v>
      </c>
      <c r="U881" t="s">
        <v>145</v>
      </c>
      <c r="V881" t="s">
        <v>146</v>
      </c>
      <c r="W881">
        <v>1</v>
      </c>
    </row>
    <row r="882" spans="2:23" x14ac:dyDescent="0.3">
      <c r="B882">
        <v>878</v>
      </c>
      <c r="C882" t="s">
        <v>153</v>
      </c>
      <c r="D882">
        <v>36</v>
      </c>
      <c r="E882" t="s">
        <v>148</v>
      </c>
      <c r="F882" t="s">
        <v>136</v>
      </c>
      <c r="G882">
        <v>3595</v>
      </c>
      <c r="H882" t="s">
        <v>149</v>
      </c>
      <c r="I882" t="s">
        <v>138</v>
      </c>
      <c r="J882">
        <v>4</v>
      </c>
      <c r="K882" t="s">
        <v>139</v>
      </c>
      <c r="L882" t="s">
        <v>140</v>
      </c>
      <c r="M882">
        <v>2</v>
      </c>
      <c r="N882" t="s">
        <v>166</v>
      </c>
      <c r="O882">
        <v>28</v>
      </c>
      <c r="P882" t="s">
        <v>142</v>
      </c>
      <c r="Q882" t="s">
        <v>143</v>
      </c>
      <c r="R882">
        <v>1</v>
      </c>
      <c r="S882" t="s">
        <v>144</v>
      </c>
      <c r="T882">
        <v>1</v>
      </c>
      <c r="U882" t="s">
        <v>152</v>
      </c>
      <c r="V882" t="s">
        <v>146</v>
      </c>
      <c r="W882">
        <v>1</v>
      </c>
    </row>
    <row r="883" spans="2:23" x14ac:dyDescent="0.3">
      <c r="B883">
        <v>879</v>
      </c>
      <c r="C883" t="s">
        <v>134</v>
      </c>
      <c r="D883">
        <v>9</v>
      </c>
      <c r="E883" t="s">
        <v>148</v>
      </c>
      <c r="F883" t="s">
        <v>162</v>
      </c>
      <c r="G883">
        <v>1422</v>
      </c>
      <c r="H883" t="s">
        <v>149</v>
      </c>
      <c r="I883" t="s">
        <v>173</v>
      </c>
      <c r="J883">
        <v>3</v>
      </c>
      <c r="K883" t="s">
        <v>139</v>
      </c>
      <c r="L883" t="s">
        <v>140</v>
      </c>
      <c r="M883">
        <v>2</v>
      </c>
      <c r="N883" t="s">
        <v>163</v>
      </c>
      <c r="O883">
        <v>27</v>
      </c>
      <c r="P883" t="s">
        <v>142</v>
      </c>
      <c r="Q883" t="s">
        <v>160</v>
      </c>
      <c r="R883">
        <v>1</v>
      </c>
      <c r="S883" t="s">
        <v>168</v>
      </c>
      <c r="T883">
        <v>1</v>
      </c>
      <c r="U883" t="s">
        <v>145</v>
      </c>
      <c r="V883" t="s">
        <v>146</v>
      </c>
      <c r="W883">
        <v>2</v>
      </c>
    </row>
    <row r="884" spans="2:23" x14ac:dyDescent="0.3">
      <c r="B884">
        <v>880</v>
      </c>
      <c r="C884" t="s">
        <v>153</v>
      </c>
      <c r="D884">
        <v>30</v>
      </c>
      <c r="E884" t="s">
        <v>135</v>
      </c>
      <c r="F884" t="s">
        <v>136</v>
      </c>
      <c r="G884">
        <v>6742</v>
      </c>
      <c r="H884" t="s">
        <v>137</v>
      </c>
      <c r="I884" t="s">
        <v>155</v>
      </c>
      <c r="J884">
        <v>2</v>
      </c>
      <c r="K884" t="s">
        <v>139</v>
      </c>
      <c r="L884" t="s">
        <v>140</v>
      </c>
      <c r="M884">
        <v>3</v>
      </c>
      <c r="N884" t="s">
        <v>159</v>
      </c>
      <c r="O884">
        <v>36</v>
      </c>
      <c r="P884" t="s">
        <v>142</v>
      </c>
      <c r="Q884" t="s">
        <v>143</v>
      </c>
      <c r="R884">
        <v>2</v>
      </c>
      <c r="S884" t="s">
        <v>144</v>
      </c>
      <c r="T884">
        <v>1</v>
      </c>
      <c r="U884" t="s">
        <v>152</v>
      </c>
      <c r="V884" t="s">
        <v>146</v>
      </c>
      <c r="W884">
        <v>1</v>
      </c>
    </row>
    <row r="885" spans="2:23" x14ac:dyDescent="0.3">
      <c r="B885">
        <v>881</v>
      </c>
      <c r="C885" t="s">
        <v>153</v>
      </c>
      <c r="D885">
        <v>24</v>
      </c>
      <c r="E885" t="s">
        <v>148</v>
      </c>
      <c r="F885" t="s">
        <v>165</v>
      </c>
      <c r="G885">
        <v>7814</v>
      </c>
      <c r="H885" t="s">
        <v>149</v>
      </c>
      <c r="I885" t="s">
        <v>155</v>
      </c>
      <c r="J885">
        <v>3</v>
      </c>
      <c r="K885" t="s">
        <v>139</v>
      </c>
      <c r="L885" t="s">
        <v>140</v>
      </c>
      <c r="M885">
        <v>3</v>
      </c>
      <c r="N885" t="s">
        <v>166</v>
      </c>
      <c r="O885">
        <v>38</v>
      </c>
      <c r="P885" t="s">
        <v>142</v>
      </c>
      <c r="Q885" t="s">
        <v>143</v>
      </c>
      <c r="R885">
        <v>1</v>
      </c>
      <c r="S885" t="s">
        <v>168</v>
      </c>
      <c r="T885">
        <v>1</v>
      </c>
      <c r="U885" t="s">
        <v>145</v>
      </c>
      <c r="V885" t="s">
        <v>146</v>
      </c>
      <c r="W885">
        <v>1</v>
      </c>
    </row>
    <row r="886" spans="2:23" x14ac:dyDescent="0.3">
      <c r="B886">
        <v>882</v>
      </c>
      <c r="C886" t="s">
        <v>153</v>
      </c>
      <c r="D886">
        <v>24</v>
      </c>
      <c r="E886" t="s">
        <v>148</v>
      </c>
      <c r="F886" t="s">
        <v>165</v>
      </c>
      <c r="G886">
        <v>9277</v>
      </c>
      <c r="H886" t="s">
        <v>137</v>
      </c>
      <c r="I886" t="s">
        <v>150</v>
      </c>
      <c r="J886">
        <v>2</v>
      </c>
      <c r="K886" t="s">
        <v>170</v>
      </c>
      <c r="L886" t="s">
        <v>140</v>
      </c>
      <c r="M886">
        <v>4</v>
      </c>
      <c r="N886" t="s">
        <v>163</v>
      </c>
      <c r="O886">
        <v>48</v>
      </c>
      <c r="P886" t="s">
        <v>142</v>
      </c>
      <c r="Q886" t="s">
        <v>160</v>
      </c>
      <c r="R886">
        <v>1</v>
      </c>
      <c r="S886" t="s">
        <v>144</v>
      </c>
      <c r="T886">
        <v>1</v>
      </c>
      <c r="U886" t="s">
        <v>145</v>
      </c>
      <c r="V886" t="s">
        <v>146</v>
      </c>
      <c r="W886">
        <v>1</v>
      </c>
    </row>
    <row r="887" spans="2:23" x14ac:dyDescent="0.3">
      <c r="B887">
        <v>883</v>
      </c>
      <c r="C887" t="s">
        <v>147</v>
      </c>
      <c r="D887">
        <v>30</v>
      </c>
      <c r="E887" t="s">
        <v>135</v>
      </c>
      <c r="F887" t="s">
        <v>162</v>
      </c>
      <c r="G887">
        <v>2181</v>
      </c>
      <c r="H887" t="s">
        <v>137</v>
      </c>
      <c r="I887" t="s">
        <v>138</v>
      </c>
      <c r="J887">
        <v>4</v>
      </c>
      <c r="K887" t="s">
        <v>139</v>
      </c>
      <c r="L887" t="s">
        <v>140</v>
      </c>
      <c r="M887">
        <v>4</v>
      </c>
      <c r="N887" t="s">
        <v>141</v>
      </c>
      <c r="O887">
        <v>36</v>
      </c>
      <c r="P887" t="s">
        <v>142</v>
      </c>
      <c r="Q887" t="s">
        <v>143</v>
      </c>
      <c r="R887">
        <v>2</v>
      </c>
      <c r="S887" t="s">
        <v>144</v>
      </c>
      <c r="T887">
        <v>1</v>
      </c>
      <c r="U887" t="s">
        <v>152</v>
      </c>
      <c r="V887" t="s">
        <v>146</v>
      </c>
      <c r="W887">
        <v>1</v>
      </c>
    </row>
    <row r="888" spans="2:23" x14ac:dyDescent="0.3">
      <c r="B888">
        <v>884</v>
      </c>
      <c r="C888" t="s">
        <v>153</v>
      </c>
      <c r="D888">
        <v>18</v>
      </c>
      <c r="E888" t="s">
        <v>135</v>
      </c>
      <c r="F888" t="s">
        <v>136</v>
      </c>
      <c r="G888">
        <v>1098</v>
      </c>
      <c r="H888" t="s">
        <v>149</v>
      </c>
      <c r="I888" t="s">
        <v>171</v>
      </c>
      <c r="J888">
        <v>4</v>
      </c>
      <c r="K888" t="s">
        <v>151</v>
      </c>
      <c r="L888" t="s">
        <v>140</v>
      </c>
      <c r="M888">
        <v>4</v>
      </c>
      <c r="N888" t="s">
        <v>166</v>
      </c>
      <c r="O888">
        <v>65</v>
      </c>
      <c r="P888" t="s">
        <v>142</v>
      </c>
      <c r="Q888" t="s">
        <v>143</v>
      </c>
      <c r="R888">
        <v>2</v>
      </c>
      <c r="S888" t="s">
        <v>185</v>
      </c>
      <c r="T888">
        <v>1</v>
      </c>
      <c r="U888" t="s">
        <v>152</v>
      </c>
      <c r="V888" t="s">
        <v>146</v>
      </c>
      <c r="W888">
        <v>1</v>
      </c>
    </row>
    <row r="889" spans="2:23" x14ac:dyDescent="0.3">
      <c r="B889">
        <v>885</v>
      </c>
      <c r="C889" t="s">
        <v>147</v>
      </c>
      <c r="D889">
        <v>24</v>
      </c>
      <c r="E889" t="s">
        <v>148</v>
      </c>
      <c r="F889" t="s">
        <v>157</v>
      </c>
      <c r="G889">
        <v>4057</v>
      </c>
      <c r="H889" t="s">
        <v>149</v>
      </c>
      <c r="I889" t="s">
        <v>155</v>
      </c>
      <c r="J889">
        <v>3</v>
      </c>
      <c r="K889" t="s">
        <v>170</v>
      </c>
      <c r="L889" t="s">
        <v>140</v>
      </c>
      <c r="M889">
        <v>3</v>
      </c>
      <c r="N889" t="s">
        <v>166</v>
      </c>
      <c r="O889">
        <v>43</v>
      </c>
      <c r="P889" t="s">
        <v>142</v>
      </c>
      <c r="Q889" t="s">
        <v>143</v>
      </c>
      <c r="R889">
        <v>1</v>
      </c>
      <c r="S889" t="s">
        <v>144</v>
      </c>
      <c r="T889">
        <v>1</v>
      </c>
      <c r="U889" t="s">
        <v>145</v>
      </c>
      <c r="V889" t="s">
        <v>146</v>
      </c>
      <c r="W889">
        <v>2</v>
      </c>
    </row>
    <row r="890" spans="2:23" x14ac:dyDescent="0.3">
      <c r="B890">
        <v>886</v>
      </c>
      <c r="C890" t="s">
        <v>134</v>
      </c>
      <c r="D890">
        <v>12</v>
      </c>
      <c r="E890" t="s">
        <v>148</v>
      </c>
      <c r="F890" t="s">
        <v>154</v>
      </c>
      <c r="G890">
        <v>795</v>
      </c>
      <c r="H890" t="s">
        <v>149</v>
      </c>
      <c r="I890" t="s">
        <v>173</v>
      </c>
      <c r="J890">
        <v>4</v>
      </c>
      <c r="K890" t="s">
        <v>151</v>
      </c>
      <c r="L890" t="s">
        <v>140</v>
      </c>
      <c r="M890">
        <v>4</v>
      </c>
      <c r="N890" t="s">
        <v>159</v>
      </c>
      <c r="O890">
        <v>53</v>
      </c>
      <c r="P890" t="s">
        <v>142</v>
      </c>
      <c r="Q890" t="s">
        <v>143</v>
      </c>
      <c r="R890">
        <v>1</v>
      </c>
      <c r="S890" t="s">
        <v>144</v>
      </c>
      <c r="T890">
        <v>1</v>
      </c>
      <c r="U890" t="s">
        <v>152</v>
      </c>
      <c r="V890" t="s">
        <v>146</v>
      </c>
      <c r="W890">
        <v>2</v>
      </c>
    </row>
    <row r="891" spans="2:23" x14ac:dyDescent="0.3">
      <c r="B891">
        <v>887</v>
      </c>
      <c r="C891" t="s">
        <v>147</v>
      </c>
      <c r="D891">
        <v>24</v>
      </c>
      <c r="E891" t="s">
        <v>135</v>
      </c>
      <c r="F891" t="s">
        <v>174</v>
      </c>
      <c r="G891">
        <v>2825</v>
      </c>
      <c r="H891" t="s">
        <v>137</v>
      </c>
      <c r="I891" t="s">
        <v>155</v>
      </c>
      <c r="J891">
        <v>4</v>
      </c>
      <c r="K891" t="s">
        <v>139</v>
      </c>
      <c r="L891" t="s">
        <v>140</v>
      </c>
      <c r="M891">
        <v>3</v>
      </c>
      <c r="N891" t="s">
        <v>163</v>
      </c>
      <c r="O891">
        <v>34</v>
      </c>
      <c r="P891" t="s">
        <v>142</v>
      </c>
      <c r="Q891" t="s">
        <v>143</v>
      </c>
      <c r="R891">
        <v>2</v>
      </c>
      <c r="S891" t="s">
        <v>144</v>
      </c>
      <c r="T891">
        <v>2</v>
      </c>
      <c r="U891" t="s">
        <v>145</v>
      </c>
      <c r="V891" t="s">
        <v>146</v>
      </c>
      <c r="W891">
        <v>1</v>
      </c>
    </row>
    <row r="892" spans="2:23" x14ac:dyDescent="0.3">
      <c r="B892">
        <v>888</v>
      </c>
      <c r="C892" t="s">
        <v>147</v>
      </c>
      <c r="D892">
        <v>48</v>
      </c>
      <c r="E892" t="s">
        <v>148</v>
      </c>
      <c r="F892" t="s">
        <v>174</v>
      </c>
      <c r="G892">
        <v>15672</v>
      </c>
      <c r="H892" t="s">
        <v>149</v>
      </c>
      <c r="I892" t="s">
        <v>150</v>
      </c>
      <c r="J892">
        <v>2</v>
      </c>
      <c r="K892" t="s">
        <v>139</v>
      </c>
      <c r="L892" t="s">
        <v>140</v>
      </c>
      <c r="M892">
        <v>2</v>
      </c>
      <c r="N892" t="s">
        <v>166</v>
      </c>
      <c r="O892">
        <v>23</v>
      </c>
      <c r="P892" t="s">
        <v>142</v>
      </c>
      <c r="Q892" t="s">
        <v>143</v>
      </c>
      <c r="R892">
        <v>1</v>
      </c>
      <c r="S892" t="s">
        <v>144</v>
      </c>
      <c r="T892">
        <v>1</v>
      </c>
      <c r="U892" t="s">
        <v>145</v>
      </c>
      <c r="V892" t="s">
        <v>146</v>
      </c>
      <c r="W892">
        <v>2</v>
      </c>
    </row>
    <row r="893" spans="2:23" x14ac:dyDescent="0.3">
      <c r="B893">
        <v>889</v>
      </c>
      <c r="C893" t="s">
        <v>153</v>
      </c>
      <c r="D893">
        <v>36</v>
      </c>
      <c r="E893" t="s">
        <v>135</v>
      </c>
      <c r="F893" t="s">
        <v>162</v>
      </c>
      <c r="G893">
        <v>6614</v>
      </c>
      <c r="H893" t="s">
        <v>149</v>
      </c>
      <c r="I893" t="s">
        <v>138</v>
      </c>
      <c r="J893">
        <v>4</v>
      </c>
      <c r="K893" t="s">
        <v>139</v>
      </c>
      <c r="L893" t="s">
        <v>140</v>
      </c>
      <c r="M893">
        <v>4</v>
      </c>
      <c r="N893" t="s">
        <v>166</v>
      </c>
      <c r="O893">
        <v>34</v>
      </c>
      <c r="P893" t="s">
        <v>142</v>
      </c>
      <c r="Q893" t="s">
        <v>143</v>
      </c>
      <c r="R893">
        <v>2</v>
      </c>
      <c r="S893" t="s">
        <v>168</v>
      </c>
      <c r="T893">
        <v>1</v>
      </c>
      <c r="U893" t="s">
        <v>145</v>
      </c>
      <c r="V893" t="s">
        <v>146</v>
      </c>
      <c r="W893">
        <v>1</v>
      </c>
    </row>
    <row r="894" spans="2:23" x14ac:dyDescent="0.3">
      <c r="B894">
        <v>890</v>
      </c>
      <c r="C894" t="s">
        <v>153</v>
      </c>
      <c r="D894">
        <v>28</v>
      </c>
      <c r="E894" t="s">
        <v>180</v>
      </c>
      <c r="F894" t="s">
        <v>165</v>
      </c>
      <c r="G894">
        <v>7824</v>
      </c>
      <c r="H894" t="s">
        <v>137</v>
      </c>
      <c r="I894" t="s">
        <v>173</v>
      </c>
      <c r="J894">
        <v>3</v>
      </c>
      <c r="K894" t="s">
        <v>139</v>
      </c>
      <c r="L894" t="s">
        <v>158</v>
      </c>
      <c r="M894">
        <v>4</v>
      </c>
      <c r="N894" t="s">
        <v>141</v>
      </c>
      <c r="O894">
        <v>40</v>
      </c>
      <c r="P894" t="s">
        <v>177</v>
      </c>
      <c r="Q894" t="s">
        <v>167</v>
      </c>
      <c r="R894">
        <v>2</v>
      </c>
      <c r="S894" t="s">
        <v>144</v>
      </c>
      <c r="T894">
        <v>2</v>
      </c>
      <c r="U894" t="s">
        <v>145</v>
      </c>
      <c r="V894" t="s">
        <v>146</v>
      </c>
      <c r="W894">
        <v>1</v>
      </c>
    </row>
    <row r="895" spans="2:23" x14ac:dyDescent="0.3">
      <c r="B895">
        <v>891</v>
      </c>
      <c r="C895" t="s">
        <v>134</v>
      </c>
      <c r="D895">
        <v>27</v>
      </c>
      <c r="E895" t="s">
        <v>135</v>
      </c>
      <c r="F895" t="s">
        <v>174</v>
      </c>
      <c r="G895">
        <v>2442</v>
      </c>
      <c r="H895" t="s">
        <v>149</v>
      </c>
      <c r="I895" t="s">
        <v>138</v>
      </c>
      <c r="J895">
        <v>4</v>
      </c>
      <c r="K895" t="s">
        <v>139</v>
      </c>
      <c r="L895" t="s">
        <v>140</v>
      </c>
      <c r="M895">
        <v>4</v>
      </c>
      <c r="N895" t="s">
        <v>166</v>
      </c>
      <c r="O895">
        <v>43</v>
      </c>
      <c r="P895" t="s">
        <v>181</v>
      </c>
      <c r="Q895" t="s">
        <v>143</v>
      </c>
      <c r="R895">
        <v>4</v>
      </c>
      <c r="S895" t="s">
        <v>168</v>
      </c>
      <c r="T895">
        <v>2</v>
      </c>
      <c r="U895" t="s">
        <v>145</v>
      </c>
      <c r="V895" t="s">
        <v>146</v>
      </c>
      <c r="W895">
        <v>1</v>
      </c>
    </row>
    <row r="896" spans="2:23" x14ac:dyDescent="0.3">
      <c r="B896">
        <v>892</v>
      </c>
      <c r="C896" t="s">
        <v>153</v>
      </c>
      <c r="D896">
        <v>15</v>
      </c>
      <c r="E896" t="s">
        <v>135</v>
      </c>
      <c r="F896" t="s">
        <v>136</v>
      </c>
      <c r="G896">
        <v>1829</v>
      </c>
      <c r="H896" t="s">
        <v>149</v>
      </c>
      <c r="I896" t="s">
        <v>138</v>
      </c>
      <c r="J896">
        <v>4</v>
      </c>
      <c r="K896" t="s">
        <v>139</v>
      </c>
      <c r="L896" t="s">
        <v>140</v>
      </c>
      <c r="M896">
        <v>4</v>
      </c>
      <c r="N896" t="s">
        <v>166</v>
      </c>
      <c r="O896">
        <v>46</v>
      </c>
      <c r="P896" t="s">
        <v>142</v>
      </c>
      <c r="Q896" t="s">
        <v>143</v>
      </c>
      <c r="R896">
        <v>2</v>
      </c>
      <c r="S896" t="s">
        <v>144</v>
      </c>
      <c r="T896">
        <v>1</v>
      </c>
      <c r="U896" t="s">
        <v>145</v>
      </c>
      <c r="V896" t="s">
        <v>146</v>
      </c>
      <c r="W896">
        <v>1</v>
      </c>
    </row>
    <row r="897" spans="2:23" x14ac:dyDescent="0.3">
      <c r="B897">
        <v>893</v>
      </c>
      <c r="C897" t="s">
        <v>134</v>
      </c>
      <c r="D897">
        <v>12</v>
      </c>
      <c r="E897" t="s">
        <v>135</v>
      </c>
      <c r="F897" t="s">
        <v>162</v>
      </c>
      <c r="G897">
        <v>2171</v>
      </c>
      <c r="H897" t="s">
        <v>149</v>
      </c>
      <c r="I897" t="s">
        <v>150</v>
      </c>
      <c r="J897">
        <v>4</v>
      </c>
      <c r="K897" t="s">
        <v>139</v>
      </c>
      <c r="L897" t="s">
        <v>140</v>
      </c>
      <c r="M897">
        <v>4</v>
      </c>
      <c r="N897" t="s">
        <v>159</v>
      </c>
      <c r="O897">
        <v>38</v>
      </c>
      <c r="P897" t="s">
        <v>177</v>
      </c>
      <c r="Q897" t="s">
        <v>143</v>
      </c>
      <c r="R897">
        <v>2</v>
      </c>
      <c r="S897" t="s">
        <v>156</v>
      </c>
      <c r="T897">
        <v>1</v>
      </c>
      <c r="U897" t="s">
        <v>152</v>
      </c>
      <c r="V897" t="s">
        <v>178</v>
      </c>
      <c r="W897">
        <v>1</v>
      </c>
    </row>
    <row r="898" spans="2:23" x14ac:dyDescent="0.3">
      <c r="B898">
        <v>894</v>
      </c>
      <c r="C898" t="s">
        <v>147</v>
      </c>
      <c r="D898">
        <v>36</v>
      </c>
      <c r="E898" t="s">
        <v>135</v>
      </c>
      <c r="F898" t="s">
        <v>165</v>
      </c>
      <c r="G898">
        <v>5800</v>
      </c>
      <c r="H898" t="s">
        <v>149</v>
      </c>
      <c r="I898" t="s">
        <v>150</v>
      </c>
      <c r="J898">
        <v>3</v>
      </c>
      <c r="K898" t="s">
        <v>139</v>
      </c>
      <c r="L898" t="s">
        <v>140</v>
      </c>
      <c r="M898">
        <v>4</v>
      </c>
      <c r="N898" t="s">
        <v>166</v>
      </c>
      <c r="O898">
        <v>34</v>
      </c>
      <c r="P898" t="s">
        <v>142</v>
      </c>
      <c r="Q898" t="s">
        <v>143</v>
      </c>
      <c r="R898">
        <v>2</v>
      </c>
      <c r="S898" t="s">
        <v>144</v>
      </c>
      <c r="T898">
        <v>1</v>
      </c>
      <c r="U898" t="s">
        <v>145</v>
      </c>
      <c r="V898" t="s">
        <v>146</v>
      </c>
      <c r="W898">
        <v>1</v>
      </c>
    </row>
    <row r="899" spans="2:23" x14ac:dyDescent="0.3">
      <c r="B899">
        <v>895</v>
      </c>
      <c r="C899" t="s">
        <v>153</v>
      </c>
      <c r="D899">
        <v>18</v>
      </c>
      <c r="E899" t="s">
        <v>135</v>
      </c>
      <c r="F899" t="s">
        <v>136</v>
      </c>
      <c r="G899">
        <v>1169</v>
      </c>
      <c r="H899" t="s">
        <v>137</v>
      </c>
      <c r="I899" t="s">
        <v>150</v>
      </c>
      <c r="J899">
        <v>4</v>
      </c>
      <c r="K899" t="s">
        <v>139</v>
      </c>
      <c r="L899" t="s">
        <v>140</v>
      </c>
      <c r="M899">
        <v>3</v>
      </c>
      <c r="N899" t="s">
        <v>159</v>
      </c>
      <c r="O899">
        <v>29</v>
      </c>
      <c r="P899" t="s">
        <v>142</v>
      </c>
      <c r="Q899" t="s">
        <v>143</v>
      </c>
      <c r="R899">
        <v>2</v>
      </c>
      <c r="S899" t="s">
        <v>144</v>
      </c>
      <c r="T899">
        <v>1</v>
      </c>
      <c r="U899" t="s">
        <v>145</v>
      </c>
      <c r="V899" t="s">
        <v>146</v>
      </c>
      <c r="W899">
        <v>1</v>
      </c>
    </row>
    <row r="900" spans="2:23" x14ac:dyDescent="0.3">
      <c r="B900">
        <v>896</v>
      </c>
      <c r="C900" t="s">
        <v>153</v>
      </c>
      <c r="D900">
        <v>36</v>
      </c>
      <c r="E900" t="s">
        <v>161</v>
      </c>
      <c r="F900" t="s">
        <v>165</v>
      </c>
      <c r="G900">
        <v>8947</v>
      </c>
      <c r="H900" t="s">
        <v>137</v>
      </c>
      <c r="I900" t="s">
        <v>155</v>
      </c>
      <c r="J900">
        <v>3</v>
      </c>
      <c r="K900" t="s">
        <v>139</v>
      </c>
      <c r="L900" t="s">
        <v>140</v>
      </c>
      <c r="M900">
        <v>2</v>
      </c>
      <c r="N900" t="s">
        <v>166</v>
      </c>
      <c r="O900">
        <v>31</v>
      </c>
      <c r="P900" t="s">
        <v>181</v>
      </c>
      <c r="Q900" t="s">
        <v>143</v>
      </c>
      <c r="R900">
        <v>1</v>
      </c>
      <c r="S900" t="s">
        <v>168</v>
      </c>
      <c r="T900">
        <v>2</v>
      </c>
      <c r="U900" t="s">
        <v>145</v>
      </c>
      <c r="V900" t="s">
        <v>146</v>
      </c>
      <c r="W900">
        <v>1</v>
      </c>
    </row>
    <row r="901" spans="2:23" x14ac:dyDescent="0.3">
      <c r="B901">
        <v>897</v>
      </c>
      <c r="C901" t="s">
        <v>134</v>
      </c>
      <c r="D901">
        <v>21</v>
      </c>
      <c r="E901" t="s">
        <v>148</v>
      </c>
      <c r="F901" t="s">
        <v>136</v>
      </c>
      <c r="G901">
        <v>2606</v>
      </c>
      <c r="H901" t="s">
        <v>149</v>
      </c>
      <c r="I901" t="s">
        <v>173</v>
      </c>
      <c r="J901">
        <v>4</v>
      </c>
      <c r="K901" t="s">
        <v>151</v>
      </c>
      <c r="L901" t="s">
        <v>140</v>
      </c>
      <c r="M901">
        <v>4</v>
      </c>
      <c r="N901" t="s">
        <v>159</v>
      </c>
      <c r="O901">
        <v>28</v>
      </c>
      <c r="P901" t="s">
        <v>142</v>
      </c>
      <c r="Q901" t="s">
        <v>167</v>
      </c>
      <c r="R901">
        <v>1</v>
      </c>
      <c r="S901" t="s">
        <v>168</v>
      </c>
      <c r="T901">
        <v>1</v>
      </c>
      <c r="U901" t="s">
        <v>145</v>
      </c>
      <c r="V901" t="s">
        <v>146</v>
      </c>
      <c r="W901">
        <v>1</v>
      </c>
    </row>
    <row r="902" spans="2:23" x14ac:dyDescent="0.3">
      <c r="B902">
        <v>898</v>
      </c>
      <c r="C902" t="s">
        <v>153</v>
      </c>
      <c r="D902">
        <v>12</v>
      </c>
      <c r="E902" t="s">
        <v>135</v>
      </c>
      <c r="F902" t="s">
        <v>157</v>
      </c>
      <c r="G902">
        <v>1592</v>
      </c>
      <c r="H902" t="s">
        <v>169</v>
      </c>
      <c r="I902" t="s">
        <v>155</v>
      </c>
      <c r="J902">
        <v>3</v>
      </c>
      <c r="K902" t="s">
        <v>151</v>
      </c>
      <c r="L902" t="s">
        <v>140</v>
      </c>
      <c r="M902">
        <v>2</v>
      </c>
      <c r="N902" t="s">
        <v>159</v>
      </c>
      <c r="O902">
        <v>35</v>
      </c>
      <c r="P902" t="s">
        <v>142</v>
      </c>
      <c r="Q902" t="s">
        <v>143</v>
      </c>
      <c r="R902">
        <v>1</v>
      </c>
      <c r="S902" t="s">
        <v>144</v>
      </c>
      <c r="T902">
        <v>1</v>
      </c>
      <c r="U902" t="s">
        <v>152</v>
      </c>
      <c r="V902" t="s">
        <v>178</v>
      </c>
      <c r="W902">
        <v>1</v>
      </c>
    </row>
    <row r="903" spans="2:23" x14ac:dyDescent="0.3">
      <c r="B903">
        <v>899</v>
      </c>
      <c r="C903" t="s">
        <v>153</v>
      </c>
      <c r="D903">
        <v>15</v>
      </c>
      <c r="E903" t="s">
        <v>148</v>
      </c>
      <c r="F903" t="s">
        <v>157</v>
      </c>
      <c r="G903">
        <v>2186</v>
      </c>
      <c r="H903" t="s">
        <v>137</v>
      </c>
      <c r="I903" t="s">
        <v>155</v>
      </c>
      <c r="J903">
        <v>1</v>
      </c>
      <c r="K903" t="s">
        <v>151</v>
      </c>
      <c r="L903" t="s">
        <v>140</v>
      </c>
      <c r="M903">
        <v>4</v>
      </c>
      <c r="N903" t="s">
        <v>141</v>
      </c>
      <c r="O903">
        <v>33</v>
      </c>
      <c r="P903" t="s">
        <v>177</v>
      </c>
      <c r="Q903" t="s">
        <v>167</v>
      </c>
      <c r="R903">
        <v>1</v>
      </c>
      <c r="S903" t="s">
        <v>156</v>
      </c>
      <c r="T903">
        <v>1</v>
      </c>
      <c r="U903" t="s">
        <v>152</v>
      </c>
      <c r="V903" t="s">
        <v>146</v>
      </c>
      <c r="W903">
        <v>1</v>
      </c>
    </row>
    <row r="904" spans="2:23" x14ac:dyDescent="0.3">
      <c r="B904">
        <v>900</v>
      </c>
      <c r="C904" t="s">
        <v>134</v>
      </c>
      <c r="D904">
        <v>18</v>
      </c>
      <c r="E904" t="s">
        <v>148</v>
      </c>
      <c r="F904" t="s">
        <v>157</v>
      </c>
      <c r="G904">
        <v>4153</v>
      </c>
      <c r="H904" t="s">
        <v>149</v>
      </c>
      <c r="I904" t="s">
        <v>150</v>
      </c>
      <c r="J904">
        <v>2</v>
      </c>
      <c r="K904" t="s">
        <v>139</v>
      </c>
      <c r="L904" t="s">
        <v>182</v>
      </c>
      <c r="M904">
        <v>3</v>
      </c>
      <c r="N904" t="s">
        <v>166</v>
      </c>
      <c r="O904">
        <v>42</v>
      </c>
      <c r="P904" t="s">
        <v>142</v>
      </c>
      <c r="Q904" t="s">
        <v>143</v>
      </c>
      <c r="R904">
        <v>1</v>
      </c>
      <c r="S904" t="s">
        <v>144</v>
      </c>
      <c r="T904">
        <v>1</v>
      </c>
      <c r="U904" t="s">
        <v>152</v>
      </c>
      <c r="V904" t="s">
        <v>146</v>
      </c>
      <c r="W904">
        <v>2</v>
      </c>
    </row>
    <row r="905" spans="2:23" x14ac:dyDescent="0.3">
      <c r="B905">
        <v>901</v>
      </c>
      <c r="C905" t="s">
        <v>134</v>
      </c>
      <c r="D905">
        <v>16</v>
      </c>
      <c r="E905" t="s">
        <v>135</v>
      </c>
      <c r="F905" t="s">
        <v>162</v>
      </c>
      <c r="G905">
        <v>2625</v>
      </c>
      <c r="H905" t="s">
        <v>149</v>
      </c>
      <c r="I905" t="s">
        <v>138</v>
      </c>
      <c r="J905">
        <v>2</v>
      </c>
      <c r="K905" t="s">
        <v>139</v>
      </c>
      <c r="L905" t="s">
        <v>158</v>
      </c>
      <c r="M905">
        <v>4</v>
      </c>
      <c r="N905" t="s">
        <v>159</v>
      </c>
      <c r="O905">
        <v>43</v>
      </c>
      <c r="P905" t="s">
        <v>177</v>
      </c>
      <c r="Q905" t="s">
        <v>167</v>
      </c>
      <c r="R905">
        <v>1</v>
      </c>
      <c r="S905" t="s">
        <v>144</v>
      </c>
      <c r="T905">
        <v>1</v>
      </c>
      <c r="U905" t="s">
        <v>145</v>
      </c>
      <c r="V905" t="s">
        <v>146</v>
      </c>
      <c r="W905">
        <v>2</v>
      </c>
    </row>
    <row r="906" spans="2:23" x14ac:dyDescent="0.3">
      <c r="B906">
        <v>902</v>
      </c>
      <c r="C906" t="s">
        <v>153</v>
      </c>
      <c r="D906">
        <v>20</v>
      </c>
      <c r="E906" t="s">
        <v>135</v>
      </c>
      <c r="F906" t="s">
        <v>162</v>
      </c>
      <c r="G906">
        <v>3485</v>
      </c>
      <c r="H906" t="s">
        <v>137</v>
      </c>
      <c r="I906" t="s">
        <v>173</v>
      </c>
      <c r="J906">
        <v>2</v>
      </c>
      <c r="K906" t="s">
        <v>170</v>
      </c>
      <c r="L906" t="s">
        <v>140</v>
      </c>
      <c r="M906">
        <v>4</v>
      </c>
      <c r="N906" t="s">
        <v>141</v>
      </c>
      <c r="O906">
        <v>44</v>
      </c>
      <c r="P906" t="s">
        <v>142</v>
      </c>
      <c r="Q906" t="s">
        <v>143</v>
      </c>
      <c r="R906">
        <v>2</v>
      </c>
      <c r="S906" t="s">
        <v>144</v>
      </c>
      <c r="T906">
        <v>1</v>
      </c>
      <c r="U906" t="s">
        <v>145</v>
      </c>
      <c r="V906" t="s">
        <v>146</v>
      </c>
      <c r="W906">
        <v>1</v>
      </c>
    </row>
    <row r="907" spans="2:23" x14ac:dyDescent="0.3">
      <c r="B907">
        <v>903</v>
      </c>
      <c r="C907" t="s">
        <v>153</v>
      </c>
      <c r="D907">
        <v>36</v>
      </c>
      <c r="E907" t="s">
        <v>135</v>
      </c>
      <c r="F907" t="s">
        <v>165</v>
      </c>
      <c r="G907">
        <v>10477</v>
      </c>
      <c r="H907" t="s">
        <v>137</v>
      </c>
      <c r="I907" t="s">
        <v>138</v>
      </c>
      <c r="J907">
        <v>2</v>
      </c>
      <c r="K907" t="s">
        <v>139</v>
      </c>
      <c r="L907" t="s">
        <v>140</v>
      </c>
      <c r="M907">
        <v>4</v>
      </c>
      <c r="N907" t="s">
        <v>163</v>
      </c>
      <c r="O907">
        <v>42</v>
      </c>
      <c r="P907" t="s">
        <v>142</v>
      </c>
      <c r="Q907" t="s">
        <v>160</v>
      </c>
      <c r="R907">
        <v>2</v>
      </c>
      <c r="S907" t="s">
        <v>144</v>
      </c>
      <c r="T907">
        <v>1</v>
      </c>
      <c r="U907" t="s">
        <v>152</v>
      </c>
      <c r="V907" t="s">
        <v>146</v>
      </c>
      <c r="W907">
        <v>1</v>
      </c>
    </row>
    <row r="908" spans="2:23" x14ac:dyDescent="0.3">
      <c r="B908">
        <v>904</v>
      </c>
      <c r="C908" t="s">
        <v>153</v>
      </c>
      <c r="D908">
        <v>15</v>
      </c>
      <c r="E908" t="s">
        <v>148</v>
      </c>
      <c r="F908" t="s">
        <v>136</v>
      </c>
      <c r="G908">
        <v>1386</v>
      </c>
      <c r="H908" t="s">
        <v>137</v>
      </c>
      <c r="I908" t="s">
        <v>150</v>
      </c>
      <c r="J908">
        <v>4</v>
      </c>
      <c r="K908" t="s">
        <v>172</v>
      </c>
      <c r="L908" t="s">
        <v>140</v>
      </c>
      <c r="M908">
        <v>2</v>
      </c>
      <c r="N908" t="s">
        <v>141</v>
      </c>
      <c r="O908">
        <v>40</v>
      </c>
      <c r="P908" t="s">
        <v>142</v>
      </c>
      <c r="Q908" t="s">
        <v>167</v>
      </c>
      <c r="R908">
        <v>1</v>
      </c>
      <c r="S908" t="s">
        <v>144</v>
      </c>
      <c r="T908">
        <v>1</v>
      </c>
      <c r="U908" t="s">
        <v>145</v>
      </c>
      <c r="V908" t="s">
        <v>146</v>
      </c>
      <c r="W908">
        <v>1</v>
      </c>
    </row>
    <row r="909" spans="2:23" x14ac:dyDescent="0.3">
      <c r="B909">
        <v>905</v>
      </c>
      <c r="C909" t="s">
        <v>153</v>
      </c>
      <c r="D909">
        <v>24</v>
      </c>
      <c r="E909" t="s">
        <v>148</v>
      </c>
      <c r="F909" t="s">
        <v>136</v>
      </c>
      <c r="G909">
        <v>1278</v>
      </c>
      <c r="H909" t="s">
        <v>149</v>
      </c>
      <c r="I909" t="s">
        <v>138</v>
      </c>
      <c r="J909">
        <v>4</v>
      </c>
      <c r="K909" t="s">
        <v>139</v>
      </c>
      <c r="L909" t="s">
        <v>140</v>
      </c>
      <c r="M909">
        <v>1</v>
      </c>
      <c r="N909" t="s">
        <v>141</v>
      </c>
      <c r="O909">
        <v>36</v>
      </c>
      <c r="P909" t="s">
        <v>142</v>
      </c>
      <c r="Q909" t="s">
        <v>143</v>
      </c>
      <c r="R909">
        <v>1</v>
      </c>
      <c r="S909" t="s">
        <v>168</v>
      </c>
      <c r="T909">
        <v>1</v>
      </c>
      <c r="U909" t="s">
        <v>145</v>
      </c>
      <c r="V909" t="s">
        <v>146</v>
      </c>
      <c r="W909">
        <v>1</v>
      </c>
    </row>
    <row r="910" spans="2:23" x14ac:dyDescent="0.3">
      <c r="B910">
        <v>906</v>
      </c>
      <c r="C910" t="s">
        <v>134</v>
      </c>
      <c r="D910">
        <v>12</v>
      </c>
      <c r="E910" t="s">
        <v>148</v>
      </c>
      <c r="F910" t="s">
        <v>136</v>
      </c>
      <c r="G910">
        <v>1107</v>
      </c>
      <c r="H910" t="s">
        <v>149</v>
      </c>
      <c r="I910" t="s">
        <v>150</v>
      </c>
      <c r="J910">
        <v>2</v>
      </c>
      <c r="K910" t="s">
        <v>139</v>
      </c>
      <c r="L910" t="s">
        <v>140</v>
      </c>
      <c r="M910">
        <v>2</v>
      </c>
      <c r="N910" t="s">
        <v>141</v>
      </c>
      <c r="O910">
        <v>20</v>
      </c>
      <c r="P910" t="s">
        <v>142</v>
      </c>
      <c r="Q910" t="s">
        <v>167</v>
      </c>
      <c r="R910">
        <v>1</v>
      </c>
      <c r="S910" t="s">
        <v>168</v>
      </c>
      <c r="T910">
        <v>2</v>
      </c>
      <c r="U910" t="s">
        <v>145</v>
      </c>
      <c r="V910" t="s">
        <v>146</v>
      </c>
      <c r="W910">
        <v>1</v>
      </c>
    </row>
    <row r="911" spans="2:23" x14ac:dyDescent="0.3">
      <c r="B911">
        <v>907</v>
      </c>
      <c r="C911" t="s">
        <v>134</v>
      </c>
      <c r="D911">
        <v>21</v>
      </c>
      <c r="E911" t="s">
        <v>148</v>
      </c>
      <c r="F911" t="s">
        <v>162</v>
      </c>
      <c r="G911">
        <v>3763</v>
      </c>
      <c r="H911" t="s">
        <v>137</v>
      </c>
      <c r="I911" t="s">
        <v>155</v>
      </c>
      <c r="J911">
        <v>2</v>
      </c>
      <c r="K911" t="s">
        <v>139</v>
      </c>
      <c r="L911" t="s">
        <v>182</v>
      </c>
      <c r="M911">
        <v>2</v>
      </c>
      <c r="N911" t="s">
        <v>141</v>
      </c>
      <c r="O911">
        <v>24</v>
      </c>
      <c r="P911" t="s">
        <v>142</v>
      </c>
      <c r="Q911" t="s">
        <v>143</v>
      </c>
      <c r="R911">
        <v>1</v>
      </c>
      <c r="S911" t="s">
        <v>156</v>
      </c>
      <c r="T911">
        <v>1</v>
      </c>
      <c r="U911" t="s">
        <v>152</v>
      </c>
      <c r="V911" t="s">
        <v>178</v>
      </c>
      <c r="W911">
        <v>1</v>
      </c>
    </row>
    <row r="912" spans="2:23" x14ac:dyDescent="0.3">
      <c r="B912">
        <v>908</v>
      </c>
      <c r="C912" t="s">
        <v>147</v>
      </c>
      <c r="D912">
        <v>36</v>
      </c>
      <c r="E912" t="s">
        <v>148</v>
      </c>
      <c r="F912" t="s">
        <v>154</v>
      </c>
      <c r="G912">
        <v>3711</v>
      </c>
      <c r="H912" t="s">
        <v>137</v>
      </c>
      <c r="I912" t="s">
        <v>150</v>
      </c>
      <c r="J912">
        <v>2</v>
      </c>
      <c r="K912" t="s">
        <v>172</v>
      </c>
      <c r="L912" t="s">
        <v>140</v>
      </c>
      <c r="M912">
        <v>2</v>
      </c>
      <c r="N912" t="s">
        <v>166</v>
      </c>
      <c r="O912">
        <v>27</v>
      </c>
      <c r="P912" t="s">
        <v>142</v>
      </c>
      <c r="Q912" t="s">
        <v>143</v>
      </c>
      <c r="R912">
        <v>1</v>
      </c>
      <c r="S912" t="s">
        <v>144</v>
      </c>
      <c r="T912">
        <v>1</v>
      </c>
      <c r="U912" t="s">
        <v>152</v>
      </c>
      <c r="V912" t="s">
        <v>146</v>
      </c>
      <c r="W912">
        <v>1</v>
      </c>
    </row>
    <row r="913" spans="2:23" x14ac:dyDescent="0.3">
      <c r="B913">
        <v>909</v>
      </c>
      <c r="C913" t="s">
        <v>153</v>
      </c>
      <c r="D913">
        <v>15</v>
      </c>
      <c r="E913" t="s">
        <v>161</v>
      </c>
      <c r="F913" t="s">
        <v>165</v>
      </c>
      <c r="G913">
        <v>3594</v>
      </c>
      <c r="H913" t="s">
        <v>149</v>
      </c>
      <c r="I913" t="s">
        <v>173</v>
      </c>
      <c r="J913">
        <v>1</v>
      </c>
      <c r="K913" t="s">
        <v>151</v>
      </c>
      <c r="L913" t="s">
        <v>140</v>
      </c>
      <c r="M913">
        <v>2</v>
      </c>
      <c r="N913" t="s">
        <v>159</v>
      </c>
      <c r="O913">
        <v>46</v>
      </c>
      <c r="P913" t="s">
        <v>142</v>
      </c>
      <c r="Q913" t="s">
        <v>143</v>
      </c>
      <c r="R913">
        <v>2</v>
      </c>
      <c r="S913" t="s">
        <v>156</v>
      </c>
      <c r="T913">
        <v>1</v>
      </c>
      <c r="U913" t="s">
        <v>152</v>
      </c>
      <c r="V913" t="s">
        <v>146</v>
      </c>
      <c r="W913">
        <v>1</v>
      </c>
    </row>
    <row r="914" spans="2:23" x14ac:dyDescent="0.3">
      <c r="B914">
        <v>910</v>
      </c>
      <c r="C914" t="s">
        <v>147</v>
      </c>
      <c r="D914">
        <v>9</v>
      </c>
      <c r="E914" t="s">
        <v>148</v>
      </c>
      <c r="F914" t="s">
        <v>162</v>
      </c>
      <c r="G914">
        <v>3195</v>
      </c>
      <c r="H914" t="s">
        <v>137</v>
      </c>
      <c r="I914" t="s">
        <v>150</v>
      </c>
      <c r="J914">
        <v>1</v>
      </c>
      <c r="K914" t="s">
        <v>151</v>
      </c>
      <c r="L914" t="s">
        <v>140</v>
      </c>
      <c r="M914">
        <v>2</v>
      </c>
      <c r="N914" t="s">
        <v>141</v>
      </c>
      <c r="O914">
        <v>33</v>
      </c>
      <c r="P914" t="s">
        <v>142</v>
      </c>
      <c r="Q914" t="s">
        <v>143</v>
      </c>
      <c r="R914">
        <v>1</v>
      </c>
      <c r="S914" t="s">
        <v>156</v>
      </c>
      <c r="T914">
        <v>1</v>
      </c>
      <c r="U914" t="s">
        <v>152</v>
      </c>
      <c r="V914" t="s">
        <v>146</v>
      </c>
      <c r="W914">
        <v>1</v>
      </c>
    </row>
    <row r="915" spans="2:23" x14ac:dyDescent="0.3">
      <c r="B915">
        <v>911</v>
      </c>
      <c r="C915" t="s">
        <v>153</v>
      </c>
      <c r="D915">
        <v>36</v>
      </c>
      <c r="E915" t="s">
        <v>161</v>
      </c>
      <c r="F915" t="s">
        <v>136</v>
      </c>
      <c r="G915">
        <v>4454</v>
      </c>
      <c r="H915" t="s">
        <v>149</v>
      </c>
      <c r="I915" t="s">
        <v>150</v>
      </c>
      <c r="J915">
        <v>4</v>
      </c>
      <c r="K915" t="s">
        <v>151</v>
      </c>
      <c r="L915" t="s">
        <v>140</v>
      </c>
      <c r="M915">
        <v>4</v>
      </c>
      <c r="N915" t="s">
        <v>141</v>
      </c>
      <c r="O915">
        <v>34</v>
      </c>
      <c r="P915" t="s">
        <v>142</v>
      </c>
      <c r="Q915" t="s">
        <v>143</v>
      </c>
      <c r="R915">
        <v>2</v>
      </c>
      <c r="S915" t="s">
        <v>144</v>
      </c>
      <c r="T915">
        <v>1</v>
      </c>
      <c r="U915" t="s">
        <v>152</v>
      </c>
      <c r="V915" t="s">
        <v>146</v>
      </c>
      <c r="W915">
        <v>1</v>
      </c>
    </row>
    <row r="916" spans="2:23" x14ac:dyDescent="0.3">
      <c r="B916">
        <v>912</v>
      </c>
      <c r="C916" t="s">
        <v>147</v>
      </c>
      <c r="D916">
        <v>24</v>
      </c>
      <c r="E916" t="s">
        <v>135</v>
      </c>
      <c r="F916" t="s">
        <v>157</v>
      </c>
      <c r="G916">
        <v>4736</v>
      </c>
      <c r="H916" t="s">
        <v>149</v>
      </c>
      <c r="I916" t="s">
        <v>173</v>
      </c>
      <c r="J916">
        <v>2</v>
      </c>
      <c r="K916" t="s">
        <v>151</v>
      </c>
      <c r="L916" t="s">
        <v>140</v>
      </c>
      <c r="M916">
        <v>4</v>
      </c>
      <c r="N916" t="s">
        <v>166</v>
      </c>
      <c r="O916">
        <v>25</v>
      </c>
      <c r="P916" t="s">
        <v>177</v>
      </c>
      <c r="Q916" t="s">
        <v>143</v>
      </c>
      <c r="R916">
        <v>1</v>
      </c>
      <c r="S916" t="s">
        <v>156</v>
      </c>
      <c r="T916">
        <v>1</v>
      </c>
      <c r="U916" t="s">
        <v>152</v>
      </c>
      <c r="V916" t="s">
        <v>146</v>
      </c>
      <c r="W916">
        <v>2</v>
      </c>
    </row>
    <row r="917" spans="2:23" x14ac:dyDescent="0.3">
      <c r="B917">
        <v>913</v>
      </c>
      <c r="C917" t="s">
        <v>147</v>
      </c>
      <c r="D917">
        <v>30</v>
      </c>
      <c r="E917" t="s">
        <v>148</v>
      </c>
      <c r="F917" t="s">
        <v>136</v>
      </c>
      <c r="G917">
        <v>2991</v>
      </c>
      <c r="H917" t="s">
        <v>137</v>
      </c>
      <c r="I917" t="s">
        <v>138</v>
      </c>
      <c r="J917">
        <v>2</v>
      </c>
      <c r="K917" t="s">
        <v>151</v>
      </c>
      <c r="L917" t="s">
        <v>140</v>
      </c>
      <c r="M917">
        <v>4</v>
      </c>
      <c r="N917" t="s">
        <v>166</v>
      </c>
      <c r="O917">
        <v>25</v>
      </c>
      <c r="P917" t="s">
        <v>142</v>
      </c>
      <c r="Q917" t="s">
        <v>143</v>
      </c>
      <c r="R917">
        <v>1</v>
      </c>
      <c r="S917" t="s">
        <v>144</v>
      </c>
      <c r="T917">
        <v>1</v>
      </c>
      <c r="U917" t="s">
        <v>152</v>
      </c>
      <c r="V917" t="s">
        <v>146</v>
      </c>
      <c r="W917">
        <v>1</v>
      </c>
    </row>
    <row r="918" spans="2:23" x14ac:dyDescent="0.3">
      <c r="B918">
        <v>914</v>
      </c>
      <c r="C918" t="s">
        <v>153</v>
      </c>
      <c r="D918">
        <v>11</v>
      </c>
      <c r="E918" t="s">
        <v>148</v>
      </c>
      <c r="F918" t="s">
        <v>174</v>
      </c>
      <c r="G918">
        <v>2142</v>
      </c>
      <c r="H918" t="s">
        <v>169</v>
      </c>
      <c r="I918" t="s">
        <v>138</v>
      </c>
      <c r="J918">
        <v>1</v>
      </c>
      <c r="K918" t="s">
        <v>170</v>
      </c>
      <c r="L918" t="s">
        <v>140</v>
      </c>
      <c r="M918">
        <v>2</v>
      </c>
      <c r="N918" t="s">
        <v>141</v>
      </c>
      <c r="O918">
        <v>28</v>
      </c>
      <c r="P918" t="s">
        <v>142</v>
      </c>
      <c r="Q918" t="s">
        <v>143</v>
      </c>
      <c r="R918">
        <v>1</v>
      </c>
      <c r="S918" t="s">
        <v>144</v>
      </c>
      <c r="T918">
        <v>1</v>
      </c>
      <c r="U918" t="s">
        <v>145</v>
      </c>
      <c r="V918" t="s">
        <v>146</v>
      </c>
      <c r="W918">
        <v>1</v>
      </c>
    </row>
    <row r="919" spans="2:23" x14ac:dyDescent="0.3">
      <c r="B919">
        <v>915</v>
      </c>
      <c r="C919" t="s">
        <v>134</v>
      </c>
      <c r="D919">
        <v>24</v>
      </c>
      <c r="E919" t="s">
        <v>180</v>
      </c>
      <c r="F919" t="s">
        <v>174</v>
      </c>
      <c r="G919">
        <v>3161</v>
      </c>
      <c r="H919" t="s">
        <v>149</v>
      </c>
      <c r="I919" t="s">
        <v>150</v>
      </c>
      <c r="J919">
        <v>4</v>
      </c>
      <c r="K919" t="s">
        <v>139</v>
      </c>
      <c r="L919" t="s">
        <v>140</v>
      </c>
      <c r="M919">
        <v>2</v>
      </c>
      <c r="N919" t="s">
        <v>159</v>
      </c>
      <c r="O919">
        <v>31</v>
      </c>
      <c r="P919" t="s">
        <v>142</v>
      </c>
      <c r="Q919" t="s">
        <v>167</v>
      </c>
      <c r="R919">
        <v>1</v>
      </c>
      <c r="S919" t="s">
        <v>144</v>
      </c>
      <c r="T919">
        <v>1</v>
      </c>
      <c r="U919" t="s">
        <v>145</v>
      </c>
      <c r="V919" t="s">
        <v>146</v>
      </c>
      <c r="W919">
        <v>2</v>
      </c>
    </row>
    <row r="920" spans="2:23" x14ac:dyDescent="0.3">
      <c r="B920">
        <v>916</v>
      </c>
      <c r="C920" t="s">
        <v>147</v>
      </c>
      <c r="D920">
        <v>48</v>
      </c>
      <c r="E920" t="s">
        <v>176</v>
      </c>
      <c r="F920" t="s">
        <v>186</v>
      </c>
      <c r="G920">
        <v>18424</v>
      </c>
      <c r="H920" t="s">
        <v>149</v>
      </c>
      <c r="I920" t="s">
        <v>150</v>
      </c>
      <c r="J920">
        <v>1</v>
      </c>
      <c r="K920" t="s">
        <v>151</v>
      </c>
      <c r="L920" t="s">
        <v>140</v>
      </c>
      <c r="M920">
        <v>2</v>
      </c>
      <c r="N920" t="s">
        <v>159</v>
      </c>
      <c r="O920">
        <v>32</v>
      </c>
      <c r="P920" t="s">
        <v>177</v>
      </c>
      <c r="Q920" t="s">
        <v>143</v>
      </c>
      <c r="R920">
        <v>1</v>
      </c>
      <c r="S920" t="s">
        <v>168</v>
      </c>
      <c r="T920">
        <v>1</v>
      </c>
      <c r="U920" t="s">
        <v>145</v>
      </c>
      <c r="V920" t="s">
        <v>178</v>
      </c>
      <c r="W920">
        <v>2</v>
      </c>
    </row>
    <row r="921" spans="2:23" x14ac:dyDescent="0.3">
      <c r="B921">
        <v>917</v>
      </c>
      <c r="C921" t="s">
        <v>153</v>
      </c>
      <c r="D921">
        <v>10</v>
      </c>
      <c r="E921" t="s">
        <v>148</v>
      </c>
      <c r="F921" t="s">
        <v>165</v>
      </c>
      <c r="G921">
        <v>2848</v>
      </c>
      <c r="H921" t="s">
        <v>175</v>
      </c>
      <c r="I921" t="s">
        <v>150</v>
      </c>
      <c r="J921">
        <v>1</v>
      </c>
      <c r="K921" t="s">
        <v>139</v>
      </c>
      <c r="L921" t="s">
        <v>182</v>
      </c>
      <c r="M921">
        <v>2</v>
      </c>
      <c r="N921" t="s">
        <v>141</v>
      </c>
      <c r="O921">
        <v>32</v>
      </c>
      <c r="P921" t="s">
        <v>142</v>
      </c>
      <c r="Q921" t="s">
        <v>143</v>
      </c>
      <c r="R921">
        <v>1</v>
      </c>
      <c r="S921" t="s">
        <v>144</v>
      </c>
      <c r="T921">
        <v>2</v>
      </c>
      <c r="U921" t="s">
        <v>152</v>
      </c>
      <c r="V921" t="s">
        <v>146</v>
      </c>
      <c r="W921">
        <v>1</v>
      </c>
    </row>
    <row r="922" spans="2:23" x14ac:dyDescent="0.3">
      <c r="B922">
        <v>918</v>
      </c>
      <c r="C922" t="s">
        <v>134</v>
      </c>
      <c r="D922">
        <v>6</v>
      </c>
      <c r="E922" t="s">
        <v>148</v>
      </c>
      <c r="F922" t="s">
        <v>162</v>
      </c>
      <c r="G922">
        <v>14896</v>
      </c>
      <c r="H922" t="s">
        <v>149</v>
      </c>
      <c r="I922" t="s">
        <v>138</v>
      </c>
      <c r="J922">
        <v>1</v>
      </c>
      <c r="K922" t="s">
        <v>139</v>
      </c>
      <c r="L922" t="s">
        <v>140</v>
      </c>
      <c r="M922">
        <v>4</v>
      </c>
      <c r="N922" t="s">
        <v>163</v>
      </c>
      <c r="O922">
        <v>68</v>
      </c>
      <c r="P922" t="s">
        <v>177</v>
      </c>
      <c r="Q922" t="s">
        <v>143</v>
      </c>
      <c r="R922">
        <v>1</v>
      </c>
      <c r="S922" t="s">
        <v>168</v>
      </c>
      <c r="T922">
        <v>1</v>
      </c>
      <c r="U922" t="s">
        <v>145</v>
      </c>
      <c r="V922" t="s">
        <v>146</v>
      </c>
      <c r="W922">
        <v>2</v>
      </c>
    </row>
    <row r="923" spans="2:23" x14ac:dyDescent="0.3">
      <c r="B923">
        <v>919</v>
      </c>
      <c r="C923" t="s">
        <v>134</v>
      </c>
      <c r="D923">
        <v>24</v>
      </c>
      <c r="E923" t="s">
        <v>148</v>
      </c>
      <c r="F923" t="s">
        <v>157</v>
      </c>
      <c r="G923">
        <v>2359</v>
      </c>
      <c r="H923" t="s">
        <v>175</v>
      </c>
      <c r="I923" t="s">
        <v>171</v>
      </c>
      <c r="J923">
        <v>1</v>
      </c>
      <c r="K923" t="s">
        <v>170</v>
      </c>
      <c r="L923" t="s">
        <v>140</v>
      </c>
      <c r="M923">
        <v>1</v>
      </c>
      <c r="N923" t="s">
        <v>159</v>
      </c>
      <c r="O923">
        <v>33</v>
      </c>
      <c r="P923" t="s">
        <v>142</v>
      </c>
      <c r="Q923" t="s">
        <v>143</v>
      </c>
      <c r="R923">
        <v>1</v>
      </c>
      <c r="S923" t="s">
        <v>144</v>
      </c>
      <c r="T923">
        <v>1</v>
      </c>
      <c r="U923" t="s">
        <v>152</v>
      </c>
      <c r="V923" t="s">
        <v>146</v>
      </c>
      <c r="W923">
        <v>2</v>
      </c>
    </row>
    <row r="924" spans="2:23" x14ac:dyDescent="0.3">
      <c r="B924">
        <v>920</v>
      </c>
      <c r="C924" t="s">
        <v>134</v>
      </c>
      <c r="D924">
        <v>24</v>
      </c>
      <c r="E924" t="s">
        <v>148</v>
      </c>
      <c r="F924" t="s">
        <v>157</v>
      </c>
      <c r="G924">
        <v>3345</v>
      </c>
      <c r="H924" t="s">
        <v>149</v>
      </c>
      <c r="I924" t="s">
        <v>138</v>
      </c>
      <c r="J924">
        <v>4</v>
      </c>
      <c r="K924" t="s">
        <v>139</v>
      </c>
      <c r="L924" t="s">
        <v>140</v>
      </c>
      <c r="M924">
        <v>2</v>
      </c>
      <c r="N924" t="s">
        <v>159</v>
      </c>
      <c r="O924">
        <v>39</v>
      </c>
      <c r="P924" t="s">
        <v>142</v>
      </c>
      <c r="Q924" t="s">
        <v>167</v>
      </c>
      <c r="R924">
        <v>1</v>
      </c>
      <c r="S924" t="s">
        <v>168</v>
      </c>
      <c r="T924">
        <v>1</v>
      </c>
      <c r="U924" t="s">
        <v>145</v>
      </c>
      <c r="V924" t="s">
        <v>146</v>
      </c>
      <c r="W924">
        <v>2</v>
      </c>
    </row>
    <row r="925" spans="2:23" x14ac:dyDescent="0.3">
      <c r="B925">
        <v>921</v>
      </c>
      <c r="C925" t="s">
        <v>153</v>
      </c>
      <c r="D925">
        <v>18</v>
      </c>
      <c r="E925" t="s">
        <v>135</v>
      </c>
      <c r="F925" t="s">
        <v>157</v>
      </c>
      <c r="G925">
        <v>1817</v>
      </c>
      <c r="H925" t="s">
        <v>149</v>
      </c>
      <c r="I925" t="s">
        <v>150</v>
      </c>
      <c r="J925">
        <v>4</v>
      </c>
      <c r="K925" t="s">
        <v>151</v>
      </c>
      <c r="L925" t="s">
        <v>140</v>
      </c>
      <c r="M925">
        <v>2</v>
      </c>
      <c r="N925" t="s">
        <v>163</v>
      </c>
      <c r="O925">
        <v>28</v>
      </c>
      <c r="P925" t="s">
        <v>142</v>
      </c>
      <c r="Q925" t="s">
        <v>143</v>
      </c>
      <c r="R925">
        <v>2</v>
      </c>
      <c r="S925" t="s">
        <v>144</v>
      </c>
      <c r="T925">
        <v>1</v>
      </c>
      <c r="U925" t="s">
        <v>152</v>
      </c>
      <c r="V925" t="s">
        <v>146</v>
      </c>
      <c r="W925">
        <v>1</v>
      </c>
    </row>
    <row r="926" spans="2:23" x14ac:dyDescent="0.3">
      <c r="B926">
        <v>922</v>
      </c>
      <c r="C926" t="s">
        <v>153</v>
      </c>
      <c r="D926">
        <v>48</v>
      </c>
      <c r="E926" t="s">
        <v>161</v>
      </c>
      <c r="F926" t="s">
        <v>136</v>
      </c>
      <c r="G926">
        <v>12749</v>
      </c>
      <c r="H926" t="s">
        <v>164</v>
      </c>
      <c r="I926" t="s">
        <v>155</v>
      </c>
      <c r="J926">
        <v>4</v>
      </c>
      <c r="K926" t="s">
        <v>139</v>
      </c>
      <c r="L926" t="s">
        <v>140</v>
      </c>
      <c r="M926">
        <v>1</v>
      </c>
      <c r="N926" t="s">
        <v>166</v>
      </c>
      <c r="O926">
        <v>37</v>
      </c>
      <c r="P926" t="s">
        <v>142</v>
      </c>
      <c r="Q926" t="s">
        <v>143</v>
      </c>
      <c r="R926">
        <v>1</v>
      </c>
      <c r="S926" t="s">
        <v>168</v>
      </c>
      <c r="T926">
        <v>1</v>
      </c>
      <c r="U926" t="s">
        <v>145</v>
      </c>
      <c r="V926" t="s">
        <v>146</v>
      </c>
      <c r="W926">
        <v>1</v>
      </c>
    </row>
    <row r="927" spans="2:23" x14ac:dyDescent="0.3">
      <c r="B927">
        <v>923</v>
      </c>
      <c r="C927" t="s">
        <v>134</v>
      </c>
      <c r="D927">
        <v>9</v>
      </c>
      <c r="E927" t="s">
        <v>148</v>
      </c>
      <c r="F927" t="s">
        <v>136</v>
      </c>
      <c r="G927">
        <v>1366</v>
      </c>
      <c r="H927" t="s">
        <v>149</v>
      </c>
      <c r="I927" t="s">
        <v>173</v>
      </c>
      <c r="J927">
        <v>3</v>
      </c>
      <c r="K927" t="s">
        <v>151</v>
      </c>
      <c r="L927" t="s">
        <v>140</v>
      </c>
      <c r="M927">
        <v>4</v>
      </c>
      <c r="N927" t="s">
        <v>159</v>
      </c>
      <c r="O927">
        <v>22</v>
      </c>
      <c r="P927" t="s">
        <v>142</v>
      </c>
      <c r="Q927" t="s">
        <v>167</v>
      </c>
      <c r="R927">
        <v>1</v>
      </c>
      <c r="S927" t="s">
        <v>144</v>
      </c>
      <c r="T927">
        <v>1</v>
      </c>
      <c r="U927" t="s">
        <v>152</v>
      </c>
      <c r="V927" t="s">
        <v>146</v>
      </c>
      <c r="W927">
        <v>2</v>
      </c>
    </row>
    <row r="928" spans="2:23" x14ac:dyDescent="0.3">
      <c r="B928">
        <v>924</v>
      </c>
      <c r="C928" t="s">
        <v>147</v>
      </c>
      <c r="D928">
        <v>12</v>
      </c>
      <c r="E928" t="s">
        <v>148</v>
      </c>
      <c r="F928" t="s">
        <v>162</v>
      </c>
      <c r="G928">
        <v>2002</v>
      </c>
      <c r="H928" t="s">
        <v>149</v>
      </c>
      <c r="I928" t="s">
        <v>155</v>
      </c>
      <c r="J928">
        <v>3</v>
      </c>
      <c r="K928" t="s">
        <v>139</v>
      </c>
      <c r="L928" t="s">
        <v>140</v>
      </c>
      <c r="M928">
        <v>4</v>
      </c>
      <c r="N928" t="s">
        <v>159</v>
      </c>
      <c r="O928">
        <v>30</v>
      </c>
      <c r="P928" t="s">
        <v>142</v>
      </c>
      <c r="Q928" t="s">
        <v>167</v>
      </c>
      <c r="R928">
        <v>1</v>
      </c>
      <c r="S928" t="s">
        <v>144</v>
      </c>
      <c r="T928">
        <v>2</v>
      </c>
      <c r="U928" t="s">
        <v>145</v>
      </c>
      <c r="V928" t="s">
        <v>146</v>
      </c>
      <c r="W928">
        <v>1</v>
      </c>
    </row>
    <row r="929" spans="2:23" x14ac:dyDescent="0.3">
      <c r="B929">
        <v>925</v>
      </c>
      <c r="C929" t="s">
        <v>134</v>
      </c>
      <c r="D929">
        <v>24</v>
      </c>
      <c r="E929" t="s">
        <v>180</v>
      </c>
      <c r="F929" t="s">
        <v>157</v>
      </c>
      <c r="G929">
        <v>6872</v>
      </c>
      <c r="H929" t="s">
        <v>149</v>
      </c>
      <c r="I929" t="s">
        <v>173</v>
      </c>
      <c r="J929">
        <v>2</v>
      </c>
      <c r="K929" t="s">
        <v>170</v>
      </c>
      <c r="L929" t="s">
        <v>140</v>
      </c>
      <c r="M929">
        <v>1</v>
      </c>
      <c r="N929" t="s">
        <v>159</v>
      </c>
      <c r="O929">
        <v>55</v>
      </c>
      <c r="P929" t="s">
        <v>177</v>
      </c>
      <c r="Q929" t="s">
        <v>143</v>
      </c>
      <c r="R929">
        <v>1</v>
      </c>
      <c r="S929" t="s">
        <v>144</v>
      </c>
      <c r="T929">
        <v>1</v>
      </c>
      <c r="U929" t="s">
        <v>145</v>
      </c>
      <c r="V929" t="s">
        <v>146</v>
      </c>
      <c r="W929">
        <v>2</v>
      </c>
    </row>
    <row r="930" spans="2:23" x14ac:dyDescent="0.3">
      <c r="B930">
        <v>926</v>
      </c>
      <c r="C930" t="s">
        <v>134</v>
      </c>
      <c r="D930">
        <v>12</v>
      </c>
      <c r="E930" t="s">
        <v>180</v>
      </c>
      <c r="F930" t="s">
        <v>162</v>
      </c>
      <c r="G930">
        <v>697</v>
      </c>
      <c r="H930" t="s">
        <v>149</v>
      </c>
      <c r="I930" t="s">
        <v>173</v>
      </c>
      <c r="J930">
        <v>4</v>
      </c>
      <c r="K930" t="s">
        <v>139</v>
      </c>
      <c r="L930" t="s">
        <v>140</v>
      </c>
      <c r="M930">
        <v>2</v>
      </c>
      <c r="N930" t="s">
        <v>166</v>
      </c>
      <c r="O930">
        <v>46</v>
      </c>
      <c r="P930" t="s">
        <v>177</v>
      </c>
      <c r="Q930" t="s">
        <v>143</v>
      </c>
      <c r="R930">
        <v>2</v>
      </c>
      <c r="S930" t="s">
        <v>144</v>
      </c>
      <c r="T930">
        <v>1</v>
      </c>
      <c r="U930" t="s">
        <v>145</v>
      </c>
      <c r="V930" t="s">
        <v>146</v>
      </c>
      <c r="W930">
        <v>2</v>
      </c>
    </row>
    <row r="931" spans="2:23" x14ac:dyDescent="0.3">
      <c r="B931">
        <v>927</v>
      </c>
      <c r="C931" t="s">
        <v>134</v>
      </c>
      <c r="D931">
        <v>18</v>
      </c>
      <c r="E931" t="s">
        <v>135</v>
      </c>
      <c r="F931" t="s">
        <v>157</v>
      </c>
      <c r="G931">
        <v>1049</v>
      </c>
      <c r="H931" t="s">
        <v>149</v>
      </c>
      <c r="I931" t="s">
        <v>173</v>
      </c>
      <c r="J931">
        <v>4</v>
      </c>
      <c r="K931" t="s">
        <v>151</v>
      </c>
      <c r="L931" t="s">
        <v>140</v>
      </c>
      <c r="M931">
        <v>4</v>
      </c>
      <c r="N931" t="s">
        <v>159</v>
      </c>
      <c r="O931">
        <v>21</v>
      </c>
      <c r="P931" t="s">
        <v>142</v>
      </c>
      <c r="Q931" t="s">
        <v>167</v>
      </c>
      <c r="R931">
        <v>1</v>
      </c>
      <c r="S931" t="s">
        <v>144</v>
      </c>
      <c r="T931">
        <v>1</v>
      </c>
      <c r="U931" t="s">
        <v>152</v>
      </c>
      <c r="V931" t="s">
        <v>146</v>
      </c>
      <c r="W931">
        <v>1</v>
      </c>
    </row>
    <row r="932" spans="2:23" x14ac:dyDescent="0.3">
      <c r="B932">
        <v>928</v>
      </c>
      <c r="C932" t="s">
        <v>134</v>
      </c>
      <c r="D932">
        <v>48</v>
      </c>
      <c r="E932" t="s">
        <v>148</v>
      </c>
      <c r="F932" t="s">
        <v>165</v>
      </c>
      <c r="G932">
        <v>10297</v>
      </c>
      <c r="H932" t="s">
        <v>149</v>
      </c>
      <c r="I932" t="s">
        <v>155</v>
      </c>
      <c r="J932">
        <v>4</v>
      </c>
      <c r="K932" t="s">
        <v>139</v>
      </c>
      <c r="L932" t="s">
        <v>140</v>
      </c>
      <c r="M932">
        <v>4</v>
      </c>
      <c r="N932" t="s">
        <v>163</v>
      </c>
      <c r="O932">
        <v>39</v>
      </c>
      <c r="P932" t="s">
        <v>181</v>
      </c>
      <c r="Q932" t="s">
        <v>160</v>
      </c>
      <c r="R932">
        <v>3</v>
      </c>
      <c r="S932" t="s">
        <v>144</v>
      </c>
      <c r="T932">
        <v>2</v>
      </c>
      <c r="U932" t="s">
        <v>145</v>
      </c>
      <c r="V932" t="s">
        <v>146</v>
      </c>
      <c r="W932">
        <v>2</v>
      </c>
    </row>
    <row r="933" spans="2:23" x14ac:dyDescent="0.3">
      <c r="B933">
        <v>929</v>
      </c>
      <c r="C933" t="s">
        <v>153</v>
      </c>
      <c r="D933">
        <v>30</v>
      </c>
      <c r="E933" t="s">
        <v>148</v>
      </c>
      <c r="F933" t="s">
        <v>136</v>
      </c>
      <c r="G933">
        <v>1867</v>
      </c>
      <c r="H933" t="s">
        <v>137</v>
      </c>
      <c r="I933" t="s">
        <v>138</v>
      </c>
      <c r="J933">
        <v>4</v>
      </c>
      <c r="K933" t="s">
        <v>139</v>
      </c>
      <c r="L933" t="s">
        <v>140</v>
      </c>
      <c r="M933">
        <v>4</v>
      </c>
      <c r="N933" t="s">
        <v>166</v>
      </c>
      <c r="O933">
        <v>58</v>
      </c>
      <c r="P933" t="s">
        <v>142</v>
      </c>
      <c r="Q933" t="s">
        <v>143</v>
      </c>
      <c r="R933">
        <v>1</v>
      </c>
      <c r="S933" t="s">
        <v>144</v>
      </c>
      <c r="T933">
        <v>1</v>
      </c>
      <c r="U933" t="s">
        <v>145</v>
      </c>
      <c r="V933" t="s">
        <v>146</v>
      </c>
      <c r="W933">
        <v>1</v>
      </c>
    </row>
    <row r="934" spans="2:23" x14ac:dyDescent="0.3">
      <c r="B934">
        <v>930</v>
      </c>
      <c r="C934" t="s">
        <v>134</v>
      </c>
      <c r="D934">
        <v>12</v>
      </c>
      <c r="E934" t="s">
        <v>161</v>
      </c>
      <c r="F934" t="s">
        <v>162</v>
      </c>
      <c r="G934">
        <v>1344</v>
      </c>
      <c r="H934" t="s">
        <v>149</v>
      </c>
      <c r="I934" t="s">
        <v>150</v>
      </c>
      <c r="J934">
        <v>4</v>
      </c>
      <c r="K934" t="s">
        <v>139</v>
      </c>
      <c r="L934" t="s">
        <v>140</v>
      </c>
      <c r="M934">
        <v>2</v>
      </c>
      <c r="N934" t="s">
        <v>141</v>
      </c>
      <c r="O934">
        <v>43</v>
      </c>
      <c r="P934" t="s">
        <v>142</v>
      </c>
      <c r="Q934" t="s">
        <v>143</v>
      </c>
      <c r="R934">
        <v>2</v>
      </c>
      <c r="S934" t="s">
        <v>156</v>
      </c>
      <c r="T934">
        <v>2</v>
      </c>
      <c r="U934" t="s">
        <v>152</v>
      </c>
      <c r="V934" t="s">
        <v>146</v>
      </c>
      <c r="W934">
        <v>1</v>
      </c>
    </row>
    <row r="935" spans="2:23" x14ac:dyDescent="0.3">
      <c r="B935">
        <v>931</v>
      </c>
      <c r="C935" t="s">
        <v>134</v>
      </c>
      <c r="D935">
        <v>24</v>
      </c>
      <c r="E935" t="s">
        <v>148</v>
      </c>
      <c r="F935" t="s">
        <v>157</v>
      </c>
      <c r="G935">
        <v>1747</v>
      </c>
      <c r="H935" t="s">
        <v>149</v>
      </c>
      <c r="I935" t="s">
        <v>173</v>
      </c>
      <c r="J935">
        <v>4</v>
      </c>
      <c r="K935" t="s">
        <v>139</v>
      </c>
      <c r="L935" t="s">
        <v>182</v>
      </c>
      <c r="M935">
        <v>1</v>
      </c>
      <c r="N935" t="s">
        <v>159</v>
      </c>
      <c r="O935">
        <v>24</v>
      </c>
      <c r="P935" t="s">
        <v>142</v>
      </c>
      <c r="Q935" t="s">
        <v>143</v>
      </c>
      <c r="R935">
        <v>1</v>
      </c>
      <c r="S935" t="s">
        <v>156</v>
      </c>
      <c r="T935">
        <v>1</v>
      </c>
      <c r="U935" t="s">
        <v>152</v>
      </c>
      <c r="V935" t="s">
        <v>178</v>
      </c>
      <c r="W935">
        <v>1</v>
      </c>
    </row>
    <row r="936" spans="2:23" x14ac:dyDescent="0.3">
      <c r="B936">
        <v>932</v>
      </c>
      <c r="C936" t="s">
        <v>147</v>
      </c>
      <c r="D936">
        <v>9</v>
      </c>
      <c r="E936" t="s">
        <v>148</v>
      </c>
      <c r="F936" t="s">
        <v>136</v>
      </c>
      <c r="G936">
        <v>1670</v>
      </c>
      <c r="H936" t="s">
        <v>149</v>
      </c>
      <c r="I936" t="s">
        <v>173</v>
      </c>
      <c r="J936">
        <v>4</v>
      </c>
      <c r="K936" t="s">
        <v>151</v>
      </c>
      <c r="L936" t="s">
        <v>140</v>
      </c>
      <c r="M936">
        <v>2</v>
      </c>
      <c r="N936" t="s">
        <v>166</v>
      </c>
      <c r="O936">
        <v>22</v>
      </c>
      <c r="P936" t="s">
        <v>142</v>
      </c>
      <c r="Q936" t="s">
        <v>143</v>
      </c>
      <c r="R936">
        <v>1</v>
      </c>
      <c r="S936" t="s">
        <v>144</v>
      </c>
      <c r="T936">
        <v>1</v>
      </c>
      <c r="U936" t="s">
        <v>145</v>
      </c>
      <c r="V936" t="s">
        <v>146</v>
      </c>
      <c r="W936">
        <v>2</v>
      </c>
    </row>
    <row r="937" spans="2:23" x14ac:dyDescent="0.3">
      <c r="B937">
        <v>933</v>
      </c>
      <c r="C937" t="s">
        <v>153</v>
      </c>
      <c r="D937">
        <v>9</v>
      </c>
      <c r="E937" t="s">
        <v>135</v>
      </c>
      <c r="F937" t="s">
        <v>162</v>
      </c>
      <c r="G937">
        <v>1224</v>
      </c>
      <c r="H937" t="s">
        <v>149</v>
      </c>
      <c r="I937" t="s">
        <v>150</v>
      </c>
      <c r="J937">
        <v>3</v>
      </c>
      <c r="K937" t="s">
        <v>139</v>
      </c>
      <c r="L937" t="s">
        <v>140</v>
      </c>
      <c r="M937">
        <v>1</v>
      </c>
      <c r="N937" t="s">
        <v>141</v>
      </c>
      <c r="O937">
        <v>30</v>
      </c>
      <c r="P937" t="s">
        <v>142</v>
      </c>
      <c r="Q937" t="s">
        <v>143</v>
      </c>
      <c r="R937">
        <v>2</v>
      </c>
      <c r="S937" t="s">
        <v>144</v>
      </c>
      <c r="T937">
        <v>1</v>
      </c>
      <c r="U937" t="s">
        <v>152</v>
      </c>
      <c r="V937" t="s">
        <v>146</v>
      </c>
      <c r="W937">
        <v>1</v>
      </c>
    </row>
    <row r="938" spans="2:23" x14ac:dyDescent="0.3">
      <c r="B938">
        <v>934</v>
      </c>
      <c r="C938" t="s">
        <v>153</v>
      </c>
      <c r="D938">
        <v>12</v>
      </c>
      <c r="E938" t="s">
        <v>135</v>
      </c>
      <c r="F938" t="s">
        <v>136</v>
      </c>
      <c r="G938">
        <v>522</v>
      </c>
      <c r="H938" t="s">
        <v>164</v>
      </c>
      <c r="I938" t="s">
        <v>138</v>
      </c>
      <c r="J938">
        <v>4</v>
      </c>
      <c r="K938" t="s">
        <v>139</v>
      </c>
      <c r="L938" t="s">
        <v>140</v>
      </c>
      <c r="M938">
        <v>4</v>
      </c>
      <c r="N938" t="s">
        <v>159</v>
      </c>
      <c r="O938">
        <v>42</v>
      </c>
      <c r="P938" t="s">
        <v>142</v>
      </c>
      <c r="Q938" t="s">
        <v>143</v>
      </c>
      <c r="R938">
        <v>2</v>
      </c>
      <c r="S938" t="s">
        <v>144</v>
      </c>
      <c r="T938">
        <v>2</v>
      </c>
      <c r="U938" t="s">
        <v>145</v>
      </c>
      <c r="V938" t="s">
        <v>146</v>
      </c>
      <c r="W938">
        <v>1</v>
      </c>
    </row>
    <row r="939" spans="2:23" x14ac:dyDescent="0.3">
      <c r="B939">
        <v>935</v>
      </c>
      <c r="C939" t="s">
        <v>134</v>
      </c>
      <c r="D939">
        <v>12</v>
      </c>
      <c r="E939" t="s">
        <v>148</v>
      </c>
      <c r="F939" t="s">
        <v>136</v>
      </c>
      <c r="G939">
        <v>1498</v>
      </c>
      <c r="H939" t="s">
        <v>149</v>
      </c>
      <c r="I939" t="s">
        <v>150</v>
      </c>
      <c r="J939">
        <v>4</v>
      </c>
      <c r="K939" t="s">
        <v>151</v>
      </c>
      <c r="L939" t="s">
        <v>140</v>
      </c>
      <c r="M939">
        <v>1</v>
      </c>
      <c r="N939" t="s">
        <v>166</v>
      </c>
      <c r="O939">
        <v>23</v>
      </c>
      <c r="P939" t="s">
        <v>177</v>
      </c>
      <c r="Q939" t="s">
        <v>143</v>
      </c>
      <c r="R939">
        <v>1</v>
      </c>
      <c r="S939" t="s">
        <v>144</v>
      </c>
      <c r="T939">
        <v>1</v>
      </c>
      <c r="U939" t="s">
        <v>152</v>
      </c>
      <c r="V939" t="s">
        <v>146</v>
      </c>
      <c r="W939">
        <v>1</v>
      </c>
    </row>
    <row r="940" spans="2:23" x14ac:dyDescent="0.3">
      <c r="B940">
        <v>936</v>
      </c>
      <c r="C940" t="s">
        <v>147</v>
      </c>
      <c r="D940">
        <v>30</v>
      </c>
      <c r="E940" t="s">
        <v>161</v>
      </c>
      <c r="F940" t="s">
        <v>136</v>
      </c>
      <c r="G940">
        <v>1919</v>
      </c>
      <c r="H940" t="s">
        <v>175</v>
      </c>
      <c r="I940" t="s">
        <v>173</v>
      </c>
      <c r="J940">
        <v>4</v>
      </c>
      <c r="K940" t="s">
        <v>139</v>
      </c>
      <c r="L940" t="s">
        <v>140</v>
      </c>
      <c r="M940">
        <v>3</v>
      </c>
      <c r="N940" t="s">
        <v>163</v>
      </c>
      <c r="O940">
        <v>30</v>
      </c>
      <c r="P940" t="s">
        <v>181</v>
      </c>
      <c r="Q940" t="s">
        <v>143</v>
      </c>
      <c r="R940">
        <v>2</v>
      </c>
      <c r="S940" t="s">
        <v>168</v>
      </c>
      <c r="T940">
        <v>1</v>
      </c>
      <c r="U940" t="s">
        <v>152</v>
      </c>
      <c r="V940" t="s">
        <v>146</v>
      </c>
      <c r="W940">
        <v>2</v>
      </c>
    </row>
    <row r="941" spans="2:23" x14ac:dyDescent="0.3">
      <c r="B941">
        <v>937</v>
      </c>
      <c r="C941" t="s">
        <v>179</v>
      </c>
      <c r="D941">
        <v>9</v>
      </c>
      <c r="E941" t="s">
        <v>148</v>
      </c>
      <c r="F941" t="s">
        <v>136</v>
      </c>
      <c r="G941">
        <v>745</v>
      </c>
      <c r="H941" t="s">
        <v>149</v>
      </c>
      <c r="I941" t="s">
        <v>150</v>
      </c>
      <c r="J941">
        <v>3</v>
      </c>
      <c r="K941" t="s">
        <v>151</v>
      </c>
      <c r="L941" t="s">
        <v>140</v>
      </c>
      <c r="M941">
        <v>2</v>
      </c>
      <c r="N941" t="s">
        <v>141</v>
      </c>
      <c r="O941">
        <v>28</v>
      </c>
      <c r="P941" t="s">
        <v>142</v>
      </c>
      <c r="Q941" t="s">
        <v>143</v>
      </c>
      <c r="R941">
        <v>1</v>
      </c>
      <c r="S941" t="s">
        <v>156</v>
      </c>
      <c r="T941">
        <v>1</v>
      </c>
      <c r="U941" t="s">
        <v>152</v>
      </c>
      <c r="V941" t="s">
        <v>146</v>
      </c>
      <c r="W941">
        <v>2</v>
      </c>
    </row>
    <row r="942" spans="2:23" x14ac:dyDescent="0.3">
      <c r="B942">
        <v>938</v>
      </c>
      <c r="C942" t="s">
        <v>147</v>
      </c>
      <c r="D942">
        <v>6</v>
      </c>
      <c r="E942" t="s">
        <v>148</v>
      </c>
      <c r="F942" t="s">
        <v>136</v>
      </c>
      <c r="G942">
        <v>2063</v>
      </c>
      <c r="H942" t="s">
        <v>149</v>
      </c>
      <c r="I942" t="s">
        <v>173</v>
      </c>
      <c r="J942">
        <v>4</v>
      </c>
      <c r="K942" t="s">
        <v>172</v>
      </c>
      <c r="L942" t="s">
        <v>140</v>
      </c>
      <c r="M942">
        <v>3</v>
      </c>
      <c r="N942" t="s">
        <v>166</v>
      </c>
      <c r="O942">
        <v>30</v>
      </c>
      <c r="P942" t="s">
        <v>142</v>
      </c>
      <c r="Q942" t="s">
        <v>167</v>
      </c>
      <c r="R942">
        <v>1</v>
      </c>
      <c r="S942" t="s">
        <v>168</v>
      </c>
      <c r="T942">
        <v>1</v>
      </c>
      <c r="U942" t="s">
        <v>145</v>
      </c>
      <c r="V942" t="s">
        <v>146</v>
      </c>
      <c r="W942">
        <v>1</v>
      </c>
    </row>
    <row r="943" spans="2:23" x14ac:dyDescent="0.3">
      <c r="B943">
        <v>939</v>
      </c>
      <c r="C943" t="s">
        <v>147</v>
      </c>
      <c r="D943">
        <v>60</v>
      </c>
      <c r="E943" t="s">
        <v>148</v>
      </c>
      <c r="F943" t="s">
        <v>154</v>
      </c>
      <c r="G943">
        <v>6288</v>
      </c>
      <c r="H943" t="s">
        <v>149</v>
      </c>
      <c r="I943" t="s">
        <v>150</v>
      </c>
      <c r="J943">
        <v>4</v>
      </c>
      <c r="K943" t="s">
        <v>139</v>
      </c>
      <c r="L943" t="s">
        <v>140</v>
      </c>
      <c r="M943">
        <v>4</v>
      </c>
      <c r="N943" t="s">
        <v>163</v>
      </c>
      <c r="O943">
        <v>42</v>
      </c>
      <c r="P943" t="s">
        <v>142</v>
      </c>
      <c r="Q943" t="s">
        <v>160</v>
      </c>
      <c r="R943">
        <v>1</v>
      </c>
      <c r="S943" t="s">
        <v>144</v>
      </c>
      <c r="T943">
        <v>1</v>
      </c>
      <c r="U943" t="s">
        <v>152</v>
      </c>
      <c r="V943" t="s">
        <v>146</v>
      </c>
      <c r="W943">
        <v>2</v>
      </c>
    </row>
    <row r="944" spans="2:23" x14ac:dyDescent="0.3">
      <c r="B944">
        <v>940</v>
      </c>
      <c r="C944" t="s">
        <v>153</v>
      </c>
      <c r="D944">
        <v>24</v>
      </c>
      <c r="E944" t="s">
        <v>135</v>
      </c>
      <c r="F944" t="s">
        <v>165</v>
      </c>
      <c r="G944">
        <v>6842</v>
      </c>
      <c r="H944" t="s">
        <v>137</v>
      </c>
      <c r="I944" t="s">
        <v>150</v>
      </c>
      <c r="J944">
        <v>2</v>
      </c>
      <c r="K944" t="s">
        <v>139</v>
      </c>
      <c r="L944" t="s">
        <v>140</v>
      </c>
      <c r="M944">
        <v>4</v>
      </c>
      <c r="N944" t="s">
        <v>159</v>
      </c>
      <c r="O944">
        <v>46</v>
      </c>
      <c r="P944" t="s">
        <v>142</v>
      </c>
      <c r="Q944" t="s">
        <v>143</v>
      </c>
      <c r="R944">
        <v>2</v>
      </c>
      <c r="S944" t="s">
        <v>168</v>
      </c>
      <c r="T944">
        <v>2</v>
      </c>
      <c r="U944" t="s">
        <v>145</v>
      </c>
      <c r="V944" t="s">
        <v>146</v>
      </c>
      <c r="W944">
        <v>1</v>
      </c>
    </row>
    <row r="945" spans="2:23" x14ac:dyDescent="0.3">
      <c r="B945">
        <v>941</v>
      </c>
      <c r="C945" t="s">
        <v>153</v>
      </c>
      <c r="D945">
        <v>12</v>
      </c>
      <c r="E945" t="s">
        <v>148</v>
      </c>
      <c r="F945" t="s">
        <v>162</v>
      </c>
      <c r="G945">
        <v>3527</v>
      </c>
      <c r="H945" t="s">
        <v>137</v>
      </c>
      <c r="I945" t="s">
        <v>173</v>
      </c>
      <c r="J945">
        <v>2</v>
      </c>
      <c r="K945" t="s">
        <v>139</v>
      </c>
      <c r="L945" t="s">
        <v>140</v>
      </c>
      <c r="M945">
        <v>3</v>
      </c>
      <c r="N945" t="s">
        <v>159</v>
      </c>
      <c r="O945">
        <v>45</v>
      </c>
      <c r="P945" t="s">
        <v>142</v>
      </c>
      <c r="Q945" t="s">
        <v>143</v>
      </c>
      <c r="R945">
        <v>1</v>
      </c>
      <c r="S945" t="s">
        <v>168</v>
      </c>
      <c r="T945">
        <v>2</v>
      </c>
      <c r="U945" t="s">
        <v>145</v>
      </c>
      <c r="V945" t="s">
        <v>146</v>
      </c>
      <c r="W945">
        <v>1</v>
      </c>
    </row>
    <row r="946" spans="2:23" x14ac:dyDescent="0.3">
      <c r="B946">
        <v>942</v>
      </c>
      <c r="C946" t="s">
        <v>153</v>
      </c>
      <c r="D946">
        <v>10</v>
      </c>
      <c r="E946" t="s">
        <v>148</v>
      </c>
      <c r="F946" t="s">
        <v>162</v>
      </c>
      <c r="G946">
        <v>1546</v>
      </c>
      <c r="H946" t="s">
        <v>149</v>
      </c>
      <c r="I946" t="s">
        <v>150</v>
      </c>
      <c r="J946">
        <v>3</v>
      </c>
      <c r="K946" t="s">
        <v>139</v>
      </c>
      <c r="L946" t="s">
        <v>140</v>
      </c>
      <c r="M946">
        <v>2</v>
      </c>
      <c r="N946" t="s">
        <v>141</v>
      </c>
      <c r="O946">
        <v>31</v>
      </c>
      <c r="P946" t="s">
        <v>142</v>
      </c>
      <c r="Q946" t="s">
        <v>143</v>
      </c>
      <c r="R946">
        <v>1</v>
      </c>
      <c r="S946" t="s">
        <v>156</v>
      </c>
      <c r="T946">
        <v>2</v>
      </c>
      <c r="U946" t="s">
        <v>152</v>
      </c>
      <c r="V946" t="s">
        <v>178</v>
      </c>
      <c r="W946">
        <v>1</v>
      </c>
    </row>
    <row r="947" spans="2:23" x14ac:dyDescent="0.3">
      <c r="B947">
        <v>943</v>
      </c>
      <c r="C947" t="s">
        <v>153</v>
      </c>
      <c r="D947">
        <v>24</v>
      </c>
      <c r="E947" t="s">
        <v>148</v>
      </c>
      <c r="F947" t="s">
        <v>157</v>
      </c>
      <c r="G947">
        <v>929</v>
      </c>
      <c r="H947" t="s">
        <v>137</v>
      </c>
      <c r="I947" t="s">
        <v>155</v>
      </c>
      <c r="J947">
        <v>4</v>
      </c>
      <c r="K947" t="s">
        <v>139</v>
      </c>
      <c r="L947" t="s">
        <v>140</v>
      </c>
      <c r="M947">
        <v>2</v>
      </c>
      <c r="N947" t="s">
        <v>166</v>
      </c>
      <c r="O947">
        <v>31</v>
      </c>
      <c r="P947" t="s">
        <v>181</v>
      </c>
      <c r="Q947" t="s">
        <v>143</v>
      </c>
      <c r="R947">
        <v>1</v>
      </c>
      <c r="S947" t="s">
        <v>144</v>
      </c>
      <c r="T947">
        <v>1</v>
      </c>
      <c r="U947" t="s">
        <v>145</v>
      </c>
      <c r="V947" t="s">
        <v>146</v>
      </c>
      <c r="W947">
        <v>1</v>
      </c>
    </row>
    <row r="948" spans="2:23" x14ac:dyDescent="0.3">
      <c r="B948">
        <v>944</v>
      </c>
      <c r="C948" t="s">
        <v>153</v>
      </c>
      <c r="D948">
        <v>4</v>
      </c>
      <c r="E948" t="s">
        <v>135</v>
      </c>
      <c r="F948" t="s">
        <v>162</v>
      </c>
      <c r="G948">
        <v>1455</v>
      </c>
      <c r="H948" t="s">
        <v>149</v>
      </c>
      <c r="I948" t="s">
        <v>155</v>
      </c>
      <c r="J948">
        <v>2</v>
      </c>
      <c r="K948" t="s">
        <v>139</v>
      </c>
      <c r="L948" t="s">
        <v>140</v>
      </c>
      <c r="M948">
        <v>1</v>
      </c>
      <c r="N948" t="s">
        <v>141</v>
      </c>
      <c r="O948">
        <v>42</v>
      </c>
      <c r="P948" t="s">
        <v>142</v>
      </c>
      <c r="Q948" t="s">
        <v>143</v>
      </c>
      <c r="R948">
        <v>3</v>
      </c>
      <c r="S948" t="s">
        <v>156</v>
      </c>
      <c r="T948">
        <v>2</v>
      </c>
      <c r="U948" t="s">
        <v>152</v>
      </c>
      <c r="V948" t="s">
        <v>146</v>
      </c>
      <c r="W948">
        <v>1</v>
      </c>
    </row>
    <row r="949" spans="2:23" x14ac:dyDescent="0.3">
      <c r="B949">
        <v>945</v>
      </c>
      <c r="C949" t="s">
        <v>134</v>
      </c>
      <c r="D949">
        <v>15</v>
      </c>
      <c r="E949" t="s">
        <v>148</v>
      </c>
      <c r="F949" t="s">
        <v>157</v>
      </c>
      <c r="G949">
        <v>1845</v>
      </c>
      <c r="H949" t="s">
        <v>149</v>
      </c>
      <c r="I949" t="s">
        <v>173</v>
      </c>
      <c r="J949">
        <v>4</v>
      </c>
      <c r="K949" t="s">
        <v>151</v>
      </c>
      <c r="L949" t="s">
        <v>158</v>
      </c>
      <c r="M949">
        <v>1</v>
      </c>
      <c r="N949" t="s">
        <v>159</v>
      </c>
      <c r="O949">
        <v>46</v>
      </c>
      <c r="P949" t="s">
        <v>142</v>
      </c>
      <c r="Q949" t="s">
        <v>167</v>
      </c>
      <c r="R949">
        <v>1</v>
      </c>
      <c r="S949" t="s">
        <v>144</v>
      </c>
      <c r="T949">
        <v>1</v>
      </c>
      <c r="U949" t="s">
        <v>152</v>
      </c>
      <c r="V949" t="s">
        <v>146</v>
      </c>
      <c r="W949">
        <v>1</v>
      </c>
    </row>
    <row r="950" spans="2:23" x14ac:dyDescent="0.3">
      <c r="B950">
        <v>946</v>
      </c>
      <c r="C950" t="s">
        <v>147</v>
      </c>
      <c r="D950">
        <v>48</v>
      </c>
      <c r="E950" t="s">
        <v>176</v>
      </c>
      <c r="F950" t="s">
        <v>162</v>
      </c>
      <c r="G950">
        <v>8358</v>
      </c>
      <c r="H950" t="s">
        <v>164</v>
      </c>
      <c r="I950" t="s">
        <v>173</v>
      </c>
      <c r="J950">
        <v>1</v>
      </c>
      <c r="K950" t="s">
        <v>151</v>
      </c>
      <c r="L950" t="s">
        <v>140</v>
      </c>
      <c r="M950">
        <v>1</v>
      </c>
      <c r="N950" t="s">
        <v>166</v>
      </c>
      <c r="O950">
        <v>30</v>
      </c>
      <c r="P950" t="s">
        <v>142</v>
      </c>
      <c r="Q950" t="s">
        <v>143</v>
      </c>
      <c r="R950">
        <v>2</v>
      </c>
      <c r="S950" t="s">
        <v>144</v>
      </c>
      <c r="T950">
        <v>1</v>
      </c>
      <c r="U950" t="s">
        <v>152</v>
      </c>
      <c r="V950" t="s">
        <v>146</v>
      </c>
      <c r="W950">
        <v>1</v>
      </c>
    </row>
    <row r="951" spans="2:23" x14ac:dyDescent="0.3">
      <c r="B951">
        <v>947</v>
      </c>
      <c r="C951" t="s">
        <v>134</v>
      </c>
      <c r="D951">
        <v>24</v>
      </c>
      <c r="E951" t="s">
        <v>180</v>
      </c>
      <c r="F951" t="s">
        <v>157</v>
      </c>
      <c r="G951">
        <v>3349</v>
      </c>
      <c r="H951" t="s">
        <v>164</v>
      </c>
      <c r="I951" t="s">
        <v>173</v>
      </c>
      <c r="J951">
        <v>4</v>
      </c>
      <c r="K951" t="s">
        <v>139</v>
      </c>
      <c r="L951" t="s">
        <v>140</v>
      </c>
      <c r="M951">
        <v>4</v>
      </c>
      <c r="N951" t="s">
        <v>163</v>
      </c>
      <c r="O951">
        <v>30</v>
      </c>
      <c r="P951" t="s">
        <v>142</v>
      </c>
      <c r="Q951" t="s">
        <v>160</v>
      </c>
      <c r="R951">
        <v>1</v>
      </c>
      <c r="S951" t="s">
        <v>144</v>
      </c>
      <c r="T951">
        <v>2</v>
      </c>
      <c r="U951" t="s">
        <v>145</v>
      </c>
      <c r="V951" t="s">
        <v>146</v>
      </c>
      <c r="W951">
        <v>2</v>
      </c>
    </row>
    <row r="952" spans="2:23" x14ac:dyDescent="0.3">
      <c r="B952">
        <v>948</v>
      </c>
      <c r="C952" t="s">
        <v>153</v>
      </c>
      <c r="D952">
        <v>12</v>
      </c>
      <c r="E952" t="s">
        <v>148</v>
      </c>
      <c r="F952" t="s">
        <v>162</v>
      </c>
      <c r="G952">
        <v>2859</v>
      </c>
      <c r="H952" t="s">
        <v>137</v>
      </c>
      <c r="I952" t="s">
        <v>171</v>
      </c>
      <c r="J952">
        <v>4</v>
      </c>
      <c r="K952" t="s">
        <v>139</v>
      </c>
      <c r="L952" t="s">
        <v>140</v>
      </c>
      <c r="M952">
        <v>4</v>
      </c>
      <c r="N952" t="s">
        <v>163</v>
      </c>
      <c r="O952">
        <v>38</v>
      </c>
      <c r="P952" t="s">
        <v>142</v>
      </c>
      <c r="Q952" t="s">
        <v>143</v>
      </c>
      <c r="R952">
        <v>1</v>
      </c>
      <c r="S952" t="s">
        <v>168</v>
      </c>
      <c r="T952">
        <v>1</v>
      </c>
      <c r="U952" t="s">
        <v>145</v>
      </c>
      <c r="V952" t="s">
        <v>146</v>
      </c>
      <c r="W952">
        <v>1</v>
      </c>
    </row>
    <row r="953" spans="2:23" x14ac:dyDescent="0.3">
      <c r="B953">
        <v>949</v>
      </c>
      <c r="C953" t="s">
        <v>153</v>
      </c>
      <c r="D953">
        <v>18</v>
      </c>
      <c r="E953" t="s">
        <v>148</v>
      </c>
      <c r="F953" t="s">
        <v>157</v>
      </c>
      <c r="G953">
        <v>1533</v>
      </c>
      <c r="H953" t="s">
        <v>149</v>
      </c>
      <c r="I953" t="s">
        <v>173</v>
      </c>
      <c r="J953">
        <v>4</v>
      </c>
      <c r="K953" t="s">
        <v>172</v>
      </c>
      <c r="L953" t="s">
        <v>182</v>
      </c>
      <c r="M953">
        <v>1</v>
      </c>
      <c r="N953" t="s">
        <v>159</v>
      </c>
      <c r="O953">
        <v>43</v>
      </c>
      <c r="P953" t="s">
        <v>142</v>
      </c>
      <c r="Q953" t="s">
        <v>143</v>
      </c>
      <c r="R953">
        <v>1</v>
      </c>
      <c r="S953" t="s">
        <v>156</v>
      </c>
      <c r="T953">
        <v>2</v>
      </c>
      <c r="U953" t="s">
        <v>152</v>
      </c>
      <c r="V953" t="s">
        <v>146</v>
      </c>
      <c r="W953">
        <v>2</v>
      </c>
    </row>
    <row r="954" spans="2:23" x14ac:dyDescent="0.3">
      <c r="B954">
        <v>950</v>
      </c>
      <c r="C954" t="s">
        <v>153</v>
      </c>
      <c r="D954">
        <v>24</v>
      </c>
      <c r="E954" t="s">
        <v>148</v>
      </c>
      <c r="F954" t="s">
        <v>136</v>
      </c>
      <c r="G954">
        <v>3621</v>
      </c>
      <c r="H954" t="s">
        <v>175</v>
      </c>
      <c r="I954" t="s">
        <v>138</v>
      </c>
      <c r="J954">
        <v>2</v>
      </c>
      <c r="K954" t="s">
        <v>139</v>
      </c>
      <c r="L954" t="s">
        <v>140</v>
      </c>
      <c r="M954">
        <v>4</v>
      </c>
      <c r="N954" t="s">
        <v>166</v>
      </c>
      <c r="O954">
        <v>31</v>
      </c>
      <c r="P954" t="s">
        <v>142</v>
      </c>
      <c r="Q954" t="s">
        <v>143</v>
      </c>
      <c r="R954">
        <v>2</v>
      </c>
      <c r="S954" t="s">
        <v>144</v>
      </c>
      <c r="T954">
        <v>1</v>
      </c>
      <c r="U954" t="s">
        <v>152</v>
      </c>
      <c r="V954" t="s">
        <v>146</v>
      </c>
      <c r="W954">
        <v>2</v>
      </c>
    </row>
    <row r="955" spans="2:23" x14ac:dyDescent="0.3">
      <c r="B955">
        <v>951</v>
      </c>
      <c r="C955" t="s">
        <v>147</v>
      </c>
      <c r="D955">
        <v>18</v>
      </c>
      <c r="E955" t="s">
        <v>135</v>
      </c>
      <c r="F955" t="s">
        <v>174</v>
      </c>
      <c r="G955">
        <v>3590</v>
      </c>
      <c r="H955" t="s">
        <v>149</v>
      </c>
      <c r="I955" t="s">
        <v>171</v>
      </c>
      <c r="J955">
        <v>3</v>
      </c>
      <c r="K955" t="s">
        <v>172</v>
      </c>
      <c r="L955" t="s">
        <v>140</v>
      </c>
      <c r="M955">
        <v>3</v>
      </c>
      <c r="N955" t="s">
        <v>166</v>
      </c>
      <c r="O955">
        <v>40</v>
      </c>
      <c r="P955" t="s">
        <v>142</v>
      </c>
      <c r="Q955" t="s">
        <v>143</v>
      </c>
      <c r="R955">
        <v>3</v>
      </c>
      <c r="S955" t="s">
        <v>185</v>
      </c>
      <c r="T955">
        <v>2</v>
      </c>
      <c r="U955" t="s">
        <v>145</v>
      </c>
      <c r="V955" t="s">
        <v>146</v>
      </c>
      <c r="W955">
        <v>1</v>
      </c>
    </row>
    <row r="956" spans="2:23" x14ac:dyDescent="0.3">
      <c r="B956">
        <v>952</v>
      </c>
      <c r="C956" t="s">
        <v>134</v>
      </c>
      <c r="D956">
        <v>36</v>
      </c>
      <c r="E956" t="s">
        <v>161</v>
      </c>
      <c r="F956" t="s">
        <v>174</v>
      </c>
      <c r="G956">
        <v>2145</v>
      </c>
      <c r="H956" t="s">
        <v>149</v>
      </c>
      <c r="I956" t="s">
        <v>155</v>
      </c>
      <c r="J956">
        <v>2</v>
      </c>
      <c r="K956" t="s">
        <v>139</v>
      </c>
      <c r="L956" t="s">
        <v>140</v>
      </c>
      <c r="M956">
        <v>1</v>
      </c>
      <c r="N956" t="s">
        <v>166</v>
      </c>
      <c r="O956">
        <v>24</v>
      </c>
      <c r="P956" t="s">
        <v>142</v>
      </c>
      <c r="Q956" t="s">
        <v>143</v>
      </c>
      <c r="R956">
        <v>2</v>
      </c>
      <c r="S956" t="s">
        <v>144</v>
      </c>
      <c r="T956">
        <v>1</v>
      </c>
      <c r="U956" t="s">
        <v>145</v>
      </c>
      <c r="V956" t="s">
        <v>146</v>
      </c>
      <c r="W956">
        <v>2</v>
      </c>
    </row>
    <row r="957" spans="2:23" x14ac:dyDescent="0.3">
      <c r="B957">
        <v>953</v>
      </c>
      <c r="C957" t="s">
        <v>147</v>
      </c>
      <c r="D957">
        <v>24</v>
      </c>
      <c r="E957" t="s">
        <v>148</v>
      </c>
      <c r="F957" t="s">
        <v>165</v>
      </c>
      <c r="G957">
        <v>4113</v>
      </c>
      <c r="H957" t="s">
        <v>164</v>
      </c>
      <c r="I957" t="s">
        <v>173</v>
      </c>
      <c r="J957">
        <v>3</v>
      </c>
      <c r="K957" t="s">
        <v>151</v>
      </c>
      <c r="L957" t="s">
        <v>140</v>
      </c>
      <c r="M957">
        <v>4</v>
      </c>
      <c r="N957" t="s">
        <v>166</v>
      </c>
      <c r="O957">
        <v>28</v>
      </c>
      <c r="P957" t="s">
        <v>142</v>
      </c>
      <c r="Q957" t="s">
        <v>167</v>
      </c>
      <c r="R957">
        <v>1</v>
      </c>
      <c r="S957" t="s">
        <v>144</v>
      </c>
      <c r="T957">
        <v>1</v>
      </c>
      <c r="U957" t="s">
        <v>152</v>
      </c>
      <c r="V957" t="s">
        <v>146</v>
      </c>
      <c r="W957">
        <v>2</v>
      </c>
    </row>
    <row r="958" spans="2:23" x14ac:dyDescent="0.3">
      <c r="B958">
        <v>954</v>
      </c>
      <c r="C958" t="s">
        <v>153</v>
      </c>
      <c r="D958">
        <v>36</v>
      </c>
      <c r="E958" t="s">
        <v>148</v>
      </c>
      <c r="F958" t="s">
        <v>157</v>
      </c>
      <c r="G958">
        <v>10974</v>
      </c>
      <c r="H958" t="s">
        <v>149</v>
      </c>
      <c r="I958" t="s">
        <v>171</v>
      </c>
      <c r="J958">
        <v>4</v>
      </c>
      <c r="K958" t="s">
        <v>151</v>
      </c>
      <c r="L958" t="s">
        <v>140</v>
      </c>
      <c r="M958">
        <v>2</v>
      </c>
      <c r="N958" t="s">
        <v>166</v>
      </c>
      <c r="O958">
        <v>26</v>
      </c>
      <c r="P958" t="s">
        <v>142</v>
      </c>
      <c r="Q958" t="s">
        <v>143</v>
      </c>
      <c r="R958">
        <v>2</v>
      </c>
      <c r="S958" t="s">
        <v>168</v>
      </c>
      <c r="T958">
        <v>1</v>
      </c>
      <c r="U958" t="s">
        <v>145</v>
      </c>
      <c r="V958" t="s">
        <v>146</v>
      </c>
      <c r="W958">
        <v>2</v>
      </c>
    </row>
    <row r="959" spans="2:23" x14ac:dyDescent="0.3">
      <c r="B959">
        <v>955</v>
      </c>
      <c r="C959" t="s">
        <v>134</v>
      </c>
      <c r="D959">
        <v>12</v>
      </c>
      <c r="E959" t="s">
        <v>148</v>
      </c>
      <c r="F959" t="s">
        <v>162</v>
      </c>
      <c r="G959">
        <v>1893</v>
      </c>
      <c r="H959" t="s">
        <v>149</v>
      </c>
      <c r="I959" t="s">
        <v>150</v>
      </c>
      <c r="J959">
        <v>4</v>
      </c>
      <c r="K959" t="s">
        <v>151</v>
      </c>
      <c r="L959" t="s">
        <v>158</v>
      </c>
      <c r="M959">
        <v>4</v>
      </c>
      <c r="N959" t="s">
        <v>159</v>
      </c>
      <c r="O959">
        <v>29</v>
      </c>
      <c r="P959" t="s">
        <v>142</v>
      </c>
      <c r="Q959" t="s">
        <v>143</v>
      </c>
      <c r="R959">
        <v>1</v>
      </c>
      <c r="S959" t="s">
        <v>144</v>
      </c>
      <c r="T959">
        <v>1</v>
      </c>
      <c r="U959" t="s">
        <v>145</v>
      </c>
      <c r="V959" t="s">
        <v>146</v>
      </c>
      <c r="W959">
        <v>1</v>
      </c>
    </row>
    <row r="960" spans="2:23" x14ac:dyDescent="0.3">
      <c r="B960">
        <v>956</v>
      </c>
      <c r="C960" t="s">
        <v>134</v>
      </c>
      <c r="D960">
        <v>24</v>
      </c>
      <c r="E960" t="s">
        <v>135</v>
      </c>
      <c r="F960" t="s">
        <v>136</v>
      </c>
      <c r="G960">
        <v>1231</v>
      </c>
      <c r="H960" t="s">
        <v>169</v>
      </c>
      <c r="I960" t="s">
        <v>138</v>
      </c>
      <c r="J960">
        <v>4</v>
      </c>
      <c r="K960" t="s">
        <v>151</v>
      </c>
      <c r="L960" t="s">
        <v>140</v>
      </c>
      <c r="M960">
        <v>4</v>
      </c>
      <c r="N960" t="s">
        <v>159</v>
      </c>
      <c r="O960">
        <v>57</v>
      </c>
      <c r="P960" t="s">
        <v>142</v>
      </c>
      <c r="Q960" t="s">
        <v>167</v>
      </c>
      <c r="R960">
        <v>2</v>
      </c>
      <c r="S960" t="s">
        <v>168</v>
      </c>
      <c r="T960">
        <v>1</v>
      </c>
      <c r="U960" t="s">
        <v>145</v>
      </c>
      <c r="V960" t="s">
        <v>146</v>
      </c>
      <c r="W960">
        <v>1</v>
      </c>
    </row>
    <row r="961" spans="2:23" x14ac:dyDescent="0.3">
      <c r="B961">
        <v>957</v>
      </c>
      <c r="C961" t="s">
        <v>179</v>
      </c>
      <c r="D961">
        <v>30</v>
      </c>
      <c r="E961" t="s">
        <v>135</v>
      </c>
      <c r="F961" t="s">
        <v>136</v>
      </c>
      <c r="G961">
        <v>3656</v>
      </c>
      <c r="H961" t="s">
        <v>137</v>
      </c>
      <c r="I961" t="s">
        <v>138</v>
      </c>
      <c r="J961">
        <v>4</v>
      </c>
      <c r="K961" t="s">
        <v>139</v>
      </c>
      <c r="L961" t="s">
        <v>140</v>
      </c>
      <c r="M961">
        <v>4</v>
      </c>
      <c r="N961" t="s">
        <v>159</v>
      </c>
      <c r="O961">
        <v>49</v>
      </c>
      <c r="P961" t="s">
        <v>181</v>
      </c>
      <c r="Q961" t="s">
        <v>143</v>
      </c>
      <c r="R961">
        <v>2</v>
      </c>
      <c r="S961" t="s">
        <v>156</v>
      </c>
      <c r="T961">
        <v>1</v>
      </c>
      <c r="U961" t="s">
        <v>152</v>
      </c>
      <c r="V961" t="s">
        <v>146</v>
      </c>
      <c r="W961">
        <v>1</v>
      </c>
    </row>
    <row r="962" spans="2:23" x14ac:dyDescent="0.3">
      <c r="B962">
        <v>958</v>
      </c>
      <c r="C962" t="s">
        <v>147</v>
      </c>
      <c r="D962">
        <v>9</v>
      </c>
      <c r="E962" t="s">
        <v>135</v>
      </c>
      <c r="F962" t="s">
        <v>136</v>
      </c>
      <c r="G962">
        <v>1154</v>
      </c>
      <c r="H962" t="s">
        <v>149</v>
      </c>
      <c r="I962" t="s">
        <v>138</v>
      </c>
      <c r="J962">
        <v>2</v>
      </c>
      <c r="K962" t="s">
        <v>139</v>
      </c>
      <c r="L962" t="s">
        <v>140</v>
      </c>
      <c r="M962">
        <v>4</v>
      </c>
      <c r="N962" t="s">
        <v>141</v>
      </c>
      <c r="O962">
        <v>37</v>
      </c>
      <c r="P962" t="s">
        <v>142</v>
      </c>
      <c r="Q962" t="s">
        <v>143</v>
      </c>
      <c r="R962">
        <v>3</v>
      </c>
      <c r="S962" t="s">
        <v>156</v>
      </c>
      <c r="T962">
        <v>1</v>
      </c>
      <c r="U962" t="s">
        <v>152</v>
      </c>
      <c r="V962" t="s">
        <v>146</v>
      </c>
      <c r="W962">
        <v>1</v>
      </c>
    </row>
    <row r="963" spans="2:23" x14ac:dyDescent="0.3">
      <c r="B963">
        <v>959</v>
      </c>
      <c r="C963" t="s">
        <v>134</v>
      </c>
      <c r="D963">
        <v>28</v>
      </c>
      <c r="E963" t="s">
        <v>148</v>
      </c>
      <c r="F963" t="s">
        <v>162</v>
      </c>
      <c r="G963">
        <v>4006</v>
      </c>
      <c r="H963" t="s">
        <v>149</v>
      </c>
      <c r="I963" t="s">
        <v>150</v>
      </c>
      <c r="J963">
        <v>3</v>
      </c>
      <c r="K963" t="s">
        <v>139</v>
      </c>
      <c r="L963" t="s">
        <v>140</v>
      </c>
      <c r="M963">
        <v>2</v>
      </c>
      <c r="N963" t="s">
        <v>166</v>
      </c>
      <c r="O963">
        <v>45</v>
      </c>
      <c r="P963" t="s">
        <v>142</v>
      </c>
      <c r="Q963" t="s">
        <v>143</v>
      </c>
      <c r="R963">
        <v>1</v>
      </c>
      <c r="S963" t="s">
        <v>156</v>
      </c>
      <c r="T963">
        <v>1</v>
      </c>
      <c r="U963" t="s">
        <v>152</v>
      </c>
      <c r="V963" t="s">
        <v>146</v>
      </c>
      <c r="W963">
        <v>2</v>
      </c>
    </row>
    <row r="964" spans="2:23" x14ac:dyDescent="0.3">
      <c r="B964">
        <v>960</v>
      </c>
      <c r="C964" t="s">
        <v>147</v>
      </c>
      <c r="D964">
        <v>24</v>
      </c>
      <c r="E964" t="s">
        <v>148</v>
      </c>
      <c r="F964" t="s">
        <v>157</v>
      </c>
      <c r="G964">
        <v>3069</v>
      </c>
      <c r="H964" t="s">
        <v>175</v>
      </c>
      <c r="I964" t="s">
        <v>138</v>
      </c>
      <c r="J964">
        <v>4</v>
      </c>
      <c r="K964" t="s">
        <v>139</v>
      </c>
      <c r="L964" t="s">
        <v>140</v>
      </c>
      <c r="M964">
        <v>4</v>
      </c>
      <c r="N964" t="s">
        <v>163</v>
      </c>
      <c r="O964">
        <v>30</v>
      </c>
      <c r="P964" t="s">
        <v>142</v>
      </c>
      <c r="Q964" t="s">
        <v>160</v>
      </c>
      <c r="R964">
        <v>1</v>
      </c>
      <c r="S964" t="s">
        <v>144</v>
      </c>
      <c r="T964">
        <v>1</v>
      </c>
      <c r="U964" t="s">
        <v>152</v>
      </c>
      <c r="V964" t="s">
        <v>146</v>
      </c>
      <c r="W964">
        <v>1</v>
      </c>
    </row>
    <row r="965" spans="2:23" x14ac:dyDescent="0.3">
      <c r="B965">
        <v>961</v>
      </c>
      <c r="C965" t="s">
        <v>153</v>
      </c>
      <c r="D965">
        <v>6</v>
      </c>
      <c r="E965" t="s">
        <v>135</v>
      </c>
      <c r="F965" t="s">
        <v>136</v>
      </c>
      <c r="G965">
        <v>1740</v>
      </c>
      <c r="H965" t="s">
        <v>149</v>
      </c>
      <c r="I965" t="s">
        <v>138</v>
      </c>
      <c r="J965">
        <v>2</v>
      </c>
      <c r="K965" t="s">
        <v>172</v>
      </c>
      <c r="L965" t="s">
        <v>140</v>
      </c>
      <c r="M965">
        <v>2</v>
      </c>
      <c r="N965" t="s">
        <v>141</v>
      </c>
      <c r="O965">
        <v>30</v>
      </c>
      <c r="P965" t="s">
        <v>142</v>
      </c>
      <c r="Q965" t="s">
        <v>167</v>
      </c>
      <c r="R965">
        <v>2</v>
      </c>
      <c r="S965" t="s">
        <v>144</v>
      </c>
      <c r="T965">
        <v>1</v>
      </c>
      <c r="U965" t="s">
        <v>152</v>
      </c>
      <c r="V965" t="s">
        <v>146</v>
      </c>
      <c r="W965">
        <v>1</v>
      </c>
    </row>
    <row r="966" spans="2:23" x14ac:dyDescent="0.3">
      <c r="B966">
        <v>962</v>
      </c>
      <c r="C966" t="s">
        <v>147</v>
      </c>
      <c r="D966">
        <v>21</v>
      </c>
      <c r="E966" t="s">
        <v>161</v>
      </c>
      <c r="F966" t="s">
        <v>162</v>
      </c>
      <c r="G966">
        <v>2353</v>
      </c>
      <c r="H966" t="s">
        <v>149</v>
      </c>
      <c r="I966" t="s">
        <v>150</v>
      </c>
      <c r="J966">
        <v>1</v>
      </c>
      <c r="K966" t="s">
        <v>170</v>
      </c>
      <c r="L966" t="s">
        <v>140</v>
      </c>
      <c r="M966">
        <v>4</v>
      </c>
      <c r="N966" t="s">
        <v>159</v>
      </c>
      <c r="O966">
        <v>47</v>
      </c>
      <c r="P966" t="s">
        <v>142</v>
      </c>
      <c r="Q966" t="s">
        <v>143</v>
      </c>
      <c r="R966">
        <v>2</v>
      </c>
      <c r="S966" t="s">
        <v>144</v>
      </c>
      <c r="T966">
        <v>1</v>
      </c>
      <c r="U966" t="s">
        <v>152</v>
      </c>
      <c r="V966" t="s">
        <v>146</v>
      </c>
      <c r="W966">
        <v>1</v>
      </c>
    </row>
    <row r="967" spans="2:23" x14ac:dyDescent="0.3">
      <c r="B967">
        <v>963</v>
      </c>
      <c r="C967" t="s">
        <v>153</v>
      </c>
      <c r="D967">
        <v>15</v>
      </c>
      <c r="E967" t="s">
        <v>148</v>
      </c>
      <c r="F967" t="s">
        <v>162</v>
      </c>
      <c r="G967">
        <v>3556</v>
      </c>
      <c r="H967" t="s">
        <v>137</v>
      </c>
      <c r="I967" t="s">
        <v>150</v>
      </c>
      <c r="J967">
        <v>3</v>
      </c>
      <c r="K967" t="s">
        <v>139</v>
      </c>
      <c r="L967" t="s">
        <v>140</v>
      </c>
      <c r="M967">
        <v>2</v>
      </c>
      <c r="N967" t="s">
        <v>163</v>
      </c>
      <c r="O967">
        <v>29</v>
      </c>
      <c r="P967" t="s">
        <v>142</v>
      </c>
      <c r="Q967" t="s">
        <v>143</v>
      </c>
      <c r="R967">
        <v>1</v>
      </c>
      <c r="S967" t="s">
        <v>144</v>
      </c>
      <c r="T967">
        <v>1</v>
      </c>
      <c r="U967" t="s">
        <v>152</v>
      </c>
      <c r="V967" t="s">
        <v>146</v>
      </c>
      <c r="W967">
        <v>1</v>
      </c>
    </row>
    <row r="968" spans="2:23" x14ac:dyDescent="0.3">
      <c r="B968">
        <v>964</v>
      </c>
      <c r="C968" t="s">
        <v>153</v>
      </c>
      <c r="D968">
        <v>24</v>
      </c>
      <c r="E968" t="s">
        <v>148</v>
      </c>
      <c r="F968" t="s">
        <v>136</v>
      </c>
      <c r="G968">
        <v>2397</v>
      </c>
      <c r="H968" t="s">
        <v>164</v>
      </c>
      <c r="I968" t="s">
        <v>138</v>
      </c>
      <c r="J968">
        <v>3</v>
      </c>
      <c r="K968" t="s">
        <v>139</v>
      </c>
      <c r="L968" t="s">
        <v>140</v>
      </c>
      <c r="M968">
        <v>2</v>
      </c>
      <c r="N968" t="s">
        <v>166</v>
      </c>
      <c r="O968">
        <v>35</v>
      </c>
      <c r="P968" t="s">
        <v>177</v>
      </c>
      <c r="Q968" t="s">
        <v>143</v>
      </c>
      <c r="R968">
        <v>2</v>
      </c>
      <c r="S968" t="s">
        <v>144</v>
      </c>
      <c r="T968">
        <v>1</v>
      </c>
      <c r="U968" t="s">
        <v>145</v>
      </c>
      <c r="V968" t="s">
        <v>146</v>
      </c>
      <c r="W968">
        <v>2</v>
      </c>
    </row>
    <row r="969" spans="2:23" x14ac:dyDescent="0.3">
      <c r="B969">
        <v>965</v>
      </c>
      <c r="C969" t="s">
        <v>147</v>
      </c>
      <c r="D969">
        <v>6</v>
      </c>
      <c r="E969" t="s">
        <v>148</v>
      </c>
      <c r="F969" t="s">
        <v>184</v>
      </c>
      <c r="G969">
        <v>454</v>
      </c>
      <c r="H969" t="s">
        <v>149</v>
      </c>
      <c r="I969" t="s">
        <v>173</v>
      </c>
      <c r="J969">
        <v>3</v>
      </c>
      <c r="K969" t="s">
        <v>172</v>
      </c>
      <c r="L969" t="s">
        <v>140</v>
      </c>
      <c r="M969">
        <v>1</v>
      </c>
      <c r="N969" t="s">
        <v>159</v>
      </c>
      <c r="O969">
        <v>22</v>
      </c>
      <c r="P969" t="s">
        <v>142</v>
      </c>
      <c r="Q969" t="s">
        <v>143</v>
      </c>
      <c r="R969">
        <v>1</v>
      </c>
      <c r="S969" t="s">
        <v>156</v>
      </c>
      <c r="T969">
        <v>1</v>
      </c>
      <c r="U969" t="s">
        <v>152</v>
      </c>
      <c r="V969" t="s">
        <v>146</v>
      </c>
      <c r="W969">
        <v>1</v>
      </c>
    </row>
    <row r="970" spans="2:23" x14ac:dyDescent="0.3">
      <c r="B970">
        <v>966</v>
      </c>
      <c r="C970" t="s">
        <v>147</v>
      </c>
      <c r="D970">
        <v>30</v>
      </c>
      <c r="E970" t="s">
        <v>148</v>
      </c>
      <c r="F970" t="s">
        <v>136</v>
      </c>
      <c r="G970">
        <v>1715</v>
      </c>
      <c r="H970" t="s">
        <v>137</v>
      </c>
      <c r="I970" t="s">
        <v>150</v>
      </c>
      <c r="J970">
        <v>4</v>
      </c>
      <c r="K970" t="s">
        <v>151</v>
      </c>
      <c r="L970" t="s">
        <v>140</v>
      </c>
      <c r="M970">
        <v>1</v>
      </c>
      <c r="N970" t="s">
        <v>166</v>
      </c>
      <c r="O970">
        <v>26</v>
      </c>
      <c r="P970" t="s">
        <v>142</v>
      </c>
      <c r="Q970" t="s">
        <v>143</v>
      </c>
      <c r="R970">
        <v>1</v>
      </c>
      <c r="S970" t="s">
        <v>144</v>
      </c>
      <c r="T970">
        <v>1</v>
      </c>
      <c r="U970" t="s">
        <v>152</v>
      </c>
      <c r="V970" t="s">
        <v>146</v>
      </c>
      <c r="W970">
        <v>1</v>
      </c>
    </row>
    <row r="971" spans="2:23" x14ac:dyDescent="0.3">
      <c r="B971">
        <v>967</v>
      </c>
      <c r="C971" t="s">
        <v>147</v>
      </c>
      <c r="D971">
        <v>27</v>
      </c>
      <c r="E971" t="s">
        <v>135</v>
      </c>
      <c r="F971" t="s">
        <v>136</v>
      </c>
      <c r="G971">
        <v>2520</v>
      </c>
      <c r="H971" t="s">
        <v>164</v>
      </c>
      <c r="I971" t="s">
        <v>150</v>
      </c>
      <c r="J971">
        <v>4</v>
      </c>
      <c r="K971" t="s">
        <v>139</v>
      </c>
      <c r="L971" t="s">
        <v>140</v>
      </c>
      <c r="M971">
        <v>2</v>
      </c>
      <c r="N971" t="s">
        <v>159</v>
      </c>
      <c r="O971">
        <v>23</v>
      </c>
      <c r="P971" t="s">
        <v>142</v>
      </c>
      <c r="Q971" t="s">
        <v>143</v>
      </c>
      <c r="R971">
        <v>2</v>
      </c>
      <c r="S971" t="s">
        <v>156</v>
      </c>
      <c r="T971">
        <v>1</v>
      </c>
      <c r="U971" t="s">
        <v>152</v>
      </c>
      <c r="V971" t="s">
        <v>146</v>
      </c>
      <c r="W971">
        <v>2</v>
      </c>
    </row>
    <row r="972" spans="2:23" x14ac:dyDescent="0.3">
      <c r="B972">
        <v>968</v>
      </c>
      <c r="C972" t="s">
        <v>153</v>
      </c>
      <c r="D972">
        <v>15</v>
      </c>
      <c r="E972" t="s">
        <v>148</v>
      </c>
      <c r="F972" t="s">
        <v>136</v>
      </c>
      <c r="G972">
        <v>3568</v>
      </c>
      <c r="H972" t="s">
        <v>149</v>
      </c>
      <c r="I972" t="s">
        <v>138</v>
      </c>
      <c r="J972">
        <v>4</v>
      </c>
      <c r="K972" t="s">
        <v>151</v>
      </c>
      <c r="L972" t="s">
        <v>140</v>
      </c>
      <c r="M972">
        <v>2</v>
      </c>
      <c r="N972" t="s">
        <v>166</v>
      </c>
      <c r="O972">
        <v>54</v>
      </c>
      <c r="P972" t="s">
        <v>177</v>
      </c>
      <c r="Q972" t="s">
        <v>167</v>
      </c>
      <c r="R972">
        <v>1</v>
      </c>
      <c r="S972" t="s">
        <v>168</v>
      </c>
      <c r="T972">
        <v>1</v>
      </c>
      <c r="U972" t="s">
        <v>145</v>
      </c>
      <c r="V972" t="s">
        <v>146</v>
      </c>
      <c r="W972">
        <v>1</v>
      </c>
    </row>
    <row r="973" spans="2:23" x14ac:dyDescent="0.3">
      <c r="B973">
        <v>969</v>
      </c>
      <c r="C973" t="s">
        <v>153</v>
      </c>
      <c r="D973">
        <v>42</v>
      </c>
      <c r="E973" t="s">
        <v>148</v>
      </c>
      <c r="F973" t="s">
        <v>136</v>
      </c>
      <c r="G973">
        <v>7166</v>
      </c>
      <c r="H973" t="s">
        <v>137</v>
      </c>
      <c r="I973" t="s">
        <v>155</v>
      </c>
      <c r="J973">
        <v>2</v>
      </c>
      <c r="K973" t="s">
        <v>172</v>
      </c>
      <c r="L973" t="s">
        <v>140</v>
      </c>
      <c r="M973">
        <v>4</v>
      </c>
      <c r="N973" t="s">
        <v>159</v>
      </c>
      <c r="O973">
        <v>29</v>
      </c>
      <c r="P973" t="s">
        <v>142</v>
      </c>
      <c r="Q973" t="s">
        <v>167</v>
      </c>
      <c r="R973">
        <v>1</v>
      </c>
      <c r="S973" t="s">
        <v>144</v>
      </c>
      <c r="T973">
        <v>1</v>
      </c>
      <c r="U973" t="s">
        <v>145</v>
      </c>
      <c r="V973" t="s">
        <v>146</v>
      </c>
      <c r="W973">
        <v>1</v>
      </c>
    </row>
    <row r="974" spans="2:23" x14ac:dyDescent="0.3">
      <c r="B974">
        <v>970</v>
      </c>
      <c r="C974" t="s">
        <v>134</v>
      </c>
      <c r="D974">
        <v>11</v>
      </c>
      <c r="E974" t="s">
        <v>135</v>
      </c>
      <c r="F974" t="s">
        <v>162</v>
      </c>
      <c r="G974">
        <v>3939</v>
      </c>
      <c r="H974" t="s">
        <v>149</v>
      </c>
      <c r="I974" t="s">
        <v>150</v>
      </c>
      <c r="J974">
        <v>1</v>
      </c>
      <c r="K974" t="s">
        <v>139</v>
      </c>
      <c r="L974" t="s">
        <v>140</v>
      </c>
      <c r="M974">
        <v>2</v>
      </c>
      <c r="N974" t="s">
        <v>141</v>
      </c>
      <c r="O974">
        <v>40</v>
      </c>
      <c r="P974" t="s">
        <v>142</v>
      </c>
      <c r="Q974" t="s">
        <v>143</v>
      </c>
      <c r="R974">
        <v>2</v>
      </c>
      <c r="S974" t="s">
        <v>156</v>
      </c>
      <c r="T974">
        <v>2</v>
      </c>
      <c r="U974" t="s">
        <v>152</v>
      </c>
      <c r="V974" t="s">
        <v>146</v>
      </c>
      <c r="W974">
        <v>1</v>
      </c>
    </row>
    <row r="975" spans="2:23" x14ac:dyDescent="0.3">
      <c r="B975">
        <v>971</v>
      </c>
      <c r="C975" t="s">
        <v>147</v>
      </c>
      <c r="D975">
        <v>15</v>
      </c>
      <c r="E975" t="s">
        <v>148</v>
      </c>
      <c r="F975" t="s">
        <v>184</v>
      </c>
      <c r="G975">
        <v>1514</v>
      </c>
      <c r="H975" t="s">
        <v>175</v>
      </c>
      <c r="I975" t="s">
        <v>150</v>
      </c>
      <c r="J975">
        <v>4</v>
      </c>
      <c r="K975" t="s">
        <v>139</v>
      </c>
      <c r="L975" t="s">
        <v>158</v>
      </c>
      <c r="M975">
        <v>2</v>
      </c>
      <c r="N975" t="s">
        <v>141</v>
      </c>
      <c r="O975">
        <v>22</v>
      </c>
      <c r="P975" t="s">
        <v>142</v>
      </c>
      <c r="Q975" t="s">
        <v>143</v>
      </c>
      <c r="R975">
        <v>1</v>
      </c>
      <c r="S975" t="s">
        <v>144</v>
      </c>
      <c r="T975">
        <v>1</v>
      </c>
      <c r="U975" t="s">
        <v>152</v>
      </c>
      <c r="V975" t="s">
        <v>146</v>
      </c>
      <c r="W975">
        <v>1</v>
      </c>
    </row>
    <row r="976" spans="2:23" x14ac:dyDescent="0.3">
      <c r="B976">
        <v>972</v>
      </c>
      <c r="C976" t="s">
        <v>153</v>
      </c>
      <c r="D976">
        <v>24</v>
      </c>
      <c r="E976" t="s">
        <v>148</v>
      </c>
      <c r="F976" t="s">
        <v>162</v>
      </c>
      <c r="G976">
        <v>7393</v>
      </c>
      <c r="H976" t="s">
        <v>149</v>
      </c>
      <c r="I976" t="s">
        <v>150</v>
      </c>
      <c r="J976">
        <v>1</v>
      </c>
      <c r="K976" t="s">
        <v>139</v>
      </c>
      <c r="L976" t="s">
        <v>140</v>
      </c>
      <c r="M976">
        <v>4</v>
      </c>
      <c r="N976" t="s">
        <v>159</v>
      </c>
      <c r="O976">
        <v>43</v>
      </c>
      <c r="P976" t="s">
        <v>142</v>
      </c>
      <c r="Q976" t="s">
        <v>143</v>
      </c>
      <c r="R976">
        <v>1</v>
      </c>
      <c r="S976" t="s">
        <v>156</v>
      </c>
      <c r="T976">
        <v>2</v>
      </c>
      <c r="U976" t="s">
        <v>152</v>
      </c>
      <c r="V976" t="s">
        <v>146</v>
      </c>
      <c r="W976">
        <v>1</v>
      </c>
    </row>
    <row r="977" spans="2:23" x14ac:dyDescent="0.3">
      <c r="B977">
        <v>973</v>
      </c>
      <c r="C977" t="s">
        <v>134</v>
      </c>
      <c r="D977">
        <v>24</v>
      </c>
      <c r="E977" t="s">
        <v>180</v>
      </c>
      <c r="F977" t="s">
        <v>162</v>
      </c>
      <c r="G977">
        <v>1193</v>
      </c>
      <c r="H977" t="s">
        <v>149</v>
      </c>
      <c r="I977" t="s">
        <v>171</v>
      </c>
      <c r="J977">
        <v>1</v>
      </c>
      <c r="K977" t="s">
        <v>151</v>
      </c>
      <c r="L977" t="s">
        <v>182</v>
      </c>
      <c r="M977">
        <v>4</v>
      </c>
      <c r="N977" t="s">
        <v>163</v>
      </c>
      <c r="O977">
        <v>29</v>
      </c>
      <c r="P977" t="s">
        <v>142</v>
      </c>
      <c r="Q977" t="s">
        <v>167</v>
      </c>
      <c r="R977">
        <v>2</v>
      </c>
      <c r="S977" t="s">
        <v>185</v>
      </c>
      <c r="T977">
        <v>1</v>
      </c>
      <c r="U977" t="s">
        <v>152</v>
      </c>
      <c r="V977" t="s">
        <v>146</v>
      </c>
      <c r="W977">
        <v>2</v>
      </c>
    </row>
    <row r="978" spans="2:23" x14ac:dyDescent="0.3">
      <c r="B978">
        <v>974</v>
      </c>
      <c r="C978" t="s">
        <v>134</v>
      </c>
      <c r="D978">
        <v>60</v>
      </c>
      <c r="E978" t="s">
        <v>148</v>
      </c>
      <c r="F978" t="s">
        <v>174</v>
      </c>
      <c r="G978">
        <v>7297</v>
      </c>
      <c r="H978" t="s">
        <v>149</v>
      </c>
      <c r="I978" t="s">
        <v>138</v>
      </c>
      <c r="J978">
        <v>4</v>
      </c>
      <c r="K978" t="s">
        <v>139</v>
      </c>
      <c r="L978" t="s">
        <v>182</v>
      </c>
      <c r="M978">
        <v>4</v>
      </c>
      <c r="N978" t="s">
        <v>163</v>
      </c>
      <c r="O978">
        <v>36</v>
      </c>
      <c r="P978" t="s">
        <v>142</v>
      </c>
      <c r="Q978" t="s">
        <v>167</v>
      </c>
      <c r="R978">
        <v>1</v>
      </c>
      <c r="S978" t="s">
        <v>144</v>
      </c>
      <c r="T978">
        <v>1</v>
      </c>
      <c r="U978" t="s">
        <v>152</v>
      </c>
      <c r="V978" t="s">
        <v>146</v>
      </c>
      <c r="W978">
        <v>2</v>
      </c>
    </row>
    <row r="979" spans="2:23" x14ac:dyDescent="0.3">
      <c r="B979">
        <v>975</v>
      </c>
      <c r="C979" t="s">
        <v>153</v>
      </c>
      <c r="D979">
        <v>30</v>
      </c>
      <c r="E979" t="s">
        <v>135</v>
      </c>
      <c r="F979" t="s">
        <v>136</v>
      </c>
      <c r="G979">
        <v>2831</v>
      </c>
      <c r="H979" t="s">
        <v>149</v>
      </c>
      <c r="I979" t="s">
        <v>150</v>
      </c>
      <c r="J979">
        <v>4</v>
      </c>
      <c r="K979" t="s">
        <v>151</v>
      </c>
      <c r="L979" t="s">
        <v>140</v>
      </c>
      <c r="M979">
        <v>2</v>
      </c>
      <c r="N979" t="s">
        <v>166</v>
      </c>
      <c r="O979">
        <v>33</v>
      </c>
      <c r="P979" t="s">
        <v>142</v>
      </c>
      <c r="Q979" t="s">
        <v>143</v>
      </c>
      <c r="R979">
        <v>1</v>
      </c>
      <c r="S979" t="s">
        <v>144</v>
      </c>
      <c r="T979">
        <v>1</v>
      </c>
      <c r="U979" t="s">
        <v>145</v>
      </c>
      <c r="V979" t="s">
        <v>146</v>
      </c>
      <c r="W979">
        <v>1</v>
      </c>
    </row>
    <row r="980" spans="2:23" x14ac:dyDescent="0.3">
      <c r="B980">
        <v>976</v>
      </c>
      <c r="C980" t="s">
        <v>179</v>
      </c>
      <c r="D980">
        <v>24</v>
      </c>
      <c r="E980" t="s">
        <v>148</v>
      </c>
      <c r="F980" t="s">
        <v>136</v>
      </c>
      <c r="G980">
        <v>1258</v>
      </c>
      <c r="H980" t="s">
        <v>164</v>
      </c>
      <c r="I980" t="s">
        <v>150</v>
      </c>
      <c r="J980">
        <v>3</v>
      </c>
      <c r="K980" t="s">
        <v>151</v>
      </c>
      <c r="L980" t="s">
        <v>140</v>
      </c>
      <c r="M980">
        <v>3</v>
      </c>
      <c r="N980" t="s">
        <v>166</v>
      </c>
      <c r="O980">
        <v>57</v>
      </c>
      <c r="P980" t="s">
        <v>142</v>
      </c>
      <c r="Q980" t="s">
        <v>143</v>
      </c>
      <c r="R980">
        <v>1</v>
      </c>
      <c r="S980" t="s">
        <v>156</v>
      </c>
      <c r="T980">
        <v>1</v>
      </c>
      <c r="U980" t="s">
        <v>152</v>
      </c>
      <c r="V980" t="s">
        <v>146</v>
      </c>
      <c r="W980">
        <v>1</v>
      </c>
    </row>
    <row r="981" spans="2:23" x14ac:dyDescent="0.3">
      <c r="B981">
        <v>977</v>
      </c>
      <c r="C981" t="s">
        <v>147</v>
      </c>
      <c r="D981">
        <v>6</v>
      </c>
      <c r="E981" t="s">
        <v>148</v>
      </c>
      <c r="F981" t="s">
        <v>136</v>
      </c>
      <c r="G981">
        <v>753</v>
      </c>
      <c r="H981" t="s">
        <v>149</v>
      </c>
      <c r="I981" t="s">
        <v>150</v>
      </c>
      <c r="J981">
        <v>2</v>
      </c>
      <c r="K981" t="s">
        <v>151</v>
      </c>
      <c r="L981" t="s">
        <v>158</v>
      </c>
      <c r="M981">
        <v>3</v>
      </c>
      <c r="N981" t="s">
        <v>141</v>
      </c>
      <c r="O981">
        <v>64</v>
      </c>
      <c r="P981" t="s">
        <v>142</v>
      </c>
      <c r="Q981" t="s">
        <v>143</v>
      </c>
      <c r="R981">
        <v>1</v>
      </c>
      <c r="S981" t="s">
        <v>144</v>
      </c>
      <c r="T981">
        <v>1</v>
      </c>
      <c r="U981" t="s">
        <v>152</v>
      </c>
      <c r="V981" t="s">
        <v>146</v>
      </c>
      <c r="W981">
        <v>1</v>
      </c>
    </row>
    <row r="982" spans="2:23" x14ac:dyDescent="0.3">
      <c r="B982">
        <v>978</v>
      </c>
      <c r="C982" t="s">
        <v>147</v>
      </c>
      <c r="D982">
        <v>18</v>
      </c>
      <c r="E982" t="s">
        <v>161</v>
      </c>
      <c r="F982" t="s">
        <v>174</v>
      </c>
      <c r="G982">
        <v>2427</v>
      </c>
      <c r="H982" t="s">
        <v>137</v>
      </c>
      <c r="I982" t="s">
        <v>138</v>
      </c>
      <c r="J982">
        <v>4</v>
      </c>
      <c r="K982" t="s">
        <v>139</v>
      </c>
      <c r="L982" t="s">
        <v>140</v>
      </c>
      <c r="M982">
        <v>2</v>
      </c>
      <c r="N982" t="s">
        <v>159</v>
      </c>
      <c r="O982">
        <v>42</v>
      </c>
      <c r="P982" t="s">
        <v>142</v>
      </c>
      <c r="Q982" t="s">
        <v>143</v>
      </c>
      <c r="R982">
        <v>2</v>
      </c>
      <c r="S982" t="s">
        <v>144</v>
      </c>
      <c r="T982">
        <v>1</v>
      </c>
      <c r="U982" t="s">
        <v>152</v>
      </c>
      <c r="V982" t="s">
        <v>146</v>
      </c>
      <c r="W982">
        <v>1</v>
      </c>
    </row>
    <row r="983" spans="2:23" x14ac:dyDescent="0.3">
      <c r="B983">
        <v>979</v>
      </c>
      <c r="C983" t="s">
        <v>153</v>
      </c>
      <c r="D983">
        <v>24</v>
      </c>
      <c r="E983" t="s">
        <v>161</v>
      </c>
      <c r="F983" t="s">
        <v>162</v>
      </c>
      <c r="G983">
        <v>2538</v>
      </c>
      <c r="H983" t="s">
        <v>149</v>
      </c>
      <c r="I983" t="s">
        <v>138</v>
      </c>
      <c r="J983">
        <v>4</v>
      </c>
      <c r="K983" t="s">
        <v>139</v>
      </c>
      <c r="L983" t="s">
        <v>140</v>
      </c>
      <c r="M983">
        <v>4</v>
      </c>
      <c r="N983" t="s">
        <v>166</v>
      </c>
      <c r="O983">
        <v>47</v>
      </c>
      <c r="P983" t="s">
        <v>142</v>
      </c>
      <c r="Q983" t="s">
        <v>143</v>
      </c>
      <c r="R983">
        <v>2</v>
      </c>
      <c r="S983" t="s">
        <v>156</v>
      </c>
      <c r="T983">
        <v>2</v>
      </c>
      <c r="U983" t="s">
        <v>152</v>
      </c>
      <c r="V983" t="s">
        <v>146</v>
      </c>
      <c r="W983">
        <v>2</v>
      </c>
    </row>
    <row r="984" spans="2:23" x14ac:dyDescent="0.3">
      <c r="B984">
        <v>980</v>
      </c>
      <c r="C984" t="s">
        <v>147</v>
      </c>
      <c r="D984">
        <v>15</v>
      </c>
      <c r="E984" t="s">
        <v>180</v>
      </c>
      <c r="F984" t="s">
        <v>162</v>
      </c>
      <c r="G984">
        <v>1264</v>
      </c>
      <c r="H984" t="s">
        <v>175</v>
      </c>
      <c r="I984" t="s">
        <v>150</v>
      </c>
      <c r="J984">
        <v>2</v>
      </c>
      <c r="K984" t="s">
        <v>172</v>
      </c>
      <c r="L984" t="s">
        <v>140</v>
      </c>
      <c r="M984">
        <v>2</v>
      </c>
      <c r="N984" t="s">
        <v>159</v>
      </c>
      <c r="O984">
        <v>25</v>
      </c>
      <c r="P984" t="s">
        <v>142</v>
      </c>
      <c r="Q984" t="s">
        <v>167</v>
      </c>
      <c r="R984">
        <v>1</v>
      </c>
      <c r="S984" t="s">
        <v>144</v>
      </c>
      <c r="T984">
        <v>1</v>
      </c>
      <c r="U984" t="s">
        <v>152</v>
      </c>
      <c r="V984" t="s">
        <v>146</v>
      </c>
      <c r="W984">
        <v>2</v>
      </c>
    </row>
    <row r="985" spans="2:23" x14ac:dyDescent="0.3">
      <c r="B985">
        <v>981</v>
      </c>
      <c r="C985" t="s">
        <v>147</v>
      </c>
      <c r="D985">
        <v>30</v>
      </c>
      <c r="E985" t="s">
        <v>135</v>
      </c>
      <c r="F985" t="s">
        <v>157</v>
      </c>
      <c r="G985">
        <v>8386</v>
      </c>
      <c r="H985" t="s">
        <v>149</v>
      </c>
      <c r="I985" t="s">
        <v>155</v>
      </c>
      <c r="J985">
        <v>2</v>
      </c>
      <c r="K985" t="s">
        <v>139</v>
      </c>
      <c r="L985" t="s">
        <v>140</v>
      </c>
      <c r="M985">
        <v>2</v>
      </c>
      <c r="N985" t="s">
        <v>159</v>
      </c>
      <c r="O985">
        <v>49</v>
      </c>
      <c r="P985" t="s">
        <v>142</v>
      </c>
      <c r="Q985" t="s">
        <v>143</v>
      </c>
      <c r="R985">
        <v>1</v>
      </c>
      <c r="S985" t="s">
        <v>144</v>
      </c>
      <c r="T985">
        <v>1</v>
      </c>
      <c r="U985" t="s">
        <v>152</v>
      </c>
      <c r="V985" t="s">
        <v>146</v>
      </c>
      <c r="W985">
        <v>2</v>
      </c>
    </row>
    <row r="986" spans="2:23" x14ac:dyDescent="0.3">
      <c r="B986">
        <v>982</v>
      </c>
      <c r="C986" t="s">
        <v>153</v>
      </c>
      <c r="D986">
        <v>48</v>
      </c>
      <c r="E986" t="s">
        <v>148</v>
      </c>
      <c r="F986" t="s">
        <v>174</v>
      </c>
      <c r="G986">
        <v>4844</v>
      </c>
      <c r="H986" t="s">
        <v>149</v>
      </c>
      <c r="I986" t="s">
        <v>171</v>
      </c>
      <c r="J986">
        <v>3</v>
      </c>
      <c r="K986" t="s">
        <v>139</v>
      </c>
      <c r="L986" t="s">
        <v>140</v>
      </c>
      <c r="M986">
        <v>2</v>
      </c>
      <c r="N986" t="s">
        <v>166</v>
      </c>
      <c r="O986">
        <v>33</v>
      </c>
      <c r="P986" t="s">
        <v>177</v>
      </c>
      <c r="Q986" t="s">
        <v>167</v>
      </c>
      <c r="R986">
        <v>1</v>
      </c>
      <c r="S986" t="s">
        <v>168</v>
      </c>
      <c r="T986">
        <v>1</v>
      </c>
      <c r="U986" t="s">
        <v>145</v>
      </c>
      <c r="V986" t="s">
        <v>146</v>
      </c>
      <c r="W986">
        <v>2</v>
      </c>
    </row>
    <row r="987" spans="2:23" x14ac:dyDescent="0.3">
      <c r="B987">
        <v>983</v>
      </c>
      <c r="C987" t="s">
        <v>179</v>
      </c>
      <c r="D987">
        <v>21</v>
      </c>
      <c r="E987" t="s">
        <v>148</v>
      </c>
      <c r="F987" t="s">
        <v>162</v>
      </c>
      <c r="G987">
        <v>2923</v>
      </c>
      <c r="H987" t="s">
        <v>175</v>
      </c>
      <c r="I987" t="s">
        <v>150</v>
      </c>
      <c r="J987">
        <v>1</v>
      </c>
      <c r="K987" t="s">
        <v>151</v>
      </c>
      <c r="L987" t="s">
        <v>140</v>
      </c>
      <c r="M987">
        <v>1</v>
      </c>
      <c r="N987" t="s">
        <v>166</v>
      </c>
      <c r="O987">
        <v>28</v>
      </c>
      <c r="P987" t="s">
        <v>177</v>
      </c>
      <c r="Q987" t="s">
        <v>143</v>
      </c>
      <c r="R987">
        <v>1</v>
      </c>
      <c r="S987" t="s">
        <v>168</v>
      </c>
      <c r="T987">
        <v>1</v>
      </c>
      <c r="U987" t="s">
        <v>145</v>
      </c>
      <c r="V987" t="s">
        <v>146</v>
      </c>
      <c r="W987">
        <v>1</v>
      </c>
    </row>
    <row r="988" spans="2:23" x14ac:dyDescent="0.3">
      <c r="B988">
        <v>984</v>
      </c>
      <c r="C988" t="s">
        <v>134</v>
      </c>
      <c r="D988">
        <v>36</v>
      </c>
      <c r="E988" t="s">
        <v>148</v>
      </c>
      <c r="F988" t="s">
        <v>165</v>
      </c>
      <c r="G988">
        <v>8229</v>
      </c>
      <c r="H988" t="s">
        <v>149</v>
      </c>
      <c r="I988" t="s">
        <v>150</v>
      </c>
      <c r="J988">
        <v>2</v>
      </c>
      <c r="K988" t="s">
        <v>139</v>
      </c>
      <c r="L988" t="s">
        <v>140</v>
      </c>
      <c r="M988">
        <v>2</v>
      </c>
      <c r="N988" t="s">
        <v>159</v>
      </c>
      <c r="O988">
        <v>26</v>
      </c>
      <c r="P988" t="s">
        <v>142</v>
      </c>
      <c r="Q988" t="s">
        <v>143</v>
      </c>
      <c r="R988">
        <v>1</v>
      </c>
      <c r="S988" t="s">
        <v>144</v>
      </c>
      <c r="T988">
        <v>2</v>
      </c>
      <c r="U988" t="s">
        <v>152</v>
      </c>
      <c r="V988" t="s">
        <v>146</v>
      </c>
      <c r="W988">
        <v>2</v>
      </c>
    </row>
    <row r="989" spans="2:23" x14ac:dyDescent="0.3">
      <c r="B989">
        <v>985</v>
      </c>
      <c r="C989" t="s">
        <v>153</v>
      </c>
      <c r="D989">
        <v>24</v>
      </c>
      <c r="E989" t="s">
        <v>135</v>
      </c>
      <c r="F989" t="s">
        <v>157</v>
      </c>
      <c r="G989">
        <v>2028</v>
      </c>
      <c r="H989" t="s">
        <v>149</v>
      </c>
      <c r="I989" t="s">
        <v>155</v>
      </c>
      <c r="J989">
        <v>2</v>
      </c>
      <c r="K989" t="s">
        <v>139</v>
      </c>
      <c r="L989" t="s">
        <v>140</v>
      </c>
      <c r="M989">
        <v>2</v>
      </c>
      <c r="N989" t="s">
        <v>159</v>
      </c>
      <c r="O989">
        <v>30</v>
      </c>
      <c r="P989" t="s">
        <v>142</v>
      </c>
      <c r="Q989" t="s">
        <v>143</v>
      </c>
      <c r="R989">
        <v>2</v>
      </c>
      <c r="S989" t="s">
        <v>156</v>
      </c>
      <c r="T989">
        <v>1</v>
      </c>
      <c r="U989" t="s">
        <v>152</v>
      </c>
      <c r="V989" t="s">
        <v>146</v>
      </c>
      <c r="W989">
        <v>1</v>
      </c>
    </row>
    <row r="990" spans="2:23" x14ac:dyDescent="0.3">
      <c r="B990">
        <v>986</v>
      </c>
      <c r="C990" t="s">
        <v>134</v>
      </c>
      <c r="D990">
        <v>15</v>
      </c>
      <c r="E990" t="s">
        <v>135</v>
      </c>
      <c r="F990" t="s">
        <v>157</v>
      </c>
      <c r="G990">
        <v>1433</v>
      </c>
      <c r="H990" t="s">
        <v>149</v>
      </c>
      <c r="I990" t="s">
        <v>150</v>
      </c>
      <c r="J990">
        <v>4</v>
      </c>
      <c r="K990" t="s">
        <v>151</v>
      </c>
      <c r="L990" t="s">
        <v>140</v>
      </c>
      <c r="M990">
        <v>3</v>
      </c>
      <c r="N990" t="s">
        <v>159</v>
      </c>
      <c r="O990">
        <v>25</v>
      </c>
      <c r="P990" t="s">
        <v>142</v>
      </c>
      <c r="Q990" t="s">
        <v>167</v>
      </c>
      <c r="R990">
        <v>2</v>
      </c>
      <c r="S990" t="s">
        <v>144</v>
      </c>
      <c r="T990">
        <v>1</v>
      </c>
      <c r="U990" t="s">
        <v>152</v>
      </c>
      <c r="V990" t="s">
        <v>146</v>
      </c>
      <c r="W990">
        <v>1</v>
      </c>
    </row>
    <row r="991" spans="2:23" x14ac:dyDescent="0.3">
      <c r="B991">
        <v>987</v>
      </c>
      <c r="C991" t="s">
        <v>179</v>
      </c>
      <c r="D991">
        <v>42</v>
      </c>
      <c r="E991" t="s">
        <v>176</v>
      </c>
      <c r="F991" t="s">
        <v>174</v>
      </c>
      <c r="G991">
        <v>6289</v>
      </c>
      <c r="H991" t="s">
        <v>149</v>
      </c>
      <c r="I991" t="s">
        <v>173</v>
      </c>
      <c r="J991">
        <v>2</v>
      </c>
      <c r="K991" t="s">
        <v>170</v>
      </c>
      <c r="L991" t="s">
        <v>140</v>
      </c>
      <c r="M991">
        <v>1</v>
      </c>
      <c r="N991" t="s">
        <v>159</v>
      </c>
      <c r="O991">
        <v>33</v>
      </c>
      <c r="P991" t="s">
        <v>142</v>
      </c>
      <c r="Q991" t="s">
        <v>143</v>
      </c>
      <c r="R991">
        <v>2</v>
      </c>
      <c r="S991" t="s">
        <v>144</v>
      </c>
      <c r="T991">
        <v>1</v>
      </c>
      <c r="U991" t="s">
        <v>152</v>
      </c>
      <c r="V991" t="s">
        <v>146</v>
      </c>
      <c r="W991">
        <v>1</v>
      </c>
    </row>
    <row r="992" spans="2:23" x14ac:dyDescent="0.3">
      <c r="B992">
        <v>988</v>
      </c>
      <c r="C992" t="s">
        <v>153</v>
      </c>
      <c r="D992">
        <v>13</v>
      </c>
      <c r="E992" t="s">
        <v>148</v>
      </c>
      <c r="F992" t="s">
        <v>136</v>
      </c>
      <c r="G992">
        <v>1409</v>
      </c>
      <c r="H992" t="s">
        <v>175</v>
      </c>
      <c r="I992" t="s">
        <v>171</v>
      </c>
      <c r="J992">
        <v>2</v>
      </c>
      <c r="K992" t="s">
        <v>151</v>
      </c>
      <c r="L992" t="s">
        <v>140</v>
      </c>
      <c r="M992">
        <v>4</v>
      </c>
      <c r="N992" t="s">
        <v>141</v>
      </c>
      <c r="O992">
        <v>64</v>
      </c>
      <c r="P992" t="s">
        <v>142</v>
      </c>
      <c r="Q992" t="s">
        <v>143</v>
      </c>
      <c r="R992">
        <v>1</v>
      </c>
      <c r="S992" t="s">
        <v>144</v>
      </c>
      <c r="T992">
        <v>1</v>
      </c>
      <c r="U992" t="s">
        <v>152</v>
      </c>
      <c r="V992" t="s">
        <v>146</v>
      </c>
      <c r="W992">
        <v>1</v>
      </c>
    </row>
    <row r="993" spans="2:23" x14ac:dyDescent="0.3">
      <c r="B993">
        <v>989</v>
      </c>
      <c r="C993" t="s">
        <v>134</v>
      </c>
      <c r="D993">
        <v>24</v>
      </c>
      <c r="E993" t="s">
        <v>148</v>
      </c>
      <c r="F993" t="s">
        <v>165</v>
      </c>
      <c r="G993">
        <v>6579</v>
      </c>
      <c r="H993" t="s">
        <v>149</v>
      </c>
      <c r="I993" t="s">
        <v>171</v>
      </c>
      <c r="J993">
        <v>4</v>
      </c>
      <c r="K993" t="s">
        <v>139</v>
      </c>
      <c r="L993" t="s">
        <v>140</v>
      </c>
      <c r="M993">
        <v>2</v>
      </c>
      <c r="N993" t="s">
        <v>163</v>
      </c>
      <c r="O993">
        <v>29</v>
      </c>
      <c r="P993" t="s">
        <v>142</v>
      </c>
      <c r="Q993" t="s">
        <v>160</v>
      </c>
      <c r="R993">
        <v>1</v>
      </c>
      <c r="S993" t="s">
        <v>168</v>
      </c>
      <c r="T993">
        <v>1</v>
      </c>
      <c r="U993" t="s">
        <v>145</v>
      </c>
      <c r="V993" t="s">
        <v>146</v>
      </c>
      <c r="W993">
        <v>1</v>
      </c>
    </row>
    <row r="994" spans="2:23" x14ac:dyDescent="0.3">
      <c r="B994">
        <v>990</v>
      </c>
      <c r="C994" t="s">
        <v>147</v>
      </c>
      <c r="D994">
        <v>24</v>
      </c>
      <c r="E994" t="s">
        <v>135</v>
      </c>
      <c r="F994" t="s">
        <v>136</v>
      </c>
      <c r="G994">
        <v>1743</v>
      </c>
      <c r="H994" t="s">
        <v>149</v>
      </c>
      <c r="I994" t="s">
        <v>138</v>
      </c>
      <c r="J994">
        <v>4</v>
      </c>
      <c r="K994" t="s">
        <v>139</v>
      </c>
      <c r="L994" t="s">
        <v>140</v>
      </c>
      <c r="M994">
        <v>2</v>
      </c>
      <c r="N994" t="s">
        <v>159</v>
      </c>
      <c r="O994">
        <v>48</v>
      </c>
      <c r="P994" t="s">
        <v>142</v>
      </c>
      <c r="Q994" t="s">
        <v>143</v>
      </c>
      <c r="R994">
        <v>2</v>
      </c>
      <c r="S994" t="s">
        <v>156</v>
      </c>
      <c r="T994">
        <v>1</v>
      </c>
      <c r="U994" t="s">
        <v>152</v>
      </c>
      <c r="V994" t="s">
        <v>146</v>
      </c>
      <c r="W994">
        <v>1</v>
      </c>
    </row>
    <row r="995" spans="2:23" x14ac:dyDescent="0.3">
      <c r="B995">
        <v>991</v>
      </c>
      <c r="C995" t="s">
        <v>153</v>
      </c>
      <c r="D995">
        <v>12</v>
      </c>
      <c r="E995" t="s">
        <v>135</v>
      </c>
      <c r="F995" t="s">
        <v>154</v>
      </c>
      <c r="G995">
        <v>3565</v>
      </c>
      <c r="H995" t="s">
        <v>137</v>
      </c>
      <c r="I995" t="s">
        <v>173</v>
      </c>
      <c r="J995">
        <v>2</v>
      </c>
      <c r="K995" t="s">
        <v>139</v>
      </c>
      <c r="L995" t="s">
        <v>140</v>
      </c>
      <c r="M995">
        <v>1</v>
      </c>
      <c r="N995" t="s">
        <v>159</v>
      </c>
      <c r="O995">
        <v>37</v>
      </c>
      <c r="P995" t="s">
        <v>142</v>
      </c>
      <c r="Q995" t="s">
        <v>143</v>
      </c>
      <c r="R995">
        <v>2</v>
      </c>
      <c r="S995" t="s">
        <v>156</v>
      </c>
      <c r="T995">
        <v>2</v>
      </c>
      <c r="U995" t="s">
        <v>152</v>
      </c>
      <c r="V995" t="s">
        <v>146</v>
      </c>
      <c r="W995">
        <v>1</v>
      </c>
    </row>
    <row r="996" spans="2:23" x14ac:dyDescent="0.3">
      <c r="B996">
        <v>992</v>
      </c>
      <c r="C996" t="s">
        <v>153</v>
      </c>
      <c r="D996">
        <v>15</v>
      </c>
      <c r="E996" t="s">
        <v>180</v>
      </c>
      <c r="F996" t="s">
        <v>136</v>
      </c>
      <c r="G996">
        <v>1569</v>
      </c>
      <c r="H996" t="s">
        <v>175</v>
      </c>
      <c r="I996" t="s">
        <v>138</v>
      </c>
      <c r="J996">
        <v>4</v>
      </c>
      <c r="K996" t="s">
        <v>139</v>
      </c>
      <c r="L996" t="s">
        <v>140</v>
      </c>
      <c r="M996">
        <v>4</v>
      </c>
      <c r="N996" t="s">
        <v>166</v>
      </c>
      <c r="O996">
        <v>34</v>
      </c>
      <c r="P996" t="s">
        <v>177</v>
      </c>
      <c r="Q996" t="s">
        <v>143</v>
      </c>
      <c r="R996">
        <v>1</v>
      </c>
      <c r="S996" t="s">
        <v>156</v>
      </c>
      <c r="T996">
        <v>2</v>
      </c>
      <c r="U996" t="s">
        <v>152</v>
      </c>
      <c r="V996" t="s">
        <v>146</v>
      </c>
      <c r="W996">
        <v>1</v>
      </c>
    </row>
    <row r="997" spans="2:23" x14ac:dyDescent="0.3">
      <c r="B997">
        <v>993</v>
      </c>
      <c r="C997" t="s">
        <v>134</v>
      </c>
      <c r="D997">
        <v>18</v>
      </c>
      <c r="E997" t="s">
        <v>148</v>
      </c>
      <c r="F997" t="s">
        <v>136</v>
      </c>
      <c r="G997">
        <v>1936</v>
      </c>
      <c r="H997" t="s">
        <v>137</v>
      </c>
      <c r="I997" t="s">
        <v>155</v>
      </c>
      <c r="J997">
        <v>2</v>
      </c>
      <c r="K997" t="s">
        <v>172</v>
      </c>
      <c r="L997" t="s">
        <v>140</v>
      </c>
      <c r="M997">
        <v>4</v>
      </c>
      <c r="N997" t="s">
        <v>166</v>
      </c>
      <c r="O997">
        <v>23</v>
      </c>
      <c r="P997" t="s">
        <v>142</v>
      </c>
      <c r="Q997" t="s">
        <v>167</v>
      </c>
      <c r="R997">
        <v>2</v>
      </c>
      <c r="S997" t="s">
        <v>156</v>
      </c>
      <c r="T997">
        <v>1</v>
      </c>
      <c r="U997" t="s">
        <v>152</v>
      </c>
      <c r="V997" t="s">
        <v>146</v>
      </c>
      <c r="W997">
        <v>1</v>
      </c>
    </row>
    <row r="998" spans="2:23" x14ac:dyDescent="0.3">
      <c r="B998">
        <v>994</v>
      </c>
      <c r="C998" t="s">
        <v>134</v>
      </c>
      <c r="D998">
        <v>36</v>
      </c>
      <c r="E998" t="s">
        <v>148</v>
      </c>
      <c r="F998" t="s">
        <v>157</v>
      </c>
      <c r="G998">
        <v>3959</v>
      </c>
      <c r="H998" t="s">
        <v>149</v>
      </c>
      <c r="I998" t="s">
        <v>171</v>
      </c>
      <c r="J998">
        <v>4</v>
      </c>
      <c r="K998" t="s">
        <v>139</v>
      </c>
      <c r="L998" t="s">
        <v>140</v>
      </c>
      <c r="M998">
        <v>3</v>
      </c>
      <c r="N998" t="s">
        <v>159</v>
      </c>
      <c r="O998">
        <v>30</v>
      </c>
      <c r="P998" t="s">
        <v>142</v>
      </c>
      <c r="Q998" t="s">
        <v>143</v>
      </c>
      <c r="R998">
        <v>1</v>
      </c>
      <c r="S998" t="s">
        <v>168</v>
      </c>
      <c r="T998">
        <v>1</v>
      </c>
      <c r="U998" t="s">
        <v>145</v>
      </c>
      <c r="V998" t="s">
        <v>146</v>
      </c>
      <c r="W998">
        <v>1</v>
      </c>
    </row>
    <row r="999" spans="2:23" x14ac:dyDescent="0.3">
      <c r="B999">
        <v>995</v>
      </c>
      <c r="C999" t="s">
        <v>153</v>
      </c>
      <c r="D999">
        <v>12</v>
      </c>
      <c r="E999" t="s">
        <v>148</v>
      </c>
      <c r="F999" t="s">
        <v>162</v>
      </c>
      <c r="G999">
        <v>2390</v>
      </c>
      <c r="H999" t="s">
        <v>137</v>
      </c>
      <c r="I999" t="s">
        <v>138</v>
      </c>
      <c r="J999">
        <v>4</v>
      </c>
      <c r="K999" t="s">
        <v>139</v>
      </c>
      <c r="L999" t="s">
        <v>140</v>
      </c>
      <c r="M999">
        <v>3</v>
      </c>
      <c r="N999" t="s">
        <v>166</v>
      </c>
      <c r="O999">
        <v>50</v>
      </c>
      <c r="P999" t="s">
        <v>142</v>
      </c>
      <c r="Q999" t="s">
        <v>143</v>
      </c>
      <c r="R999">
        <v>1</v>
      </c>
      <c r="S999" t="s">
        <v>144</v>
      </c>
      <c r="T999">
        <v>1</v>
      </c>
      <c r="U999" t="s">
        <v>145</v>
      </c>
      <c r="V999" t="s">
        <v>146</v>
      </c>
      <c r="W999">
        <v>1</v>
      </c>
    </row>
    <row r="1000" spans="2:23" x14ac:dyDescent="0.3">
      <c r="B1000">
        <v>996</v>
      </c>
      <c r="C1000" t="s">
        <v>153</v>
      </c>
      <c r="D1000">
        <v>12</v>
      </c>
      <c r="E1000" t="s">
        <v>148</v>
      </c>
      <c r="F1000" t="s">
        <v>157</v>
      </c>
      <c r="G1000">
        <v>1736</v>
      </c>
      <c r="H1000" t="s">
        <v>149</v>
      </c>
      <c r="I1000" t="s">
        <v>155</v>
      </c>
      <c r="J1000">
        <v>3</v>
      </c>
      <c r="K1000" t="s">
        <v>151</v>
      </c>
      <c r="L1000" t="s">
        <v>140</v>
      </c>
      <c r="M1000">
        <v>4</v>
      </c>
      <c r="N1000" t="s">
        <v>141</v>
      </c>
      <c r="O1000">
        <v>31</v>
      </c>
      <c r="P1000" t="s">
        <v>142</v>
      </c>
      <c r="Q1000" t="s">
        <v>143</v>
      </c>
      <c r="R1000">
        <v>1</v>
      </c>
      <c r="S1000" t="s">
        <v>156</v>
      </c>
      <c r="T1000">
        <v>1</v>
      </c>
      <c r="U1000" t="s">
        <v>152</v>
      </c>
      <c r="V1000" t="s">
        <v>146</v>
      </c>
      <c r="W1000">
        <v>1</v>
      </c>
    </row>
    <row r="1001" spans="2:23" x14ac:dyDescent="0.3">
      <c r="B1001">
        <v>997</v>
      </c>
      <c r="C1001" t="s">
        <v>134</v>
      </c>
      <c r="D1001">
        <v>30</v>
      </c>
      <c r="E1001" t="s">
        <v>148</v>
      </c>
      <c r="F1001" t="s">
        <v>165</v>
      </c>
      <c r="G1001">
        <v>3857</v>
      </c>
      <c r="H1001" t="s">
        <v>149</v>
      </c>
      <c r="I1001" t="s">
        <v>150</v>
      </c>
      <c r="J1001">
        <v>4</v>
      </c>
      <c r="K1001" t="s">
        <v>170</v>
      </c>
      <c r="L1001" t="s">
        <v>140</v>
      </c>
      <c r="M1001">
        <v>4</v>
      </c>
      <c r="N1001" t="s">
        <v>159</v>
      </c>
      <c r="O1001">
        <v>40</v>
      </c>
      <c r="P1001" t="s">
        <v>142</v>
      </c>
      <c r="Q1001" t="s">
        <v>143</v>
      </c>
      <c r="R1001">
        <v>1</v>
      </c>
      <c r="S1001" t="s">
        <v>168</v>
      </c>
      <c r="T1001">
        <v>1</v>
      </c>
      <c r="U1001" t="s">
        <v>145</v>
      </c>
      <c r="V1001" t="s">
        <v>146</v>
      </c>
      <c r="W1001">
        <v>1</v>
      </c>
    </row>
    <row r="1002" spans="2:23" x14ac:dyDescent="0.3">
      <c r="B1002">
        <v>998</v>
      </c>
      <c r="C1002" t="s">
        <v>153</v>
      </c>
      <c r="D1002">
        <v>12</v>
      </c>
      <c r="E1002" t="s">
        <v>148</v>
      </c>
      <c r="F1002" t="s">
        <v>136</v>
      </c>
      <c r="G1002">
        <v>804</v>
      </c>
      <c r="H1002" t="s">
        <v>149</v>
      </c>
      <c r="I1002" t="s">
        <v>138</v>
      </c>
      <c r="J1002">
        <v>4</v>
      </c>
      <c r="K1002" t="s">
        <v>139</v>
      </c>
      <c r="L1002" t="s">
        <v>140</v>
      </c>
      <c r="M1002">
        <v>4</v>
      </c>
      <c r="N1002" t="s">
        <v>166</v>
      </c>
      <c r="O1002">
        <v>38</v>
      </c>
      <c r="P1002" t="s">
        <v>142</v>
      </c>
      <c r="Q1002" t="s">
        <v>143</v>
      </c>
      <c r="R1002">
        <v>1</v>
      </c>
      <c r="S1002" t="s">
        <v>144</v>
      </c>
      <c r="T1002">
        <v>1</v>
      </c>
      <c r="U1002" t="s">
        <v>152</v>
      </c>
      <c r="V1002" t="s">
        <v>146</v>
      </c>
      <c r="W1002">
        <v>1</v>
      </c>
    </row>
    <row r="1003" spans="2:23" x14ac:dyDescent="0.3">
      <c r="B1003">
        <v>999</v>
      </c>
      <c r="C1003" t="s">
        <v>134</v>
      </c>
      <c r="D1003">
        <v>45</v>
      </c>
      <c r="E1003" t="s">
        <v>148</v>
      </c>
      <c r="F1003" t="s">
        <v>136</v>
      </c>
      <c r="G1003">
        <v>1845</v>
      </c>
      <c r="H1003" t="s">
        <v>149</v>
      </c>
      <c r="I1003" t="s">
        <v>150</v>
      </c>
      <c r="J1003">
        <v>4</v>
      </c>
      <c r="K1003" t="s">
        <v>139</v>
      </c>
      <c r="L1003" t="s">
        <v>140</v>
      </c>
      <c r="M1003">
        <v>4</v>
      </c>
      <c r="N1003" t="s">
        <v>163</v>
      </c>
      <c r="O1003">
        <v>23</v>
      </c>
      <c r="P1003" t="s">
        <v>142</v>
      </c>
      <c r="Q1003" t="s">
        <v>160</v>
      </c>
      <c r="R1003">
        <v>1</v>
      </c>
      <c r="S1003" t="s">
        <v>144</v>
      </c>
      <c r="T1003">
        <v>1</v>
      </c>
      <c r="U1003" t="s">
        <v>145</v>
      </c>
      <c r="V1003" t="s">
        <v>146</v>
      </c>
      <c r="W1003">
        <v>2</v>
      </c>
    </row>
    <row r="1004" spans="2:23" x14ac:dyDescent="0.3">
      <c r="B1004">
        <v>1000</v>
      </c>
      <c r="C1004" t="s">
        <v>147</v>
      </c>
      <c r="D1004">
        <v>45</v>
      </c>
      <c r="E1004" t="s">
        <v>135</v>
      </c>
      <c r="F1004" t="s">
        <v>165</v>
      </c>
      <c r="G1004">
        <v>4576</v>
      </c>
      <c r="H1004" t="s">
        <v>175</v>
      </c>
      <c r="I1004" t="s">
        <v>171</v>
      </c>
      <c r="J1004">
        <v>3</v>
      </c>
      <c r="K1004" t="s">
        <v>139</v>
      </c>
      <c r="L1004" t="s">
        <v>140</v>
      </c>
      <c r="M1004">
        <v>4</v>
      </c>
      <c r="N1004" t="s">
        <v>166</v>
      </c>
      <c r="O1004">
        <v>27</v>
      </c>
      <c r="P1004" t="s">
        <v>142</v>
      </c>
      <c r="Q1004" t="s">
        <v>143</v>
      </c>
      <c r="R1004">
        <v>1</v>
      </c>
      <c r="S1004" t="s">
        <v>144</v>
      </c>
      <c r="T1004">
        <v>1</v>
      </c>
      <c r="U1004" t="s">
        <v>152</v>
      </c>
      <c r="V1004" t="s">
        <v>146</v>
      </c>
      <c r="W1004">
        <v>1</v>
      </c>
    </row>
  </sheetData>
  <autoFilter ref="B4:W100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71"/>
  <sheetViews>
    <sheetView workbookViewId="0"/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8" customWidth="1"/>
    <col min="5" max="5" width="60" customWidth="1"/>
  </cols>
  <sheetData>
    <row r="2" spans="2:5" ht="18" customHeight="1" x14ac:dyDescent="0.35">
      <c r="B2" s="1" t="s">
        <v>188</v>
      </c>
    </row>
    <row r="3" spans="2:5" x14ac:dyDescent="0.3">
      <c r="B3" t="s">
        <v>189</v>
      </c>
    </row>
    <row r="5" spans="2:5" x14ac:dyDescent="0.3">
      <c r="B5" s="3" t="s">
        <v>190</v>
      </c>
      <c r="C5" s="3" t="s">
        <v>191</v>
      </c>
      <c r="D5" s="3" t="s">
        <v>192</v>
      </c>
      <c r="E5" s="3" t="s">
        <v>193</v>
      </c>
    </row>
    <row r="6" spans="2:5" x14ac:dyDescent="0.3">
      <c r="B6" t="s">
        <v>62</v>
      </c>
      <c r="C6" t="s">
        <v>194</v>
      </c>
      <c r="E6" t="s">
        <v>195</v>
      </c>
    </row>
    <row r="7" spans="2:5" x14ac:dyDescent="0.3">
      <c r="B7" t="s">
        <v>2</v>
      </c>
      <c r="C7" t="s">
        <v>196</v>
      </c>
      <c r="D7" t="s">
        <v>134</v>
      </c>
      <c r="E7" t="s">
        <v>8</v>
      </c>
    </row>
    <row r="8" spans="2:5" x14ac:dyDescent="0.3">
      <c r="B8" t="s">
        <v>2</v>
      </c>
      <c r="C8" t="s">
        <v>196</v>
      </c>
      <c r="D8" t="s">
        <v>147</v>
      </c>
      <c r="E8" t="s">
        <v>10</v>
      </c>
    </row>
    <row r="9" spans="2:5" x14ac:dyDescent="0.3">
      <c r="B9" t="s">
        <v>2</v>
      </c>
      <c r="C9" t="s">
        <v>196</v>
      </c>
      <c r="D9" t="s">
        <v>179</v>
      </c>
      <c r="E9" t="s">
        <v>11</v>
      </c>
    </row>
    <row r="10" spans="2:5" x14ac:dyDescent="0.3">
      <c r="B10" t="s">
        <v>2</v>
      </c>
      <c r="C10" t="s">
        <v>196</v>
      </c>
      <c r="D10" t="s">
        <v>153</v>
      </c>
      <c r="E10" t="s">
        <v>12</v>
      </c>
    </row>
    <row r="11" spans="2:5" x14ac:dyDescent="0.3">
      <c r="B11" t="s">
        <v>63</v>
      </c>
      <c r="C11" t="s">
        <v>197</v>
      </c>
      <c r="E11" t="s">
        <v>198</v>
      </c>
    </row>
    <row r="12" spans="2:5" x14ac:dyDescent="0.3">
      <c r="B12" t="s">
        <v>64</v>
      </c>
      <c r="C12" t="s">
        <v>196</v>
      </c>
      <c r="D12" t="s">
        <v>176</v>
      </c>
      <c r="E12" t="s">
        <v>121</v>
      </c>
    </row>
    <row r="13" spans="2:5" x14ac:dyDescent="0.3">
      <c r="B13" t="s">
        <v>64</v>
      </c>
      <c r="C13" t="s">
        <v>196</v>
      </c>
      <c r="D13" t="s">
        <v>180</v>
      </c>
      <c r="E13" t="s">
        <v>124</v>
      </c>
    </row>
    <row r="14" spans="2:5" x14ac:dyDescent="0.3">
      <c r="B14" t="s">
        <v>64</v>
      </c>
      <c r="C14" t="s">
        <v>196</v>
      </c>
      <c r="D14" t="s">
        <v>148</v>
      </c>
      <c r="E14" t="s">
        <v>95</v>
      </c>
    </row>
    <row r="15" spans="2:5" x14ac:dyDescent="0.3">
      <c r="B15" t="s">
        <v>64</v>
      </c>
      <c r="C15" t="s">
        <v>196</v>
      </c>
      <c r="D15" t="s">
        <v>161</v>
      </c>
      <c r="E15" t="s">
        <v>106</v>
      </c>
    </row>
    <row r="16" spans="2:5" x14ac:dyDescent="0.3">
      <c r="B16" t="s">
        <v>64</v>
      </c>
      <c r="C16" t="s">
        <v>196</v>
      </c>
      <c r="D16" t="s">
        <v>135</v>
      </c>
      <c r="E16" t="s">
        <v>84</v>
      </c>
    </row>
    <row r="17" spans="2:5" x14ac:dyDescent="0.3">
      <c r="B17" t="s">
        <v>65</v>
      </c>
      <c r="C17" t="s">
        <v>196</v>
      </c>
      <c r="D17" t="s">
        <v>162</v>
      </c>
      <c r="E17" t="s">
        <v>107</v>
      </c>
    </row>
    <row r="18" spans="2:5" x14ac:dyDescent="0.3">
      <c r="B18" t="s">
        <v>65</v>
      </c>
      <c r="C18" t="s">
        <v>196</v>
      </c>
      <c r="D18" t="s">
        <v>165</v>
      </c>
      <c r="E18" t="s">
        <v>110</v>
      </c>
    </row>
    <row r="19" spans="2:5" x14ac:dyDescent="0.3">
      <c r="B19" t="s">
        <v>65</v>
      </c>
      <c r="C19" t="s">
        <v>196</v>
      </c>
      <c r="D19" t="s">
        <v>157</v>
      </c>
      <c r="E19" t="s">
        <v>102</v>
      </c>
    </row>
    <row r="20" spans="2:5" x14ac:dyDescent="0.3">
      <c r="B20" t="s">
        <v>65</v>
      </c>
      <c r="C20" t="s">
        <v>196</v>
      </c>
      <c r="D20" t="s">
        <v>136</v>
      </c>
      <c r="E20" t="s">
        <v>85</v>
      </c>
    </row>
    <row r="21" spans="2:5" x14ac:dyDescent="0.3">
      <c r="B21" t="s">
        <v>65</v>
      </c>
      <c r="C21" t="s">
        <v>196</v>
      </c>
      <c r="D21" t="s">
        <v>183</v>
      </c>
      <c r="E21" t="s">
        <v>127</v>
      </c>
    </row>
    <row r="22" spans="2:5" x14ac:dyDescent="0.3">
      <c r="B22" t="s">
        <v>65</v>
      </c>
      <c r="C22" t="s">
        <v>196</v>
      </c>
      <c r="D22" t="s">
        <v>184</v>
      </c>
      <c r="E22" t="s">
        <v>128</v>
      </c>
    </row>
    <row r="23" spans="2:5" x14ac:dyDescent="0.3">
      <c r="B23" t="s">
        <v>65</v>
      </c>
      <c r="C23" t="s">
        <v>196</v>
      </c>
      <c r="D23" t="s">
        <v>154</v>
      </c>
      <c r="E23" t="s">
        <v>99</v>
      </c>
    </row>
    <row r="24" spans="2:5" x14ac:dyDescent="0.3">
      <c r="B24" t="s">
        <v>65</v>
      </c>
      <c r="C24" t="s">
        <v>196</v>
      </c>
      <c r="D24" t="s">
        <v>199</v>
      </c>
      <c r="E24" t="s">
        <v>200</v>
      </c>
    </row>
    <row r="25" spans="2:5" x14ac:dyDescent="0.3">
      <c r="B25" t="s">
        <v>65</v>
      </c>
      <c r="C25" t="s">
        <v>196</v>
      </c>
      <c r="D25" t="s">
        <v>187</v>
      </c>
      <c r="E25" t="s">
        <v>131</v>
      </c>
    </row>
    <row r="26" spans="2:5" x14ac:dyDescent="0.3">
      <c r="B26" t="s">
        <v>65</v>
      </c>
      <c r="C26" t="s">
        <v>196</v>
      </c>
      <c r="D26" t="s">
        <v>174</v>
      </c>
      <c r="E26" t="s">
        <v>119</v>
      </c>
    </row>
    <row r="27" spans="2:5" x14ac:dyDescent="0.3">
      <c r="B27" t="s">
        <v>65</v>
      </c>
      <c r="C27" t="s">
        <v>196</v>
      </c>
      <c r="D27" t="s">
        <v>186</v>
      </c>
      <c r="E27" t="s">
        <v>130</v>
      </c>
    </row>
    <row r="28" spans="2:5" x14ac:dyDescent="0.3">
      <c r="B28" t="s">
        <v>66</v>
      </c>
      <c r="C28" t="s">
        <v>197</v>
      </c>
      <c r="E28" t="s">
        <v>201</v>
      </c>
    </row>
    <row r="29" spans="2:5" x14ac:dyDescent="0.3">
      <c r="B29" t="s">
        <v>67</v>
      </c>
      <c r="C29" t="s">
        <v>196</v>
      </c>
      <c r="D29" t="s">
        <v>149</v>
      </c>
      <c r="E29" t="s">
        <v>96</v>
      </c>
    </row>
    <row r="30" spans="2:5" x14ac:dyDescent="0.3">
      <c r="B30" t="s">
        <v>67</v>
      </c>
      <c r="C30" t="s">
        <v>196</v>
      </c>
      <c r="D30" t="s">
        <v>175</v>
      </c>
      <c r="E30" t="s">
        <v>120</v>
      </c>
    </row>
    <row r="31" spans="2:5" x14ac:dyDescent="0.3">
      <c r="B31" t="s">
        <v>67</v>
      </c>
      <c r="C31" t="s">
        <v>196</v>
      </c>
      <c r="D31" t="s">
        <v>164</v>
      </c>
      <c r="E31" t="s">
        <v>109</v>
      </c>
    </row>
    <row r="32" spans="2:5" x14ac:dyDescent="0.3">
      <c r="B32" t="s">
        <v>67</v>
      </c>
      <c r="C32" t="s">
        <v>196</v>
      </c>
      <c r="D32" t="s">
        <v>169</v>
      </c>
      <c r="E32" t="s">
        <v>114</v>
      </c>
    </row>
    <row r="33" spans="2:5" x14ac:dyDescent="0.3">
      <c r="B33" t="s">
        <v>67</v>
      </c>
      <c r="C33" t="s">
        <v>196</v>
      </c>
      <c r="D33" t="s">
        <v>137</v>
      </c>
      <c r="E33" t="s">
        <v>86</v>
      </c>
    </row>
    <row r="34" spans="2:5" x14ac:dyDescent="0.3">
      <c r="B34" t="s">
        <v>68</v>
      </c>
      <c r="C34" t="s">
        <v>196</v>
      </c>
      <c r="D34" t="s">
        <v>171</v>
      </c>
      <c r="E34" t="s">
        <v>116</v>
      </c>
    </row>
    <row r="35" spans="2:5" x14ac:dyDescent="0.3">
      <c r="B35" t="s">
        <v>68</v>
      </c>
      <c r="C35" t="s">
        <v>196</v>
      </c>
      <c r="D35" t="s">
        <v>173</v>
      </c>
      <c r="E35" t="s">
        <v>118</v>
      </c>
    </row>
    <row r="36" spans="2:5" x14ac:dyDescent="0.3">
      <c r="B36" t="s">
        <v>68</v>
      </c>
      <c r="C36" t="s">
        <v>196</v>
      </c>
      <c r="D36" t="s">
        <v>150</v>
      </c>
      <c r="E36" t="s">
        <v>97</v>
      </c>
    </row>
    <row r="37" spans="2:5" x14ac:dyDescent="0.3">
      <c r="B37" t="s">
        <v>68</v>
      </c>
      <c r="C37" t="s">
        <v>196</v>
      </c>
      <c r="D37" t="s">
        <v>155</v>
      </c>
      <c r="E37" t="s">
        <v>100</v>
      </c>
    </row>
    <row r="38" spans="2:5" x14ac:dyDescent="0.3">
      <c r="B38" t="s">
        <v>68</v>
      </c>
      <c r="C38" t="s">
        <v>196</v>
      </c>
      <c r="D38" t="s">
        <v>138</v>
      </c>
      <c r="E38" t="s">
        <v>87</v>
      </c>
    </row>
    <row r="39" spans="2:5" x14ac:dyDescent="0.3">
      <c r="B39" t="s">
        <v>69</v>
      </c>
      <c r="C39" t="s">
        <v>197</v>
      </c>
      <c r="E39" t="s">
        <v>202</v>
      </c>
    </row>
    <row r="40" spans="2:5" x14ac:dyDescent="0.3">
      <c r="B40" t="s">
        <v>70</v>
      </c>
      <c r="C40" t="s">
        <v>196</v>
      </c>
      <c r="D40" t="s">
        <v>170</v>
      </c>
      <c r="E40" t="s">
        <v>115</v>
      </c>
    </row>
    <row r="41" spans="2:5" x14ac:dyDescent="0.3">
      <c r="B41" t="s">
        <v>70</v>
      </c>
      <c r="C41" t="s">
        <v>196</v>
      </c>
      <c r="D41" t="s">
        <v>151</v>
      </c>
      <c r="E41" t="s">
        <v>98</v>
      </c>
    </row>
    <row r="42" spans="2:5" x14ac:dyDescent="0.3">
      <c r="B42" t="s">
        <v>70</v>
      </c>
      <c r="C42" t="s">
        <v>196</v>
      </c>
      <c r="D42" t="s">
        <v>139</v>
      </c>
      <c r="E42" t="s">
        <v>88</v>
      </c>
    </row>
    <row r="43" spans="2:5" x14ac:dyDescent="0.3">
      <c r="B43" t="s">
        <v>70</v>
      </c>
      <c r="C43" t="s">
        <v>196</v>
      </c>
      <c r="D43" t="s">
        <v>172</v>
      </c>
      <c r="E43" t="s">
        <v>117</v>
      </c>
    </row>
    <row r="44" spans="2:5" x14ac:dyDescent="0.3">
      <c r="B44" t="s">
        <v>70</v>
      </c>
      <c r="C44" t="s">
        <v>196</v>
      </c>
      <c r="D44" t="s">
        <v>203</v>
      </c>
      <c r="E44" t="s">
        <v>204</v>
      </c>
    </row>
    <row r="45" spans="2:5" x14ac:dyDescent="0.3">
      <c r="B45" t="s">
        <v>71</v>
      </c>
      <c r="C45" t="s">
        <v>196</v>
      </c>
      <c r="D45" t="s">
        <v>140</v>
      </c>
      <c r="E45" t="s">
        <v>89</v>
      </c>
    </row>
    <row r="46" spans="2:5" x14ac:dyDescent="0.3">
      <c r="B46" t="s">
        <v>71</v>
      </c>
      <c r="C46" t="s">
        <v>196</v>
      </c>
      <c r="D46" t="s">
        <v>182</v>
      </c>
      <c r="E46" t="s">
        <v>126</v>
      </c>
    </row>
    <row r="47" spans="2:5" x14ac:dyDescent="0.3">
      <c r="B47" t="s">
        <v>71</v>
      </c>
      <c r="C47" t="s">
        <v>196</v>
      </c>
      <c r="D47" t="s">
        <v>158</v>
      </c>
      <c r="E47" t="s">
        <v>103</v>
      </c>
    </row>
    <row r="48" spans="2:5" x14ac:dyDescent="0.3">
      <c r="B48" t="s">
        <v>72</v>
      </c>
      <c r="C48" t="s">
        <v>197</v>
      </c>
      <c r="E48" t="s">
        <v>205</v>
      </c>
    </row>
    <row r="49" spans="2:5" x14ac:dyDescent="0.3">
      <c r="B49" t="s">
        <v>73</v>
      </c>
      <c r="C49" t="s">
        <v>196</v>
      </c>
      <c r="D49" t="s">
        <v>141</v>
      </c>
      <c r="E49" t="s">
        <v>90</v>
      </c>
    </row>
    <row r="50" spans="2:5" x14ac:dyDescent="0.3">
      <c r="B50" t="s">
        <v>73</v>
      </c>
      <c r="C50" t="s">
        <v>196</v>
      </c>
      <c r="D50" t="s">
        <v>159</v>
      </c>
      <c r="E50" t="s">
        <v>104</v>
      </c>
    </row>
    <row r="51" spans="2:5" x14ac:dyDescent="0.3">
      <c r="B51" t="s">
        <v>73</v>
      </c>
      <c r="C51" t="s">
        <v>196</v>
      </c>
      <c r="D51" t="s">
        <v>166</v>
      </c>
      <c r="E51" t="s">
        <v>111</v>
      </c>
    </row>
    <row r="52" spans="2:5" x14ac:dyDescent="0.3">
      <c r="B52" t="s">
        <v>73</v>
      </c>
      <c r="C52" t="s">
        <v>196</v>
      </c>
      <c r="D52" t="s">
        <v>163</v>
      </c>
      <c r="E52" t="s">
        <v>108</v>
      </c>
    </row>
    <row r="53" spans="2:5" x14ac:dyDescent="0.3">
      <c r="B53" t="s">
        <v>74</v>
      </c>
      <c r="C53" t="s">
        <v>197</v>
      </c>
      <c r="E53" t="s">
        <v>206</v>
      </c>
    </row>
    <row r="54" spans="2:5" x14ac:dyDescent="0.3">
      <c r="B54" t="s">
        <v>75</v>
      </c>
      <c r="C54" t="s">
        <v>196</v>
      </c>
      <c r="D54" t="s">
        <v>177</v>
      </c>
      <c r="E54" t="s">
        <v>122</v>
      </c>
    </row>
    <row r="55" spans="2:5" x14ac:dyDescent="0.3">
      <c r="B55" t="s">
        <v>75</v>
      </c>
      <c r="C55" t="s">
        <v>196</v>
      </c>
      <c r="D55" t="s">
        <v>181</v>
      </c>
      <c r="E55" t="s">
        <v>125</v>
      </c>
    </row>
    <row r="56" spans="2:5" x14ac:dyDescent="0.3">
      <c r="B56" t="s">
        <v>75</v>
      </c>
      <c r="C56" t="s">
        <v>196</v>
      </c>
      <c r="D56" t="s">
        <v>142</v>
      </c>
      <c r="E56" t="s">
        <v>89</v>
      </c>
    </row>
    <row r="57" spans="2:5" x14ac:dyDescent="0.3">
      <c r="B57" t="s">
        <v>76</v>
      </c>
      <c r="C57" t="s">
        <v>196</v>
      </c>
      <c r="D57" t="s">
        <v>167</v>
      </c>
      <c r="E57" t="s">
        <v>112</v>
      </c>
    </row>
    <row r="58" spans="2:5" x14ac:dyDescent="0.3">
      <c r="B58" t="s">
        <v>76</v>
      </c>
      <c r="C58" t="s">
        <v>196</v>
      </c>
      <c r="D58" t="s">
        <v>143</v>
      </c>
      <c r="E58" t="s">
        <v>91</v>
      </c>
    </row>
    <row r="59" spans="2:5" x14ac:dyDescent="0.3">
      <c r="B59" t="s">
        <v>76</v>
      </c>
      <c r="C59" t="s">
        <v>196</v>
      </c>
      <c r="D59" t="s">
        <v>160</v>
      </c>
      <c r="E59" t="s">
        <v>105</v>
      </c>
    </row>
    <row r="60" spans="2:5" x14ac:dyDescent="0.3">
      <c r="B60" t="s">
        <v>77</v>
      </c>
      <c r="C60" t="s">
        <v>197</v>
      </c>
      <c r="E60" t="s">
        <v>207</v>
      </c>
    </row>
    <row r="61" spans="2:5" x14ac:dyDescent="0.3">
      <c r="B61" t="s">
        <v>78</v>
      </c>
      <c r="C61" t="s">
        <v>196</v>
      </c>
      <c r="D61" t="s">
        <v>185</v>
      </c>
      <c r="E61" t="s">
        <v>129</v>
      </c>
    </row>
    <row r="62" spans="2:5" x14ac:dyDescent="0.3">
      <c r="B62" t="s">
        <v>78</v>
      </c>
      <c r="C62" t="s">
        <v>196</v>
      </c>
      <c r="D62" t="s">
        <v>156</v>
      </c>
      <c r="E62" t="s">
        <v>101</v>
      </c>
    </row>
    <row r="63" spans="2:5" x14ac:dyDescent="0.3">
      <c r="B63" t="s">
        <v>78</v>
      </c>
      <c r="C63" t="s">
        <v>196</v>
      </c>
      <c r="D63" t="s">
        <v>144</v>
      </c>
      <c r="E63" t="s">
        <v>92</v>
      </c>
    </row>
    <row r="64" spans="2:5" x14ac:dyDescent="0.3">
      <c r="B64" t="s">
        <v>78</v>
      </c>
      <c r="C64" t="s">
        <v>196</v>
      </c>
      <c r="D64" t="s">
        <v>168</v>
      </c>
      <c r="E64" t="s">
        <v>113</v>
      </c>
    </row>
    <row r="65" spans="2:5" x14ac:dyDescent="0.3">
      <c r="B65" t="s">
        <v>79</v>
      </c>
      <c r="C65" t="s">
        <v>197</v>
      </c>
      <c r="E65" t="s">
        <v>208</v>
      </c>
    </row>
    <row r="66" spans="2:5" x14ac:dyDescent="0.3">
      <c r="B66" t="s">
        <v>80</v>
      </c>
      <c r="C66" t="s">
        <v>196</v>
      </c>
      <c r="D66" t="s">
        <v>152</v>
      </c>
      <c r="E66" t="s">
        <v>89</v>
      </c>
    </row>
    <row r="67" spans="2:5" x14ac:dyDescent="0.3">
      <c r="B67" t="s">
        <v>80</v>
      </c>
      <c r="C67" t="s">
        <v>196</v>
      </c>
      <c r="D67" t="s">
        <v>145</v>
      </c>
      <c r="E67" t="s">
        <v>93</v>
      </c>
    </row>
    <row r="68" spans="2:5" x14ac:dyDescent="0.3">
      <c r="B68" t="s">
        <v>81</v>
      </c>
      <c r="C68" t="s">
        <v>196</v>
      </c>
      <c r="D68" t="s">
        <v>146</v>
      </c>
      <c r="E68" t="s">
        <v>94</v>
      </c>
    </row>
    <row r="69" spans="2:5" x14ac:dyDescent="0.3">
      <c r="B69" t="s">
        <v>81</v>
      </c>
      <c r="C69" t="s">
        <v>196</v>
      </c>
      <c r="D69" t="s">
        <v>178</v>
      </c>
      <c r="E69" t="s">
        <v>123</v>
      </c>
    </row>
    <row r="70" spans="2:5" x14ac:dyDescent="0.3">
      <c r="B70" t="s">
        <v>82</v>
      </c>
      <c r="C70" t="s">
        <v>197</v>
      </c>
      <c r="E70" t="s">
        <v>209</v>
      </c>
    </row>
    <row r="71" spans="2:5" x14ac:dyDescent="0.3">
      <c r="B71" t="s">
        <v>83</v>
      </c>
      <c r="C71" t="s">
        <v>197</v>
      </c>
      <c r="E7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Assumptions</vt:lpstr>
      <vt:lpstr>Data_RawCodes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 mcelroy</cp:lastModifiedBy>
  <dcterms:created xsi:type="dcterms:W3CDTF">2026-10-19T00:47:46Z</dcterms:created>
  <dcterms:modified xsi:type="dcterms:W3CDTF">2026-10-19T12:02:49Z</dcterms:modified>
</cp:coreProperties>
</file>